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1.253\ts1\#Thu muc ca nhan\03. Vo Trung Hieu\1.USER\THAM TRA CHO SAT\"/>
    </mc:Choice>
  </mc:AlternateContent>
  <bookViews>
    <workbookView xWindow="0" yWindow="0" windowWidth="28800" windowHeight="12330" tabRatio="532" activeTab="2"/>
  </bookViews>
  <sheets>
    <sheet name="FOMULA" sheetId="63" r:id="rId1"/>
    <sheet name="1200" sheetId="65" r:id="rId2"/>
    <sheet name="1000" sheetId="61" r:id="rId3"/>
    <sheet name="Nội lực" sheetId="64" r:id="rId4"/>
    <sheet name="Bang tra" sheetId="59" r:id="rId5"/>
  </sheets>
  <functionGroups builtInGroupCount="18"/>
  <definedNames>
    <definedName name="_xlnm._FilterDatabase" localSheetId="2" hidden="1">'Nội lực'!$A$1:$I$349</definedName>
    <definedName name="_xlnm._FilterDatabase" localSheetId="1" hidden="1">'Nội lực'!$A$1:$I$349</definedName>
    <definedName name="_xlnm._FilterDatabase" localSheetId="3" hidden="1">'Nội lực'!$A$1:$I$349</definedName>
    <definedName name="duong_kinh" localSheetId="1">#REF!</definedName>
    <definedName name="duong_kinh">#REF!</definedName>
    <definedName name="input" localSheetId="1">#REF!</definedName>
    <definedName name="input">#REF!</definedName>
    <definedName name="input_design" localSheetId="1">#REF!</definedName>
    <definedName name="input_design">#REF!</definedName>
    <definedName name="n_g" localSheetId="1">'1200'!#REF!</definedName>
    <definedName name="n_g">'1000'!#REF!</definedName>
    <definedName name="n_n" localSheetId="1">'1200'!#REF!</definedName>
    <definedName name="n_n">'1000'!#REF!</definedName>
    <definedName name="output_report" localSheetId="1">'1200'!$E$20:$AF$34</definedName>
    <definedName name="output_report">'1000'!$E$20:$AF$34</definedName>
    <definedName name="_xlnm.Print_Area" localSheetId="2">'1000'!$D$1:$AK$36</definedName>
    <definedName name="_xlnm.Print_Area" localSheetId="1">'1200'!$D$1:$AK$36</definedName>
    <definedName name="vung1" localSheetId="1">OFFSET('1200'!$D$1,0,0,COUNTA('1200'!$G:$G)+15,34)</definedName>
    <definedName name="vung1">OFFSET('1000'!$D$1,0,0,COUNTA('1000'!$G:$G)+15,34)</definedName>
    <definedName name="vung2" localSheetId="1">OFFSET('1200'!#REF!,0,0,COUNTA('1200'!#REF!)+2,22)</definedName>
    <definedName name="vung2">OFFSET('1000'!#REF!,0,0,COUNTA('1000'!#REF!)+2,22)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11" i="65" l="1"/>
  <c r="AJ163" i="65"/>
  <c r="AD163" i="65"/>
  <c r="Y163" i="65"/>
  <c r="V163" i="65"/>
  <c r="AJ162" i="65"/>
  <c r="AD162" i="65"/>
  <c r="Y162" i="65"/>
  <c r="V162" i="65"/>
  <c r="AJ161" i="65"/>
  <c r="Y161" i="65"/>
  <c r="AD161" i="65" s="1"/>
  <c r="V161" i="65"/>
  <c r="AJ160" i="65"/>
  <c r="AD160" i="65"/>
  <c r="Y160" i="65"/>
  <c r="V160" i="65"/>
  <c r="AJ159" i="65"/>
  <c r="Y159" i="65"/>
  <c r="AD159" i="65" s="1"/>
  <c r="V159" i="65"/>
  <c r="AJ158" i="65"/>
  <c r="Y158" i="65"/>
  <c r="V158" i="65"/>
  <c r="AJ157" i="65"/>
  <c r="AD157" i="65"/>
  <c r="Y157" i="65"/>
  <c r="V157" i="65"/>
  <c r="AJ156" i="65"/>
  <c r="Y156" i="65"/>
  <c r="V156" i="65"/>
  <c r="AJ155" i="65"/>
  <c r="AD155" i="65"/>
  <c r="Y155" i="65"/>
  <c r="V155" i="65"/>
  <c r="AJ154" i="65"/>
  <c r="Y154" i="65"/>
  <c r="AD154" i="65" s="1"/>
  <c r="V154" i="65"/>
  <c r="AJ153" i="65"/>
  <c r="Y153" i="65"/>
  <c r="AD153" i="65" s="1"/>
  <c r="V153" i="65"/>
  <c r="CQ152" i="65"/>
  <c r="CL152" i="65"/>
  <c r="CH152" i="65"/>
  <c r="BZ152" i="65"/>
  <c r="CK152" i="65" s="1"/>
  <c r="CM152" i="65" s="1"/>
  <c r="BY152" i="65"/>
  <c r="CA152" i="65" s="1"/>
  <c r="AJ152" i="65"/>
  <c r="Y152" i="65"/>
  <c r="AD152" i="65" s="1"/>
  <c r="V152" i="65"/>
  <c r="AJ151" i="65"/>
  <c r="Y151" i="65"/>
  <c r="V151" i="65"/>
  <c r="AJ150" i="65"/>
  <c r="AD150" i="65"/>
  <c r="Y150" i="65"/>
  <c r="V150" i="65"/>
  <c r="AJ149" i="65"/>
  <c r="Y149" i="65"/>
  <c r="V149" i="65"/>
  <c r="AJ148" i="65"/>
  <c r="AD148" i="65"/>
  <c r="Y148" i="65"/>
  <c r="V148" i="65"/>
  <c r="AJ147" i="65"/>
  <c r="Y147" i="65"/>
  <c r="AD147" i="65" s="1"/>
  <c r="V147" i="65"/>
  <c r="AJ146" i="65"/>
  <c r="Y146" i="65"/>
  <c r="V146" i="65"/>
  <c r="AJ145" i="65"/>
  <c r="AD145" i="65"/>
  <c r="Y145" i="65"/>
  <c r="V145" i="65"/>
  <c r="AJ144" i="65"/>
  <c r="Y144" i="65"/>
  <c r="V144" i="65"/>
  <c r="AJ143" i="65"/>
  <c r="AD143" i="65"/>
  <c r="Y143" i="65"/>
  <c r="V143" i="65"/>
  <c r="AJ142" i="65"/>
  <c r="AD142" i="65"/>
  <c r="Y142" i="65"/>
  <c r="V142" i="65"/>
  <c r="AJ141" i="65"/>
  <c r="Y141" i="65"/>
  <c r="AD141" i="65" s="1"/>
  <c r="V141" i="65"/>
  <c r="CQ140" i="65"/>
  <c r="CL140" i="65"/>
  <c r="CH140" i="65"/>
  <c r="BZ140" i="65"/>
  <c r="CK140" i="65" s="1"/>
  <c r="CM140" i="65" s="1"/>
  <c r="BY140" i="65"/>
  <c r="CA140" i="65" s="1"/>
  <c r="AJ140" i="65"/>
  <c r="Y140" i="65"/>
  <c r="AD140" i="65" s="1"/>
  <c r="V140" i="65"/>
  <c r="AJ139" i="65"/>
  <c r="Y139" i="65"/>
  <c r="V139" i="65"/>
  <c r="AJ138" i="65"/>
  <c r="Y138" i="65"/>
  <c r="AD138" i="65" s="1"/>
  <c r="V138" i="65"/>
  <c r="AJ137" i="65"/>
  <c r="AD137" i="65"/>
  <c r="Y137" i="65"/>
  <c r="V137" i="65"/>
  <c r="AJ136" i="65"/>
  <c r="AD136" i="65"/>
  <c r="Y136" i="65"/>
  <c r="V136" i="65"/>
  <c r="AJ135" i="65"/>
  <c r="Y135" i="65"/>
  <c r="V135" i="65"/>
  <c r="AJ134" i="65"/>
  <c r="AD134" i="65"/>
  <c r="Y134" i="65"/>
  <c r="V134" i="65"/>
  <c r="AJ133" i="65"/>
  <c r="Y133" i="65"/>
  <c r="AD133" i="65" s="1"/>
  <c r="V133" i="65"/>
  <c r="AJ132" i="65"/>
  <c r="Y132" i="65"/>
  <c r="V132" i="65"/>
  <c r="AJ131" i="65"/>
  <c r="AD131" i="65"/>
  <c r="Y131" i="65"/>
  <c r="V131" i="65"/>
  <c r="AJ130" i="65"/>
  <c r="Y130" i="65"/>
  <c r="AD130" i="65" s="1"/>
  <c r="V130" i="65"/>
  <c r="AJ129" i="65"/>
  <c r="AD129" i="65"/>
  <c r="Y129" i="65"/>
  <c r="V129" i="65"/>
  <c r="CQ128" i="65"/>
  <c r="CL128" i="65"/>
  <c r="CH128" i="65"/>
  <c r="CA128" i="65"/>
  <c r="BZ128" i="65"/>
  <c r="CK128" i="65" s="1"/>
  <c r="CM128" i="65" s="1"/>
  <c r="BY128" i="65"/>
  <c r="AJ128" i="65"/>
  <c r="Y128" i="65"/>
  <c r="AD128" i="65" s="1"/>
  <c r="V128" i="65"/>
  <c r="AJ127" i="65"/>
  <c r="AD127" i="65"/>
  <c r="Y127" i="65"/>
  <c r="V127" i="65"/>
  <c r="AJ126" i="65"/>
  <c r="Y126" i="65"/>
  <c r="AD126" i="65" s="1"/>
  <c r="V126" i="65"/>
  <c r="AJ125" i="65"/>
  <c r="Y125" i="65"/>
  <c r="V125" i="65"/>
  <c r="AJ124" i="65"/>
  <c r="AD124" i="65"/>
  <c r="Y124" i="65"/>
  <c r="V124" i="65"/>
  <c r="AJ123" i="65"/>
  <c r="Y123" i="65"/>
  <c r="V123" i="65"/>
  <c r="AJ122" i="65"/>
  <c r="AD122" i="65"/>
  <c r="Y122" i="65"/>
  <c r="V122" i="65"/>
  <c r="AJ121" i="65"/>
  <c r="Y121" i="65"/>
  <c r="AD121" i="65" s="1"/>
  <c r="V121" i="65"/>
  <c r="AJ120" i="65"/>
  <c r="AD120" i="65"/>
  <c r="Y120" i="65"/>
  <c r="V120" i="65"/>
  <c r="AJ119" i="65"/>
  <c r="Y119" i="65"/>
  <c r="V119" i="65"/>
  <c r="AJ118" i="65"/>
  <c r="Y118" i="65"/>
  <c r="AD118" i="65" s="1"/>
  <c r="V118" i="65"/>
  <c r="AJ117" i="65"/>
  <c r="Y117" i="65"/>
  <c r="AD117" i="65" s="1"/>
  <c r="V117" i="65"/>
  <c r="CQ116" i="65"/>
  <c r="CL116" i="65"/>
  <c r="CH116" i="65"/>
  <c r="CA116" i="65"/>
  <c r="BZ116" i="65"/>
  <c r="CK116" i="65" s="1"/>
  <c r="CM116" i="65" s="1"/>
  <c r="BY116" i="65"/>
  <c r="AJ116" i="65"/>
  <c r="Y116" i="65"/>
  <c r="V116" i="65"/>
  <c r="AJ115" i="65"/>
  <c r="Y115" i="65"/>
  <c r="V115" i="65"/>
  <c r="AJ114" i="65"/>
  <c r="AD114" i="65"/>
  <c r="Y114" i="65"/>
  <c r="V114" i="65"/>
  <c r="AJ113" i="65"/>
  <c r="AD113" i="65"/>
  <c r="Y113" i="65"/>
  <c r="V113" i="65"/>
  <c r="AJ112" i="65"/>
  <c r="AD112" i="65"/>
  <c r="Y112" i="65"/>
  <c r="V112" i="65"/>
  <c r="AJ111" i="65"/>
  <c r="AD111" i="65"/>
  <c r="Y111" i="65"/>
  <c r="V111" i="65"/>
  <c r="AJ110" i="65"/>
  <c r="Y110" i="65"/>
  <c r="AD110" i="65" s="1"/>
  <c r="V110" i="65"/>
  <c r="AJ109" i="65"/>
  <c r="Y109" i="65"/>
  <c r="AD109" i="65" s="1"/>
  <c r="V109" i="65"/>
  <c r="AJ108" i="65"/>
  <c r="Y108" i="65"/>
  <c r="V108" i="65"/>
  <c r="AJ107" i="65"/>
  <c r="Y107" i="65"/>
  <c r="V107" i="65"/>
  <c r="AJ106" i="65"/>
  <c r="Y106" i="65"/>
  <c r="V106" i="65"/>
  <c r="AJ105" i="65"/>
  <c r="Y105" i="65"/>
  <c r="AD105" i="65" s="1"/>
  <c r="V105" i="65"/>
  <c r="CQ104" i="65"/>
  <c r="CK104" i="65"/>
  <c r="CH104" i="65"/>
  <c r="CA104" i="65"/>
  <c r="BZ104" i="65"/>
  <c r="BY104" i="65"/>
  <c r="CL104" i="65" s="1"/>
  <c r="CM104" i="65" s="1"/>
  <c r="AJ104" i="65"/>
  <c r="Y104" i="65"/>
  <c r="AD104" i="65" s="1"/>
  <c r="V104" i="65"/>
  <c r="AJ103" i="65"/>
  <c r="AD103" i="65"/>
  <c r="Y103" i="65"/>
  <c r="V103" i="65"/>
  <c r="AJ102" i="65"/>
  <c r="AD102" i="65"/>
  <c r="Y102" i="65"/>
  <c r="V102" i="65"/>
  <c r="AJ101" i="65"/>
  <c r="Y101" i="65"/>
  <c r="AD101" i="65" s="1"/>
  <c r="V101" i="65"/>
  <c r="AJ100" i="65"/>
  <c r="Y100" i="65"/>
  <c r="AD100" i="65" s="1"/>
  <c r="V100" i="65"/>
  <c r="AJ99" i="65"/>
  <c r="Y99" i="65"/>
  <c r="AD99" i="65" s="1"/>
  <c r="V99" i="65"/>
  <c r="AJ98" i="65"/>
  <c r="Y98" i="65"/>
  <c r="AD98" i="65" s="1"/>
  <c r="V98" i="65"/>
  <c r="AJ97" i="65"/>
  <c r="AD97" i="65"/>
  <c r="Y97" i="65"/>
  <c r="V97" i="65"/>
  <c r="AJ96" i="65"/>
  <c r="Y96" i="65"/>
  <c r="AD96" i="65" s="1"/>
  <c r="V96" i="65"/>
  <c r="AJ95" i="65"/>
  <c r="AD95" i="65"/>
  <c r="Y95" i="65"/>
  <c r="V95" i="65"/>
  <c r="AJ94" i="65"/>
  <c r="AD94" i="65"/>
  <c r="Y94" i="65"/>
  <c r="V94" i="65"/>
  <c r="AJ93" i="65"/>
  <c r="Y93" i="65"/>
  <c r="AD93" i="65" s="1"/>
  <c r="V93" i="65"/>
  <c r="CQ92" i="65"/>
  <c r="CK92" i="65"/>
  <c r="CH92" i="65"/>
  <c r="BZ92" i="65"/>
  <c r="BY92" i="65"/>
  <c r="CA92" i="65" s="1"/>
  <c r="AJ92" i="65"/>
  <c r="AD92" i="65"/>
  <c r="Y92" i="65"/>
  <c r="V92" i="65"/>
  <c r="AJ91" i="65"/>
  <c r="Y91" i="65"/>
  <c r="AD91" i="65" s="1"/>
  <c r="V91" i="65"/>
  <c r="AJ90" i="65"/>
  <c r="Y90" i="65"/>
  <c r="AD90" i="65" s="1"/>
  <c r="V90" i="65"/>
  <c r="AJ89" i="65"/>
  <c r="Y89" i="65"/>
  <c r="V89" i="65"/>
  <c r="AJ88" i="65"/>
  <c r="AD88" i="65"/>
  <c r="Y88" i="65"/>
  <c r="V88" i="65"/>
  <c r="AJ87" i="65"/>
  <c r="Y87" i="65"/>
  <c r="AD87" i="65" s="1"/>
  <c r="V87" i="65"/>
  <c r="AJ86" i="65"/>
  <c r="Y86" i="65"/>
  <c r="AD86" i="65" s="1"/>
  <c r="V86" i="65"/>
  <c r="AJ85" i="65"/>
  <c r="Y85" i="65"/>
  <c r="V85" i="65"/>
  <c r="AJ84" i="65"/>
  <c r="AD84" i="65"/>
  <c r="Y84" i="65"/>
  <c r="V84" i="65"/>
  <c r="AJ83" i="65"/>
  <c r="Y83" i="65"/>
  <c r="AD83" i="65" s="1"/>
  <c r="V83" i="65"/>
  <c r="AJ82" i="65"/>
  <c r="Y82" i="65"/>
  <c r="AD82" i="65" s="1"/>
  <c r="V82" i="65"/>
  <c r="AJ81" i="65"/>
  <c r="Y81" i="65"/>
  <c r="V81" i="65"/>
  <c r="CQ80" i="65"/>
  <c r="CL80" i="65"/>
  <c r="CH80" i="65"/>
  <c r="BZ80" i="65"/>
  <c r="CK80" i="65" s="1"/>
  <c r="BY80" i="65"/>
  <c r="CA80" i="65" s="1"/>
  <c r="AJ80" i="65"/>
  <c r="Y80" i="65"/>
  <c r="AD80" i="65" s="1"/>
  <c r="V80" i="65"/>
  <c r="AJ79" i="65"/>
  <c r="AD79" i="65"/>
  <c r="Y79" i="65"/>
  <c r="V79" i="65"/>
  <c r="AJ78" i="65"/>
  <c r="Y78" i="65"/>
  <c r="AD78" i="65" s="1"/>
  <c r="V78" i="65"/>
  <c r="AJ77" i="65"/>
  <c r="Y77" i="65"/>
  <c r="V77" i="65"/>
  <c r="AJ76" i="65"/>
  <c r="AD76" i="65"/>
  <c r="Y76" i="65"/>
  <c r="V76" i="65"/>
  <c r="AJ75" i="65"/>
  <c r="AD75" i="65"/>
  <c r="Y75" i="65"/>
  <c r="V75" i="65"/>
  <c r="AJ74" i="65"/>
  <c r="Y74" i="65"/>
  <c r="V74" i="65"/>
  <c r="AJ73" i="65"/>
  <c r="Y73" i="65"/>
  <c r="AD73" i="65" s="1"/>
  <c r="V73" i="65"/>
  <c r="AJ72" i="65"/>
  <c r="Y72" i="65"/>
  <c r="V72" i="65"/>
  <c r="AJ71" i="65"/>
  <c r="AD71" i="65"/>
  <c r="Y71" i="65"/>
  <c r="V71" i="65"/>
  <c r="AJ70" i="65"/>
  <c r="Y70" i="65"/>
  <c r="AD70" i="65" s="1"/>
  <c r="V70" i="65"/>
  <c r="AJ69" i="65"/>
  <c r="Y69" i="65"/>
  <c r="V69" i="65"/>
  <c r="CQ68" i="65"/>
  <c r="CL68" i="65"/>
  <c r="CH68" i="65"/>
  <c r="BZ68" i="65"/>
  <c r="CK68" i="65" s="1"/>
  <c r="CM68" i="65" s="1"/>
  <c r="BY68" i="65"/>
  <c r="CA68" i="65" s="1"/>
  <c r="AJ68" i="65"/>
  <c r="AD68" i="65"/>
  <c r="Y68" i="65"/>
  <c r="V68" i="65"/>
  <c r="AJ67" i="65"/>
  <c r="Y67" i="65"/>
  <c r="V67" i="65"/>
  <c r="AJ66" i="65"/>
  <c r="Y66" i="65"/>
  <c r="V66" i="65"/>
  <c r="AJ65" i="65"/>
  <c r="AD65" i="65"/>
  <c r="Y65" i="65"/>
  <c r="V65" i="65"/>
  <c r="AJ64" i="65"/>
  <c r="AD64" i="65"/>
  <c r="Y64" i="65"/>
  <c r="V64" i="65"/>
  <c r="AJ63" i="65"/>
  <c r="Y63" i="65"/>
  <c r="AD63" i="65" s="1"/>
  <c r="V63" i="65"/>
  <c r="AJ62" i="65"/>
  <c r="Y62" i="65"/>
  <c r="V62" i="65"/>
  <c r="AJ61" i="65"/>
  <c r="Y61" i="65"/>
  <c r="AD61" i="65" s="1"/>
  <c r="V61" i="65"/>
  <c r="AJ60" i="65"/>
  <c r="AD60" i="65"/>
  <c r="Y60" i="65"/>
  <c r="V60" i="65"/>
  <c r="AJ59" i="65"/>
  <c r="Y59" i="65"/>
  <c r="AD59" i="65" s="1"/>
  <c r="V59" i="65"/>
  <c r="AJ58" i="65"/>
  <c r="Y58" i="65"/>
  <c r="AD58" i="65" s="1"/>
  <c r="V58" i="65"/>
  <c r="AJ57" i="65"/>
  <c r="AD57" i="65"/>
  <c r="Y57" i="65"/>
  <c r="V57" i="65"/>
  <c r="CQ56" i="65"/>
  <c r="CL56" i="65"/>
  <c r="CH56" i="65"/>
  <c r="CA56" i="65"/>
  <c r="BZ56" i="65"/>
  <c r="CK56" i="65" s="1"/>
  <c r="CM56" i="65" s="1"/>
  <c r="BY56" i="65"/>
  <c r="AJ56" i="65"/>
  <c r="Y56" i="65"/>
  <c r="AD56" i="65" s="1"/>
  <c r="V56" i="65"/>
  <c r="AJ55" i="65"/>
  <c r="AD55" i="65"/>
  <c r="Y55" i="65"/>
  <c r="V55" i="65"/>
  <c r="AJ54" i="65"/>
  <c r="Y54" i="65"/>
  <c r="AD54" i="65" s="1"/>
  <c r="V54" i="65"/>
  <c r="AJ53" i="65"/>
  <c r="Y53" i="65"/>
  <c r="AD53" i="65" s="1"/>
  <c r="V53" i="65"/>
  <c r="AJ52" i="65"/>
  <c r="Y52" i="65"/>
  <c r="V52" i="65"/>
  <c r="AJ51" i="65"/>
  <c r="Y51" i="65"/>
  <c r="AD51" i="65" s="1"/>
  <c r="V51" i="65"/>
  <c r="AJ50" i="65"/>
  <c r="AD50" i="65"/>
  <c r="Y50" i="65"/>
  <c r="V50" i="65"/>
  <c r="AJ49" i="65"/>
  <c r="Y49" i="65"/>
  <c r="V49" i="65"/>
  <c r="AJ48" i="65"/>
  <c r="Y48" i="65"/>
  <c r="AD48" i="65" s="1"/>
  <c r="V48" i="65"/>
  <c r="AJ47" i="65"/>
  <c r="Y47" i="65"/>
  <c r="AD47" i="65" s="1"/>
  <c r="V47" i="65"/>
  <c r="AJ46" i="65"/>
  <c r="Y46" i="65"/>
  <c r="AD46" i="65" s="1"/>
  <c r="V46" i="65"/>
  <c r="AJ45" i="65"/>
  <c r="Y45" i="65"/>
  <c r="AD45" i="65" s="1"/>
  <c r="V45" i="65"/>
  <c r="CQ44" i="65"/>
  <c r="CL44" i="65"/>
  <c r="CH44" i="65"/>
  <c r="BZ44" i="65"/>
  <c r="CK44" i="65" s="1"/>
  <c r="CM44" i="65" s="1"/>
  <c r="BY44" i="65"/>
  <c r="CA44" i="65" s="1"/>
  <c r="AJ44" i="65"/>
  <c r="Y44" i="65"/>
  <c r="AD44" i="65" s="1"/>
  <c r="V44" i="65"/>
  <c r="AJ43" i="65"/>
  <c r="AD43" i="65"/>
  <c r="Y43" i="65"/>
  <c r="V43" i="65"/>
  <c r="AJ42" i="65"/>
  <c r="Y42" i="65"/>
  <c r="V42" i="65"/>
  <c r="AJ41" i="65"/>
  <c r="AD41" i="65"/>
  <c r="Y41" i="65"/>
  <c r="V41" i="65"/>
  <c r="AJ40" i="65"/>
  <c r="Y40" i="65"/>
  <c r="V40" i="65"/>
  <c r="AJ39" i="65"/>
  <c r="Y39" i="65"/>
  <c r="AD39" i="65" s="1"/>
  <c r="V39" i="65"/>
  <c r="AJ38" i="65"/>
  <c r="Y38" i="65"/>
  <c r="AD38" i="65" s="1"/>
  <c r="V38" i="65"/>
  <c r="AJ37" i="65"/>
  <c r="AD37" i="65"/>
  <c r="Y37" i="65"/>
  <c r="V37" i="65"/>
  <c r="AJ36" i="65"/>
  <c r="AD36" i="65"/>
  <c r="V36" i="65"/>
  <c r="J36" i="65"/>
  <c r="BO36" i="65" s="1"/>
  <c r="AJ35" i="65"/>
  <c r="AD35" i="65"/>
  <c r="V35" i="65"/>
  <c r="J35" i="65"/>
  <c r="BO35" i="65" s="1"/>
  <c r="AJ34" i="65"/>
  <c r="Y34" i="65"/>
  <c r="AD34" i="65" s="1"/>
  <c r="V34" i="65"/>
  <c r="AJ33" i="65"/>
  <c r="AD33" i="65"/>
  <c r="V33" i="65"/>
  <c r="J33" i="65"/>
  <c r="BM33" i="65" s="1"/>
  <c r="AJ32" i="65"/>
  <c r="AD32" i="65"/>
  <c r="V32" i="65"/>
  <c r="J32" i="65"/>
  <c r="AJ31" i="65"/>
  <c r="AD31" i="65"/>
  <c r="Y31" i="65"/>
  <c r="V31" i="65"/>
  <c r="AJ30" i="65"/>
  <c r="AD30" i="65"/>
  <c r="V30" i="65"/>
  <c r="J30" i="65"/>
  <c r="BO30" i="65" s="1"/>
  <c r="AJ29" i="65"/>
  <c r="AD29" i="65"/>
  <c r="V29" i="65"/>
  <c r="J29" i="65"/>
  <c r="BO29" i="65" s="1"/>
  <c r="AJ28" i="65"/>
  <c r="AD28" i="65"/>
  <c r="Y28" i="65"/>
  <c r="V28" i="65"/>
  <c r="AJ27" i="65"/>
  <c r="AD27" i="65"/>
  <c r="V27" i="65"/>
  <c r="J27" i="65"/>
  <c r="BO27" i="65" s="1"/>
  <c r="AL26" i="65"/>
  <c r="BB26" i="65" s="1"/>
  <c r="AJ26" i="65"/>
  <c r="AD26" i="65"/>
  <c r="V26" i="65"/>
  <c r="J26" i="65"/>
  <c r="BM26" i="65" s="1"/>
  <c r="AJ25" i="65"/>
  <c r="AD25" i="65"/>
  <c r="Y25" i="65"/>
  <c r="V25" i="65"/>
  <c r="AL24" i="65"/>
  <c r="BB24" i="65" s="1"/>
  <c r="AJ24" i="65"/>
  <c r="AD24" i="65"/>
  <c r="V24" i="65"/>
  <c r="J24" i="65"/>
  <c r="BO24" i="65" s="1"/>
  <c r="AJ23" i="65"/>
  <c r="AD23" i="65"/>
  <c r="V23" i="65"/>
  <c r="J23" i="65"/>
  <c r="BO23" i="65" s="1"/>
  <c r="CO22" i="65"/>
  <c r="CC22" i="65"/>
  <c r="BZ22" i="65"/>
  <c r="CF22" i="65" s="1"/>
  <c r="BY22" i="65"/>
  <c r="AP22" i="65"/>
  <c r="AL22" i="65"/>
  <c r="BB22" i="65" s="1"/>
  <c r="AJ22" i="65"/>
  <c r="Y22" i="65"/>
  <c r="AD22" i="65" s="1"/>
  <c r="V22" i="65"/>
  <c r="CO21" i="65"/>
  <c r="CL21" i="65"/>
  <c r="CC21" i="65"/>
  <c r="BZ21" i="65"/>
  <c r="CK21" i="65" s="1"/>
  <c r="CM21" i="65" s="1"/>
  <c r="BY21" i="65"/>
  <c r="BA21" i="65"/>
  <c r="AL21" i="65"/>
  <c r="AZ21" i="65" s="1"/>
  <c r="AJ21" i="65"/>
  <c r="AD21" i="65"/>
  <c r="AA21" i="65"/>
  <c r="V21" i="65"/>
  <c r="J21" i="65"/>
  <c r="BO21" i="65" s="1"/>
  <c r="CO20" i="65"/>
  <c r="CL20" i="65"/>
  <c r="CC20" i="65"/>
  <c r="BZ20" i="65"/>
  <c r="CK20" i="65" s="1"/>
  <c r="BY20" i="65"/>
  <c r="AL20" i="65"/>
  <c r="BB20" i="65" s="1"/>
  <c r="AJ20" i="65"/>
  <c r="AD20" i="65"/>
  <c r="V20" i="65"/>
  <c r="J20" i="65"/>
  <c r="BN20" i="65" s="1"/>
  <c r="O8" i="65"/>
  <c r="AL30" i="65" s="1"/>
  <c r="K8" i="65"/>
  <c r="H8" i="65"/>
  <c r="O7" i="65"/>
  <c r="K7" i="65"/>
  <c r="H7" i="65"/>
  <c r="S6" i="65"/>
  <c r="J13" i="65" s="1"/>
  <c r="O6" i="65"/>
  <c r="K6" i="65"/>
  <c r="H6" i="65"/>
  <c r="AA30" i="65" s="1"/>
  <c r="K5" i="65"/>
  <c r="O4" i="65"/>
  <c r="K4" i="65"/>
  <c r="BA30" i="65" s="1"/>
  <c r="H4" i="65"/>
  <c r="AL1" i="65"/>
  <c r="AM21" i="61"/>
  <c r="AM23" i="61"/>
  <c r="AM24" i="61"/>
  <c r="AM26" i="61"/>
  <c r="AM27" i="61"/>
  <c r="AM29" i="61"/>
  <c r="AM30" i="61"/>
  <c r="AM32" i="61"/>
  <c r="AM33" i="61"/>
  <c r="AM35" i="61"/>
  <c r="AM36" i="61"/>
  <c r="I157" i="65"/>
  <c r="I150" i="65"/>
  <c r="I153" i="65"/>
  <c r="I139" i="65"/>
  <c r="I134" i="65"/>
  <c r="I125" i="65"/>
  <c r="I108" i="65"/>
  <c r="I110" i="65"/>
  <c r="I111" i="65"/>
  <c r="I92" i="65"/>
  <c r="I88" i="65"/>
  <c r="I79" i="65"/>
  <c r="I80" i="65"/>
  <c r="I70" i="65"/>
  <c r="I54" i="65"/>
  <c r="I62" i="65"/>
  <c r="I53" i="65"/>
  <c r="I145" i="65"/>
  <c r="I129" i="65"/>
  <c r="I98" i="65"/>
  <c r="I86" i="65"/>
  <c r="I93" i="65"/>
  <c r="I34" i="65"/>
  <c r="I101" i="65"/>
  <c r="I68" i="65"/>
  <c r="I25" i="65"/>
  <c r="I81" i="65"/>
  <c r="I44" i="65"/>
  <c r="I160" i="65"/>
  <c r="I142" i="65"/>
  <c r="I149" i="65"/>
  <c r="I127" i="65"/>
  <c r="I124" i="65"/>
  <c r="I118" i="65"/>
  <c r="I104" i="65"/>
  <c r="I103" i="65"/>
  <c r="I84" i="65"/>
  <c r="I91" i="65"/>
  <c r="I71" i="65"/>
  <c r="I72" i="65"/>
  <c r="I63" i="65"/>
  <c r="I46" i="65"/>
  <c r="I55" i="65"/>
  <c r="I45" i="65"/>
  <c r="I133" i="65"/>
  <c r="I128" i="65"/>
  <c r="I158" i="65"/>
  <c r="I155" i="65"/>
  <c r="I144" i="65"/>
  <c r="I137" i="65"/>
  <c r="I132" i="65"/>
  <c r="I123" i="65"/>
  <c r="I99" i="65"/>
  <c r="I105" i="65"/>
  <c r="I96" i="65"/>
  <c r="I83" i="65"/>
  <c r="I64" i="65"/>
  <c r="I65" i="65"/>
  <c r="I56" i="65"/>
  <c r="I39" i="65"/>
  <c r="I47" i="65"/>
  <c r="I38" i="65"/>
  <c r="I151" i="65"/>
  <c r="I102" i="65"/>
  <c r="I87" i="65"/>
  <c r="I48" i="65"/>
  <c r="I40" i="65"/>
  <c r="I90" i="65"/>
  <c r="I58" i="65"/>
  <c r="I116" i="65"/>
  <c r="I82" i="65"/>
  <c r="I159" i="65"/>
  <c r="I114" i="65"/>
  <c r="I74" i="65"/>
  <c r="I22" i="65"/>
  <c r="I66" i="65"/>
  <c r="I42" i="65"/>
  <c r="I115" i="65"/>
  <c r="I61" i="65"/>
  <c r="I43" i="65"/>
  <c r="I152" i="65"/>
  <c r="I161" i="65"/>
  <c r="I148" i="65"/>
  <c r="I126" i="65"/>
  <c r="I138" i="65"/>
  <c r="I119" i="65"/>
  <c r="I109" i="65"/>
  <c r="I106" i="65"/>
  <c r="I113" i="65"/>
  <c r="I94" i="65"/>
  <c r="I73" i="65"/>
  <c r="I67" i="65"/>
  <c r="I75" i="65"/>
  <c r="I41" i="65"/>
  <c r="I49" i="65"/>
  <c r="I59" i="65"/>
  <c r="I31" i="65"/>
  <c r="I156" i="65"/>
  <c r="I143" i="65"/>
  <c r="I136" i="65"/>
  <c r="I130" i="65"/>
  <c r="I122" i="65"/>
  <c r="I120" i="65"/>
  <c r="I97" i="65"/>
  <c r="I77" i="65"/>
  <c r="I57" i="65"/>
  <c r="I112" i="65"/>
  <c r="I37" i="65"/>
  <c r="I162" i="65"/>
  <c r="I154" i="65"/>
  <c r="I147" i="65"/>
  <c r="I163" i="65"/>
  <c r="I141" i="65"/>
  <c r="I121" i="65"/>
  <c r="I117" i="65"/>
  <c r="I107" i="65"/>
  <c r="I100" i="65"/>
  <c r="I89" i="65"/>
  <c r="I95" i="65"/>
  <c r="I76" i="65"/>
  <c r="I69" i="65"/>
  <c r="I60" i="65"/>
  <c r="I51" i="65"/>
  <c r="I52" i="65"/>
  <c r="I50" i="65"/>
  <c r="I28" i="65"/>
  <c r="I140" i="65"/>
  <c r="I146" i="65"/>
  <c r="I131" i="65"/>
  <c r="I135" i="65"/>
  <c r="I85" i="65"/>
  <c r="I78" i="65"/>
  <c r="BN30" i="65" l="1"/>
  <c r="BL35" i="65"/>
  <c r="AX33" i="65"/>
  <c r="BL33" i="65"/>
  <c r="BN33" i="65"/>
  <c r="AV30" i="65"/>
  <c r="AY30" i="65"/>
  <c r="BM30" i="65"/>
  <c r="BL27" i="65"/>
  <c r="BM27" i="65"/>
  <c r="BN26" i="65"/>
  <c r="BO26" i="65"/>
  <c r="AX26" i="65"/>
  <c r="AY26" i="65"/>
  <c r="AV23" i="65"/>
  <c r="AY23" i="65"/>
  <c r="BL23" i="65"/>
  <c r="BM23" i="65"/>
  <c r="BN23" i="65"/>
  <c r="CF21" i="65"/>
  <c r="CR21" i="65"/>
  <c r="CA21" i="65"/>
  <c r="CF20" i="65"/>
  <c r="CR20" i="65"/>
  <c r="AY20" i="65"/>
  <c r="BO20" i="65"/>
  <c r="CA20" i="65"/>
  <c r="J28" i="65"/>
  <c r="J25" i="65"/>
  <c r="J31" i="65"/>
  <c r="J22" i="65"/>
  <c r="J38" i="65"/>
  <c r="J45" i="65"/>
  <c r="J53" i="65"/>
  <c r="J43" i="65"/>
  <c r="J50" i="65"/>
  <c r="J57" i="65"/>
  <c r="J59" i="65"/>
  <c r="J40" i="65"/>
  <c r="J47" i="65"/>
  <c r="J55" i="65"/>
  <c r="J62" i="65"/>
  <c r="J37" i="65"/>
  <c r="J52" i="65"/>
  <c r="J42" i="65"/>
  <c r="J49" i="65"/>
  <c r="J34" i="65"/>
  <c r="J39" i="65"/>
  <c r="J46" i="65"/>
  <c r="J54" i="65"/>
  <c r="AX54" i="65" s="1"/>
  <c r="J44" i="65"/>
  <c r="J51" i="65"/>
  <c r="J58" i="65"/>
  <c r="J41" i="65"/>
  <c r="J48" i="65"/>
  <c r="J56" i="65"/>
  <c r="J63" i="65"/>
  <c r="J70" i="65"/>
  <c r="J78" i="65"/>
  <c r="J60" i="65"/>
  <c r="J68" i="65"/>
  <c r="J75" i="65"/>
  <c r="J93" i="65"/>
  <c r="J65" i="65"/>
  <c r="J72" i="65"/>
  <c r="J80" i="65"/>
  <c r="J82" i="65"/>
  <c r="J69" i="65"/>
  <c r="J77" i="65"/>
  <c r="J67" i="65"/>
  <c r="J74" i="65"/>
  <c r="J64" i="65"/>
  <c r="J71" i="65"/>
  <c r="J79" i="65"/>
  <c r="J61" i="65"/>
  <c r="J76" i="65"/>
  <c r="J66" i="65"/>
  <c r="J73" i="65"/>
  <c r="J86" i="65"/>
  <c r="J83" i="65"/>
  <c r="J91" i="65"/>
  <c r="J88" i="65"/>
  <c r="J85" i="65"/>
  <c r="J95" i="65"/>
  <c r="J90" i="65"/>
  <c r="J94" i="65"/>
  <c r="J87" i="65"/>
  <c r="J96" i="65"/>
  <c r="J84" i="65"/>
  <c r="J92" i="65"/>
  <c r="J81" i="65"/>
  <c r="J89" i="65"/>
  <c r="J101" i="65"/>
  <c r="J113" i="65"/>
  <c r="J98" i="65"/>
  <c r="J105" i="65"/>
  <c r="J103" i="65"/>
  <c r="J111" i="65"/>
  <c r="AX111" i="65" s="1"/>
  <c r="J112" i="65"/>
  <c r="J100" i="65"/>
  <c r="J97" i="65"/>
  <c r="J106" i="65"/>
  <c r="J102" i="65"/>
  <c r="J99" i="65"/>
  <c r="J104" i="65"/>
  <c r="J110" i="65"/>
  <c r="J116" i="65"/>
  <c r="J107" i="65"/>
  <c r="J120" i="65"/>
  <c r="J109" i="65"/>
  <c r="J114" i="65"/>
  <c r="J123" i="65"/>
  <c r="J118" i="65"/>
  <c r="J108" i="65"/>
  <c r="J115" i="65"/>
  <c r="J117" i="65"/>
  <c r="J122" i="65"/>
  <c r="J119" i="65"/>
  <c r="J128" i="65"/>
  <c r="J132" i="65"/>
  <c r="J124" i="65"/>
  <c r="J125" i="65"/>
  <c r="J135" i="65"/>
  <c r="J121" i="65"/>
  <c r="J130" i="65"/>
  <c r="J138" i="65"/>
  <c r="J129" i="65"/>
  <c r="BP129" i="65" s="1"/>
  <c r="AT129" i="65" s="1"/>
  <c r="J137" i="65"/>
  <c r="J127" i="65"/>
  <c r="J134" i="65"/>
  <c r="J131" i="65"/>
  <c r="J141" i="65"/>
  <c r="J136" i="65"/>
  <c r="J126" i="65"/>
  <c r="J133" i="65"/>
  <c r="AX133" i="65" s="1"/>
  <c r="J144" i="65"/>
  <c r="J149" i="65"/>
  <c r="J139" i="65"/>
  <c r="BP139" i="65" s="1"/>
  <c r="AT139" i="65" s="1"/>
  <c r="J146" i="65"/>
  <c r="J163" i="65"/>
  <c r="J143" i="65"/>
  <c r="J148" i="65"/>
  <c r="J145" i="65"/>
  <c r="J155" i="65"/>
  <c r="J142" i="65"/>
  <c r="J153" i="65"/>
  <c r="J140" i="65"/>
  <c r="J147" i="65"/>
  <c r="J156" i="65"/>
  <c r="J161" i="65"/>
  <c r="J151" i="65"/>
  <c r="BP151" i="65" s="1"/>
  <c r="AT151" i="65" s="1"/>
  <c r="J158" i="65"/>
  <c r="J160" i="65"/>
  <c r="J150" i="65"/>
  <c r="J157" i="65"/>
  <c r="J154" i="65"/>
  <c r="J162" i="65"/>
  <c r="J152" i="65"/>
  <c r="J159" i="65"/>
  <c r="BP159" i="65" s="1"/>
  <c r="AT159" i="65" s="1"/>
  <c r="N31" i="65"/>
  <c r="O31" i="65" s="1"/>
  <c r="AZ20" i="65"/>
  <c r="CB20" i="65"/>
  <c r="BQ21" i="65"/>
  <c r="BR21" i="65" s="1"/>
  <c r="BF26" i="65"/>
  <c r="CB22" i="65"/>
  <c r="AF23" i="65"/>
  <c r="BB30" i="65"/>
  <c r="AZ30" i="65"/>
  <c r="AE156" i="65"/>
  <c r="AE149" i="65"/>
  <c r="AE159" i="65"/>
  <c r="AE152" i="65"/>
  <c r="AE162" i="65"/>
  <c r="AF162" i="65" s="1"/>
  <c r="AE154" i="65"/>
  <c r="AE157" i="65"/>
  <c r="AE150" i="65"/>
  <c r="AE163" i="65"/>
  <c r="AF163" i="65" s="1"/>
  <c r="AE155" i="65"/>
  <c r="AE144" i="65"/>
  <c r="AE147" i="65"/>
  <c r="AE142" i="65"/>
  <c r="AF142" i="65" s="1"/>
  <c r="AE153" i="65"/>
  <c r="AE151" i="65"/>
  <c r="AE145" i="65"/>
  <c r="AE138" i="65"/>
  <c r="AE158" i="65"/>
  <c r="AE161" i="65"/>
  <c r="AE148" i="65"/>
  <c r="AE143" i="65"/>
  <c r="AE141" i="65"/>
  <c r="AF141" i="65" s="1"/>
  <c r="AE160" i="65"/>
  <c r="AE130" i="65"/>
  <c r="AE140" i="65"/>
  <c r="AE139" i="65"/>
  <c r="AE133" i="65"/>
  <c r="AE136" i="65"/>
  <c r="AF136" i="65" s="1"/>
  <c r="AE131" i="65"/>
  <c r="AE146" i="65"/>
  <c r="AE134" i="65"/>
  <c r="AE135" i="65"/>
  <c r="AE128" i="65"/>
  <c r="AE137" i="65"/>
  <c r="AE118" i="65"/>
  <c r="AE126" i="65"/>
  <c r="AE125" i="65"/>
  <c r="AE124" i="65"/>
  <c r="AF124" i="65" s="1"/>
  <c r="AE119" i="65"/>
  <c r="AE122" i="65"/>
  <c r="AE115" i="65"/>
  <c r="AE113" i="65"/>
  <c r="AF113" i="65" s="1"/>
  <c r="AE129" i="65"/>
  <c r="AE111" i="65"/>
  <c r="AF111" i="65" s="1"/>
  <c r="AE127" i="65"/>
  <c r="AE116" i="65"/>
  <c r="AE106" i="65"/>
  <c r="AE121" i="65"/>
  <c r="AE120" i="65"/>
  <c r="AF120" i="65" s="1"/>
  <c r="AE132" i="65"/>
  <c r="AE123" i="65"/>
  <c r="AE112" i="65"/>
  <c r="AF112" i="65" s="1"/>
  <c r="AE114" i="65"/>
  <c r="AE107" i="65"/>
  <c r="AE108" i="65"/>
  <c r="AE101" i="65"/>
  <c r="AE117" i="65"/>
  <c r="AE110" i="65"/>
  <c r="AE104" i="65"/>
  <c r="AE96" i="65"/>
  <c r="AE99" i="65"/>
  <c r="AE102" i="65"/>
  <c r="AE94" i="65"/>
  <c r="AF94" i="65" s="1"/>
  <c r="AE97" i="65"/>
  <c r="AE109" i="65"/>
  <c r="AE100" i="65"/>
  <c r="AE103" i="65"/>
  <c r="AE95" i="65"/>
  <c r="AE105" i="65"/>
  <c r="AE98" i="65"/>
  <c r="AE93" i="65"/>
  <c r="AE86" i="65"/>
  <c r="AE89" i="65"/>
  <c r="AE81" i="65"/>
  <c r="AE92" i="65"/>
  <c r="AE84" i="65"/>
  <c r="AE87" i="65"/>
  <c r="AE90" i="65"/>
  <c r="AE82" i="65"/>
  <c r="AF82" i="65" s="1"/>
  <c r="AE85" i="65"/>
  <c r="AE88" i="65"/>
  <c r="AE78" i="65"/>
  <c r="AE70" i="65"/>
  <c r="AE63" i="65"/>
  <c r="AF63" i="65" s="1"/>
  <c r="AE80" i="65"/>
  <c r="AE73" i="65"/>
  <c r="AE66" i="65"/>
  <c r="AE83" i="65"/>
  <c r="AE76" i="65"/>
  <c r="AE61" i="65"/>
  <c r="AE79" i="65"/>
  <c r="AE71" i="65"/>
  <c r="AE64" i="65"/>
  <c r="AE91" i="65"/>
  <c r="AE74" i="65"/>
  <c r="AE77" i="65"/>
  <c r="AE69" i="65"/>
  <c r="AE62" i="65"/>
  <c r="AE72" i="65"/>
  <c r="AE65" i="65"/>
  <c r="AE75" i="65"/>
  <c r="AE68" i="65"/>
  <c r="AE60" i="65"/>
  <c r="AE53" i="65"/>
  <c r="AE45" i="65"/>
  <c r="AE38" i="65"/>
  <c r="AE56" i="65"/>
  <c r="AF56" i="65" s="1"/>
  <c r="AE48" i="65"/>
  <c r="AF48" i="65" s="1"/>
  <c r="AE41" i="65"/>
  <c r="AF41" i="65" s="1"/>
  <c r="AE33" i="65"/>
  <c r="AF33" i="65" s="1"/>
  <c r="AE59" i="65"/>
  <c r="AE58" i="65"/>
  <c r="AE51" i="65"/>
  <c r="AE44" i="65"/>
  <c r="AE67" i="65"/>
  <c r="AE54" i="65"/>
  <c r="AF54" i="65" s="1"/>
  <c r="AE46" i="65"/>
  <c r="AE39" i="65"/>
  <c r="AF39" i="65" s="1"/>
  <c r="AE36" i="65"/>
  <c r="AF36" i="65" s="1"/>
  <c r="AE34" i="65"/>
  <c r="AE49" i="65"/>
  <c r="AE42" i="65"/>
  <c r="AE52" i="65"/>
  <c r="AE37" i="65"/>
  <c r="AF37" i="65" s="1"/>
  <c r="AE32" i="65"/>
  <c r="AE55" i="65"/>
  <c r="AE47" i="65"/>
  <c r="AE40" i="65"/>
  <c r="AE57" i="65"/>
  <c r="AE50" i="65"/>
  <c r="AE43" i="65"/>
  <c r="AE35" i="65"/>
  <c r="AF35" i="65" s="1"/>
  <c r="AE26" i="65"/>
  <c r="AF26" i="65" s="1"/>
  <c r="AE22" i="65"/>
  <c r="AF22" i="65" s="1"/>
  <c r="AE20" i="65"/>
  <c r="AF20" i="65" s="1"/>
  <c r="AE31" i="65"/>
  <c r="AE29" i="65"/>
  <c r="AF29" i="65" s="1"/>
  <c r="AE24" i="65"/>
  <c r="AE21" i="65"/>
  <c r="AF21" i="65" s="1"/>
  <c r="AE27" i="65"/>
  <c r="AF27" i="65" s="1"/>
  <c r="AE25" i="65"/>
  <c r="AF25" i="65" s="1"/>
  <c r="AE30" i="65"/>
  <c r="AE28" i="65"/>
  <c r="AE23" i="65"/>
  <c r="AF24" i="65"/>
  <c r="AF28" i="65"/>
  <c r="AF30" i="65"/>
  <c r="AF31" i="65"/>
  <c r="BP24" i="65"/>
  <c r="AT24" i="65" s="1"/>
  <c r="N21" i="65"/>
  <c r="O21" i="65" s="1"/>
  <c r="AX22" i="65"/>
  <c r="BF22" i="65"/>
  <c r="AW23" i="65"/>
  <c r="N24" i="65"/>
  <c r="O24" i="65" s="1"/>
  <c r="AA24" i="65"/>
  <c r="AB24" i="65" s="1"/>
  <c r="AC24" i="65" s="1"/>
  <c r="BA24" i="65"/>
  <c r="AZ24" i="65" s="1"/>
  <c r="BI24" i="65"/>
  <c r="BW25" i="65"/>
  <c r="BW27" i="65"/>
  <c r="N29" i="65"/>
  <c r="O29" i="65" s="1"/>
  <c r="AA29" i="65"/>
  <c r="AB29" i="65" s="1"/>
  <c r="AC29" i="65" s="1"/>
  <c r="AL29" i="65"/>
  <c r="BA29" i="65"/>
  <c r="AW30" i="65"/>
  <c r="BE30" i="65"/>
  <c r="AX31" i="65"/>
  <c r="AF44" i="65"/>
  <c r="AF45" i="65"/>
  <c r="AF50" i="65"/>
  <c r="AF55" i="65"/>
  <c r="AF58" i="65"/>
  <c r="CS21" i="65"/>
  <c r="CP21" i="65" s="1"/>
  <c r="BP29" i="65"/>
  <c r="AT29" i="65" s="1"/>
  <c r="AA20" i="65"/>
  <c r="BA20" i="65"/>
  <c r="BC20" i="65" s="1"/>
  <c r="BI20" i="65"/>
  <c r="BW20" i="65"/>
  <c r="CM20" i="65"/>
  <c r="CS20" i="65" s="1"/>
  <c r="AB21" i="65"/>
  <c r="BW21" i="65"/>
  <c r="N22" i="65"/>
  <c r="O22" i="65" s="1"/>
  <c r="CA22" i="65"/>
  <c r="CG22" i="65" s="1"/>
  <c r="CD22" i="65" s="1"/>
  <c r="AX23" i="65"/>
  <c r="AV25" i="65"/>
  <c r="AZ26" i="65"/>
  <c r="BH26" i="65"/>
  <c r="BP26" i="65"/>
  <c r="AT26" i="65" s="1"/>
  <c r="AV27" i="65"/>
  <c r="AX28" i="65"/>
  <c r="AX30" i="65"/>
  <c r="BF30" i="65"/>
  <c r="AF53" i="65"/>
  <c r="AB20" i="65"/>
  <c r="BD21" i="65"/>
  <c r="BG21" i="65" s="1"/>
  <c r="N26" i="65"/>
  <c r="O26" i="65" s="1"/>
  <c r="AA26" i="65"/>
  <c r="BA26" i="65"/>
  <c r="BC26" i="65" s="1"/>
  <c r="BI26" i="65"/>
  <c r="BW29" i="65"/>
  <c r="BH30" i="65"/>
  <c r="BW30" i="65"/>
  <c r="AF32" i="65"/>
  <c r="BB21" i="65"/>
  <c r="AA22" i="65"/>
  <c r="AB22" i="65" s="1"/>
  <c r="BP22" i="65"/>
  <c r="AT22" i="65" s="1"/>
  <c r="AL97" i="65"/>
  <c r="AL100" i="65"/>
  <c r="AL103" i="65"/>
  <c r="AL95" i="65"/>
  <c r="AL105" i="65"/>
  <c r="AL98" i="65"/>
  <c r="AL101" i="65"/>
  <c r="AL104" i="65"/>
  <c r="AL96" i="65"/>
  <c r="AL99" i="65"/>
  <c r="AL106" i="65"/>
  <c r="AL102" i="65"/>
  <c r="AL90" i="65"/>
  <c r="AL82" i="65"/>
  <c r="AL85" i="65"/>
  <c r="AL88" i="65"/>
  <c r="AL91" i="65"/>
  <c r="AL94" i="65"/>
  <c r="AL93" i="65"/>
  <c r="AL86" i="65"/>
  <c r="AL89" i="65"/>
  <c r="AL81" i="65"/>
  <c r="AL92" i="65"/>
  <c r="AL84" i="65"/>
  <c r="AL83" i="65"/>
  <c r="AL74" i="65"/>
  <c r="AL67" i="65"/>
  <c r="AL77" i="65"/>
  <c r="AL69" i="65"/>
  <c r="AL62" i="65"/>
  <c r="AL72" i="65"/>
  <c r="AL65" i="65"/>
  <c r="AL87" i="65"/>
  <c r="AL75" i="65"/>
  <c r="AL68" i="65"/>
  <c r="AL78" i="65"/>
  <c r="AL70" i="65"/>
  <c r="AL73" i="65"/>
  <c r="AL66" i="65"/>
  <c r="AL80" i="65"/>
  <c r="AL76" i="65"/>
  <c r="AL79" i="65"/>
  <c r="AL71" i="65"/>
  <c r="AL49" i="65"/>
  <c r="AL42" i="65"/>
  <c r="AL63" i="65"/>
  <c r="AL52" i="65"/>
  <c r="AL47" i="65"/>
  <c r="AL64" i="65"/>
  <c r="AL50" i="65"/>
  <c r="AL43" i="65"/>
  <c r="AL45" i="65"/>
  <c r="AL48" i="65"/>
  <c r="AL41" i="65"/>
  <c r="AL51" i="65"/>
  <c r="AL44" i="65"/>
  <c r="AL46" i="65"/>
  <c r="CG20" i="65"/>
  <c r="CD20" i="65" s="1"/>
  <c r="BM21" i="65"/>
  <c r="CG21" i="65"/>
  <c r="CD21" i="65" s="1"/>
  <c r="BA22" i="65"/>
  <c r="BC22" i="65" s="1"/>
  <c r="BI22" i="65"/>
  <c r="CK22" i="65"/>
  <c r="BP23" i="65"/>
  <c r="AT23" i="65" s="1"/>
  <c r="AV24" i="65"/>
  <c r="BD24" i="65"/>
  <c r="BG24" i="65" s="1"/>
  <c r="BL24" i="65"/>
  <c r="AX25" i="65"/>
  <c r="AB26" i="65"/>
  <c r="AC26" i="65" s="1"/>
  <c r="AX27" i="65"/>
  <c r="BN27" i="65"/>
  <c r="N28" i="65"/>
  <c r="O28" i="65" s="1"/>
  <c r="BP28" i="65"/>
  <c r="AT28" i="65" s="1"/>
  <c r="AV29" i="65"/>
  <c r="BL29" i="65"/>
  <c r="BI30" i="65"/>
  <c r="AF46" i="65"/>
  <c r="AF51" i="65"/>
  <c r="AF59" i="65"/>
  <c r="BL21" i="65"/>
  <c r="BH22" i="65"/>
  <c r="BW24" i="65"/>
  <c r="AV20" i="65"/>
  <c r="BD20" i="65"/>
  <c r="BG20" i="65" s="1"/>
  <c r="BL20" i="65"/>
  <c r="AX21" i="65"/>
  <c r="BF21" i="65"/>
  <c r="BN21" i="65"/>
  <c r="CL22" i="65"/>
  <c r="N23" i="65"/>
  <c r="O23" i="65" s="1"/>
  <c r="AA23" i="65"/>
  <c r="AL23" i="65"/>
  <c r="BA23" i="65"/>
  <c r="BQ23" i="65"/>
  <c r="BR23" i="65" s="1"/>
  <c r="BE24" i="65"/>
  <c r="BM24" i="65"/>
  <c r="BW26" i="65"/>
  <c r="AY27" i="65"/>
  <c r="AA28" i="65"/>
  <c r="AB28" i="65" s="1"/>
  <c r="AC28" i="65" s="1"/>
  <c r="AL28" i="65"/>
  <c r="BA28" i="65"/>
  <c r="BM29" i="65"/>
  <c r="N30" i="65"/>
  <c r="O30" i="65" s="1"/>
  <c r="AF34" i="65"/>
  <c r="AF38" i="65"/>
  <c r="BH24" i="65"/>
  <c r="BP20" i="65"/>
  <c r="AT20" i="65" s="1"/>
  <c r="BP162" i="65"/>
  <c r="AT162" i="65" s="1"/>
  <c r="BA157" i="65"/>
  <c r="AX156" i="65"/>
  <c r="BP154" i="65"/>
  <c r="AT154" i="65" s="1"/>
  <c r="BA150" i="65"/>
  <c r="AX149" i="65"/>
  <c r="BA160" i="65"/>
  <c r="AX159" i="65"/>
  <c r="BP157" i="65"/>
  <c r="AT157" i="65" s="1"/>
  <c r="AX152" i="65"/>
  <c r="BA163" i="65"/>
  <c r="AX162" i="65"/>
  <c r="BP160" i="65"/>
  <c r="AT160" i="65" s="1"/>
  <c r="BA155" i="65"/>
  <c r="AX154" i="65"/>
  <c r="BA148" i="65"/>
  <c r="BP163" i="65"/>
  <c r="AT163" i="65" s="1"/>
  <c r="BA158" i="65"/>
  <c r="AX157" i="65"/>
  <c r="BP155" i="65"/>
  <c r="AT155" i="65" s="1"/>
  <c r="BA151" i="65"/>
  <c r="BP148" i="65"/>
  <c r="AT148" i="65" s="1"/>
  <c r="AX163" i="65"/>
  <c r="BP161" i="65"/>
  <c r="AT161" i="65" s="1"/>
  <c r="BA156" i="65"/>
  <c r="AX155" i="65"/>
  <c r="BA149" i="65"/>
  <c r="AX148" i="65"/>
  <c r="BP156" i="65"/>
  <c r="AT156" i="65" s="1"/>
  <c r="BP152" i="65"/>
  <c r="AT152" i="65" s="1"/>
  <c r="AX151" i="65"/>
  <c r="BA145" i="65"/>
  <c r="AX144" i="65"/>
  <c r="BP142" i="65"/>
  <c r="AT142" i="65" s="1"/>
  <c r="BA161" i="65"/>
  <c r="AX158" i="65"/>
  <c r="AX147" i="65"/>
  <c r="BP145" i="65"/>
  <c r="AT145" i="65" s="1"/>
  <c r="BA162" i="65"/>
  <c r="AX161" i="65"/>
  <c r="BP158" i="65"/>
  <c r="AT158" i="65" s="1"/>
  <c r="BA154" i="65"/>
  <c r="BA143" i="65"/>
  <c r="BA146" i="65"/>
  <c r="AX145" i="65"/>
  <c r="BP143" i="65"/>
  <c r="AT143" i="65" s="1"/>
  <c r="BA139" i="65"/>
  <c r="AX138" i="65"/>
  <c r="BP146" i="65"/>
  <c r="AT146" i="65" s="1"/>
  <c r="BA141" i="65"/>
  <c r="BA153" i="65"/>
  <c r="BA152" i="65"/>
  <c r="BA144" i="65"/>
  <c r="AX143" i="65"/>
  <c r="BP141" i="65"/>
  <c r="AT141" i="65" s="1"/>
  <c r="BP149" i="65"/>
  <c r="AT149" i="65" s="1"/>
  <c r="BP147" i="65"/>
  <c r="AT147" i="65" s="1"/>
  <c r="BA142" i="65"/>
  <c r="AX141" i="65"/>
  <c r="BP140" i="65"/>
  <c r="AT140" i="65" s="1"/>
  <c r="BA138" i="65"/>
  <c r="BP136" i="65"/>
  <c r="AT136" i="65" s="1"/>
  <c r="BA131" i="65"/>
  <c r="AX130" i="65"/>
  <c r="BA147" i="65"/>
  <c r="BP138" i="65"/>
  <c r="AT138" i="65" s="1"/>
  <c r="BA134" i="65"/>
  <c r="BP131" i="65"/>
  <c r="AT131" i="65" s="1"/>
  <c r="AX146" i="65"/>
  <c r="BP144" i="65"/>
  <c r="AT144" i="65" s="1"/>
  <c r="BA137" i="65"/>
  <c r="AX136" i="65"/>
  <c r="BA129" i="65"/>
  <c r="BP127" i="65"/>
  <c r="AT127" i="65" s="1"/>
  <c r="BP137" i="65"/>
  <c r="AT137" i="65" s="1"/>
  <c r="BA132" i="65"/>
  <c r="AX131" i="65"/>
  <c r="BA125" i="65"/>
  <c r="BA135" i="65"/>
  <c r="BP132" i="65"/>
  <c r="AT132" i="65" s="1"/>
  <c r="BA136" i="65"/>
  <c r="AX135" i="65"/>
  <c r="BP133" i="65"/>
  <c r="AT133" i="65" s="1"/>
  <c r="AX128" i="65"/>
  <c r="BP126" i="65"/>
  <c r="AT126" i="65" s="1"/>
  <c r="BA159" i="65"/>
  <c r="BA119" i="65"/>
  <c r="AX118" i="65"/>
  <c r="BA140" i="65"/>
  <c r="BA127" i="65"/>
  <c r="AX140" i="65"/>
  <c r="BP128" i="65"/>
  <c r="AT128" i="65" s="1"/>
  <c r="AX127" i="65"/>
  <c r="AX124" i="65"/>
  <c r="BP122" i="65"/>
  <c r="AT122" i="65" s="1"/>
  <c r="AX132" i="65"/>
  <c r="BP130" i="65"/>
  <c r="AT130" i="65" s="1"/>
  <c r="BA126" i="65"/>
  <c r="BP124" i="65"/>
  <c r="AT124" i="65" s="1"/>
  <c r="BA120" i="65"/>
  <c r="AX119" i="65"/>
  <c r="BA133" i="65"/>
  <c r="AX126" i="65"/>
  <c r="BA123" i="65"/>
  <c r="AX122" i="65"/>
  <c r="BP120" i="65"/>
  <c r="AT120" i="65" s="1"/>
  <c r="BA116" i="65"/>
  <c r="AX115" i="65"/>
  <c r="BP113" i="65"/>
  <c r="AT113" i="65" s="1"/>
  <c r="AX137" i="65"/>
  <c r="AX121" i="65"/>
  <c r="BP118" i="65"/>
  <c r="AT118" i="65" s="1"/>
  <c r="AX114" i="65"/>
  <c r="AX113" i="65"/>
  <c r="BA106" i="65"/>
  <c r="BP135" i="65"/>
  <c r="AT135" i="65" s="1"/>
  <c r="BA130" i="65"/>
  <c r="BA128" i="65"/>
  <c r="BA118" i="65"/>
  <c r="AX117" i="65"/>
  <c r="BP115" i="65"/>
  <c r="AT115" i="65" s="1"/>
  <c r="BP123" i="65"/>
  <c r="AT123" i="65" s="1"/>
  <c r="AX123" i="65"/>
  <c r="BA112" i="65"/>
  <c r="BP109" i="65"/>
  <c r="AT109" i="65" s="1"/>
  <c r="BP114" i="65"/>
  <c r="AT114" i="65" s="1"/>
  <c r="BP112" i="65"/>
  <c r="AT112" i="65" s="1"/>
  <c r="BA107" i="65"/>
  <c r="AX106" i="65"/>
  <c r="BA124" i="65"/>
  <c r="BP117" i="65"/>
  <c r="AT117" i="65" s="1"/>
  <c r="BA115" i="65"/>
  <c r="BA122" i="65"/>
  <c r="AX116" i="65"/>
  <c r="BA113" i="65"/>
  <c r="AX112" i="65"/>
  <c r="BP110" i="65"/>
  <c r="AT110" i="65" s="1"/>
  <c r="BA121" i="65"/>
  <c r="BA114" i="65"/>
  <c r="BA108" i="65"/>
  <c r="AX107" i="65"/>
  <c r="BP121" i="65"/>
  <c r="AT121" i="65" s="1"/>
  <c r="AX120" i="65"/>
  <c r="BP119" i="65"/>
  <c r="AT119" i="65" s="1"/>
  <c r="BA109" i="65"/>
  <c r="BP107" i="65"/>
  <c r="AT107" i="65" s="1"/>
  <c r="BA102" i="65"/>
  <c r="AX101" i="65"/>
  <c r="BP99" i="65"/>
  <c r="AT99" i="65" s="1"/>
  <c r="AX109" i="65"/>
  <c r="AX104" i="65"/>
  <c r="BP102" i="65"/>
  <c r="AT102" i="65" s="1"/>
  <c r="BA97" i="65"/>
  <c r="AX96" i="65"/>
  <c r="BP94" i="65"/>
  <c r="AT94" i="65" s="1"/>
  <c r="BA111" i="65"/>
  <c r="BA100" i="65"/>
  <c r="AX99" i="65"/>
  <c r="BP97" i="65"/>
  <c r="AT97" i="65" s="1"/>
  <c r="BA103" i="65"/>
  <c r="AX102" i="65"/>
  <c r="BP100" i="65"/>
  <c r="AT100" i="65" s="1"/>
  <c r="BA95" i="65"/>
  <c r="AX94" i="65"/>
  <c r="BP116" i="65"/>
  <c r="AT116" i="65" s="1"/>
  <c r="BA110" i="65"/>
  <c r="BP106" i="65"/>
  <c r="AT106" i="65" s="1"/>
  <c r="BA105" i="65"/>
  <c r="BP103" i="65"/>
  <c r="AT103" i="65" s="1"/>
  <c r="BA98" i="65"/>
  <c r="AX97" i="65"/>
  <c r="BP95" i="65"/>
  <c r="AT95" i="65" s="1"/>
  <c r="BA101" i="65"/>
  <c r="AX100" i="65"/>
  <c r="BP98" i="65"/>
  <c r="AT98" i="65" s="1"/>
  <c r="BP105" i="65"/>
  <c r="AT105" i="65" s="1"/>
  <c r="BA104" i="65"/>
  <c r="AX103" i="65"/>
  <c r="BP101" i="65"/>
  <c r="AT101" i="65" s="1"/>
  <c r="BA96" i="65"/>
  <c r="AX95" i="65"/>
  <c r="BP93" i="65"/>
  <c r="AT93" i="65" s="1"/>
  <c r="BA117" i="65"/>
  <c r="AX105" i="65"/>
  <c r="BP104" i="65"/>
  <c r="AT104" i="65" s="1"/>
  <c r="BA99" i="65"/>
  <c r="AX98" i="65"/>
  <c r="BP96" i="65"/>
  <c r="AT96" i="65" s="1"/>
  <c r="BA94" i="65"/>
  <c r="AX93" i="65"/>
  <c r="BA87" i="65"/>
  <c r="AX86" i="65"/>
  <c r="BP84" i="65"/>
  <c r="AT84" i="65" s="1"/>
  <c r="BA80" i="65"/>
  <c r="BA90" i="65"/>
  <c r="AX89" i="65"/>
  <c r="BP87" i="65"/>
  <c r="AT87" i="65" s="1"/>
  <c r="BA82" i="65"/>
  <c r="AX81" i="65"/>
  <c r="BP90" i="65"/>
  <c r="AT90" i="65" s="1"/>
  <c r="BA85" i="65"/>
  <c r="AX84" i="65"/>
  <c r="BP82" i="65"/>
  <c r="AT82" i="65" s="1"/>
  <c r="BA88" i="65"/>
  <c r="AX87" i="65"/>
  <c r="BP85" i="65"/>
  <c r="AT85" i="65" s="1"/>
  <c r="BA91" i="65"/>
  <c r="AX90" i="65"/>
  <c r="BA83" i="65"/>
  <c r="AX82" i="65"/>
  <c r="BA93" i="65"/>
  <c r="BP91" i="65"/>
  <c r="AT91" i="65" s="1"/>
  <c r="BA86" i="65"/>
  <c r="AX85" i="65"/>
  <c r="BP83" i="65"/>
  <c r="AT83" i="65" s="1"/>
  <c r="BA89" i="65"/>
  <c r="AX88" i="65"/>
  <c r="BP86" i="65"/>
  <c r="AT86" i="65" s="1"/>
  <c r="BA81" i="65"/>
  <c r="BA92" i="65"/>
  <c r="BA79" i="65"/>
  <c r="AX78" i="65"/>
  <c r="BP76" i="65"/>
  <c r="AT76" i="65" s="1"/>
  <c r="BA71" i="65"/>
  <c r="BA64" i="65"/>
  <c r="AX63" i="65"/>
  <c r="BP61" i="65"/>
  <c r="AT61" i="65" s="1"/>
  <c r="BP89" i="65"/>
  <c r="AT89" i="65" s="1"/>
  <c r="BA74" i="65"/>
  <c r="AX73" i="65"/>
  <c r="BP71" i="65"/>
  <c r="AT71" i="65" s="1"/>
  <c r="BA67" i="65"/>
  <c r="AX66" i="65"/>
  <c r="BP64" i="65"/>
  <c r="AT64" i="65" s="1"/>
  <c r="BA59" i="65"/>
  <c r="AX91" i="65"/>
  <c r="BA77" i="65"/>
  <c r="AX76" i="65"/>
  <c r="BP74" i="65"/>
  <c r="AT74" i="65" s="1"/>
  <c r="BA69" i="65"/>
  <c r="BP67" i="65"/>
  <c r="AT67" i="65" s="1"/>
  <c r="BA62" i="65"/>
  <c r="AX61" i="65"/>
  <c r="BP59" i="65"/>
  <c r="AT59" i="65" s="1"/>
  <c r="BA84" i="65"/>
  <c r="BP77" i="65"/>
  <c r="AT77" i="65" s="1"/>
  <c r="BA72" i="65"/>
  <c r="AX71" i="65"/>
  <c r="BP69" i="65"/>
  <c r="AT69" i="65" s="1"/>
  <c r="BA65" i="65"/>
  <c r="AX64" i="65"/>
  <c r="BA75" i="65"/>
  <c r="AX74" i="65"/>
  <c r="BP72" i="65"/>
  <c r="AT72" i="65" s="1"/>
  <c r="AX80" i="65"/>
  <c r="BA78" i="65"/>
  <c r="AX77" i="65"/>
  <c r="BP75" i="65"/>
  <c r="AT75" i="65" s="1"/>
  <c r="BA70" i="65"/>
  <c r="AX69" i="65"/>
  <c r="BP68" i="65"/>
  <c r="AT68" i="65" s="1"/>
  <c r="BA63" i="65"/>
  <c r="BP60" i="65"/>
  <c r="AT60" i="65" s="1"/>
  <c r="BP81" i="65"/>
  <c r="AT81" i="65" s="1"/>
  <c r="BP78" i="65"/>
  <c r="AT78" i="65" s="1"/>
  <c r="BA73" i="65"/>
  <c r="AX72" i="65"/>
  <c r="BA66" i="65"/>
  <c r="AX65" i="65"/>
  <c r="BP63" i="65"/>
  <c r="AT63" i="65" s="1"/>
  <c r="AX83" i="65"/>
  <c r="BA76" i="65"/>
  <c r="AX75" i="65"/>
  <c r="BP73" i="65"/>
  <c r="AT73" i="65" s="1"/>
  <c r="AX68" i="65"/>
  <c r="BP66" i="65"/>
  <c r="AT66" i="65" s="1"/>
  <c r="BA54" i="65"/>
  <c r="BP51" i="65"/>
  <c r="AT51" i="65" s="1"/>
  <c r="BA46" i="65"/>
  <c r="AX45" i="65"/>
  <c r="BP44" i="65"/>
  <c r="AT44" i="65" s="1"/>
  <c r="BA39" i="65"/>
  <c r="AX38" i="65"/>
  <c r="BP36" i="65"/>
  <c r="AT36" i="65" s="1"/>
  <c r="BP34" i="65"/>
  <c r="AT34" i="65" s="1"/>
  <c r="AX67" i="65"/>
  <c r="BP65" i="65"/>
  <c r="AT65" i="65" s="1"/>
  <c r="BP58" i="65"/>
  <c r="AT58" i="65" s="1"/>
  <c r="AX56" i="65"/>
  <c r="BA49" i="65"/>
  <c r="AX48" i="65"/>
  <c r="BP46" i="65"/>
  <c r="AT46" i="65" s="1"/>
  <c r="BA42" i="65"/>
  <c r="AX41" i="65"/>
  <c r="BP39" i="65"/>
  <c r="AT39" i="65" s="1"/>
  <c r="BA32" i="65"/>
  <c r="BA61" i="65"/>
  <c r="AX58" i="65"/>
  <c r="BA52" i="65"/>
  <c r="AX51" i="65"/>
  <c r="BP49" i="65"/>
  <c r="AT49" i="65" s="1"/>
  <c r="AX44" i="65"/>
  <c r="BP42" i="65"/>
  <c r="AT42" i="65" s="1"/>
  <c r="BA37" i="65"/>
  <c r="AX36" i="65"/>
  <c r="AX34" i="65"/>
  <c r="BP32" i="65"/>
  <c r="AT32" i="65" s="1"/>
  <c r="BA60" i="65"/>
  <c r="AX59" i="65"/>
  <c r="BA55" i="65"/>
  <c r="BP52" i="65"/>
  <c r="AT52" i="65" s="1"/>
  <c r="BA47" i="65"/>
  <c r="AX46" i="65"/>
  <c r="BA40" i="65"/>
  <c r="AX39" i="65"/>
  <c r="BP37" i="65"/>
  <c r="AT37" i="65" s="1"/>
  <c r="BA35" i="65"/>
  <c r="AX60" i="65"/>
  <c r="BA57" i="65"/>
  <c r="BP55" i="65"/>
  <c r="AT55" i="65" s="1"/>
  <c r="BA50" i="65"/>
  <c r="AX49" i="65"/>
  <c r="BP47" i="65"/>
  <c r="AT47" i="65" s="1"/>
  <c r="BA43" i="65"/>
  <c r="AX42" i="65"/>
  <c r="BP40" i="65"/>
  <c r="AT40" i="65" s="1"/>
  <c r="BP35" i="65"/>
  <c r="AT35" i="65" s="1"/>
  <c r="AX32" i="65"/>
  <c r="BP30" i="65"/>
  <c r="AT30" i="65" s="1"/>
  <c r="BP57" i="65"/>
  <c r="AT57" i="65" s="1"/>
  <c r="BA53" i="65"/>
  <c r="AX52" i="65"/>
  <c r="BP50" i="65"/>
  <c r="AT50" i="65" s="1"/>
  <c r="BA45" i="65"/>
  <c r="BP43" i="65"/>
  <c r="AT43" i="65" s="1"/>
  <c r="BA38" i="65"/>
  <c r="AX37" i="65"/>
  <c r="BA33" i="65"/>
  <c r="BA31" i="65"/>
  <c r="BA56" i="65"/>
  <c r="AX55" i="65"/>
  <c r="BP53" i="65"/>
  <c r="AT53" i="65" s="1"/>
  <c r="BA48" i="65"/>
  <c r="AX47" i="65"/>
  <c r="BP45" i="65"/>
  <c r="AT45" i="65" s="1"/>
  <c r="BA41" i="65"/>
  <c r="AX40" i="65"/>
  <c r="BP38" i="65"/>
  <c r="AT38" i="65" s="1"/>
  <c r="AX35" i="65"/>
  <c r="BP33" i="65"/>
  <c r="AT33" i="65" s="1"/>
  <c r="BP31" i="65"/>
  <c r="AT31" i="65" s="1"/>
  <c r="BA68" i="65"/>
  <c r="BA58" i="65"/>
  <c r="AX57" i="65"/>
  <c r="BP56" i="65"/>
  <c r="AT56" i="65" s="1"/>
  <c r="BA51" i="65"/>
  <c r="AX50" i="65"/>
  <c r="BP48" i="65"/>
  <c r="AT48" i="65" s="1"/>
  <c r="BA44" i="65"/>
  <c r="AX43" i="65"/>
  <c r="BP41" i="65"/>
  <c r="AT41" i="65" s="1"/>
  <c r="BA36" i="65"/>
  <c r="BA34" i="65"/>
  <c r="AV21" i="65"/>
  <c r="AA160" i="65"/>
  <c r="AA163" i="65"/>
  <c r="AA155" i="65"/>
  <c r="AA158" i="65"/>
  <c r="AA151" i="65"/>
  <c r="AA161" i="65"/>
  <c r="AB161" i="65" s="1"/>
  <c r="AC161" i="65" s="1"/>
  <c r="AA153" i="65"/>
  <c r="AB153" i="65" s="1"/>
  <c r="AC153" i="65" s="1"/>
  <c r="AA159" i="65"/>
  <c r="AB159" i="65" s="1"/>
  <c r="AC159" i="65" s="1"/>
  <c r="AA152" i="65"/>
  <c r="AA162" i="65"/>
  <c r="AA154" i="65"/>
  <c r="CI152" i="65"/>
  <c r="AA150" i="65"/>
  <c r="AB150" i="65" s="1"/>
  <c r="AC150" i="65" s="1"/>
  <c r="AA148" i="65"/>
  <c r="AB148" i="65" s="1"/>
  <c r="AC148" i="65" s="1"/>
  <c r="AA157" i="65"/>
  <c r="AB157" i="65" s="1"/>
  <c r="AC157" i="65" s="1"/>
  <c r="AA143" i="65"/>
  <c r="AB143" i="65" s="1"/>
  <c r="AC143" i="65" s="1"/>
  <c r="AA149" i="65"/>
  <c r="AA146" i="65"/>
  <c r="AA139" i="65"/>
  <c r="AA156" i="65"/>
  <c r="CT152" i="65"/>
  <c r="AA141" i="65"/>
  <c r="AB141" i="65" s="1"/>
  <c r="AC141" i="65" s="1"/>
  <c r="AA144" i="65"/>
  <c r="AB144" i="65" s="1"/>
  <c r="AC144" i="65" s="1"/>
  <c r="CT140" i="65"/>
  <c r="CI140" i="65"/>
  <c r="AA147" i="65"/>
  <c r="AA140" i="65"/>
  <c r="AA145" i="65"/>
  <c r="AA134" i="65"/>
  <c r="AA127" i="65"/>
  <c r="AB127" i="65" s="1"/>
  <c r="AC127" i="65" s="1"/>
  <c r="AA137" i="65"/>
  <c r="AB137" i="65" s="1"/>
  <c r="AC137" i="65" s="1"/>
  <c r="AA129" i="65"/>
  <c r="AB129" i="65" s="1"/>
  <c r="AC129" i="65" s="1"/>
  <c r="AA132" i="65"/>
  <c r="AB132" i="65" s="1"/>
  <c r="AC132" i="65" s="1"/>
  <c r="CT128" i="65"/>
  <c r="CI128" i="65"/>
  <c r="AA125" i="65"/>
  <c r="AA135" i="65"/>
  <c r="AA128" i="65"/>
  <c r="AB128" i="65" s="1"/>
  <c r="AA138" i="65"/>
  <c r="AB138" i="65" s="1"/>
  <c r="AC138" i="65" s="1"/>
  <c r="AA130" i="65"/>
  <c r="AB130" i="65" s="1"/>
  <c r="AC130" i="65" s="1"/>
  <c r="AA142" i="65"/>
  <c r="AA131" i="65"/>
  <c r="AA133" i="65"/>
  <c r="AA122" i="65"/>
  <c r="AA115" i="65"/>
  <c r="AA136" i="65"/>
  <c r="AB136" i="65" s="1"/>
  <c r="AC136" i="65" s="1"/>
  <c r="AA120" i="65"/>
  <c r="AB120" i="65" s="1"/>
  <c r="AC120" i="65" s="1"/>
  <c r="AA126" i="65"/>
  <c r="AB126" i="65" s="1"/>
  <c r="AC126" i="65" s="1"/>
  <c r="AA123" i="65"/>
  <c r="AA118" i="65"/>
  <c r="CT116" i="65"/>
  <c r="AA109" i="65"/>
  <c r="AA114" i="65"/>
  <c r="AA112" i="65"/>
  <c r="AB112" i="65" s="1"/>
  <c r="AC112" i="65" s="1"/>
  <c r="AA117" i="65"/>
  <c r="AB117" i="65" s="1"/>
  <c r="AC117" i="65" s="1"/>
  <c r="AA107" i="65"/>
  <c r="AB107" i="65" s="1"/>
  <c r="AC107" i="65" s="1"/>
  <c r="AA124" i="65"/>
  <c r="AA110" i="65"/>
  <c r="AA121" i="65"/>
  <c r="AA108" i="65"/>
  <c r="AA119" i="65"/>
  <c r="CI116" i="65"/>
  <c r="AA116" i="65"/>
  <c r="AB116" i="65" s="1"/>
  <c r="AA111" i="65"/>
  <c r="AB111" i="65" s="1"/>
  <c r="AC111" i="65" s="1"/>
  <c r="AA97" i="65"/>
  <c r="AA100" i="65"/>
  <c r="AA103" i="65"/>
  <c r="AA113" i="65"/>
  <c r="AA106" i="65"/>
  <c r="AA105" i="65"/>
  <c r="AB105" i="65" s="1"/>
  <c r="AC105" i="65" s="1"/>
  <c r="AA98" i="65"/>
  <c r="AB98" i="65" s="1"/>
  <c r="AC98" i="65" s="1"/>
  <c r="CT104" i="65"/>
  <c r="CI104" i="65"/>
  <c r="AA101" i="65"/>
  <c r="AA104" i="65"/>
  <c r="AA96" i="65"/>
  <c r="AB96" i="65" s="1"/>
  <c r="AC96" i="65" s="1"/>
  <c r="AA99" i="65"/>
  <c r="AA102" i="65"/>
  <c r="AB102" i="65" s="1"/>
  <c r="AC102" i="65" s="1"/>
  <c r="AA90" i="65"/>
  <c r="AB90" i="65" s="1"/>
  <c r="AC90" i="65" s="1"/>
  <c r="AA82" i="65"/>
  <c r="AB82" i="65" s="1"/>
  <c r="AC82" i="65" s="1"/>
  <c r="AA85" i="65"/>
  <c r="AA94" i="65"/>
  <c r="AB94" i="65" s="1"/>
  <c r="AC94" i="65" s="1"/>
  <c r="AA88" i="65"/>
  <c r="AA91" i="65"/>
  <c r="AA93" i="65"/>
  <c r="AA86" i="65"/>
  <c r="AB86" i="65" s="1"/>
  <c r="AC86" i="65" s="1"/>
  <c r="AA95" i="65"/>
  <c r="AB95" i="65" s="1"/>
  <c r="AC95" i="65" s="1"/>
  <c r="CI92" i="65"/>
  <c r="AA89" i="65"/>
  <c r="AA81" i="65"/>
  <c r="AA92" i="65"/>
  <c r="AA84" i="65"/>
  <c r="CT80" i="65"/>
  <c r="CI80" i="65"/>
  <c r="AA74" i="65"/>
  <c r="AB74" i="65" s="1"/>
  <c r="AC74" i="65" s="1"/>
  <c r="AA67" i="65"/>
  <c r="AB67" i="65" s="1"/>
  <c r="AC67" i="65" s="1"/>
  <c r="AA77" i="65"/>
  <c r="AA69" i="65"/>
  <c r="AA62" i="65"/>
  <c r="AB62" i="65" s="1"/>
  <c r="AC62" i="65" s="1"/>
  <c r="AA72" i="65"/>
  <c r="CT68" i="65"/>
  <c r="CI68" i="65"/>
  <c r="AA65" i="65"/>
  <c r="AB65" i="65" s="1"/>
  <c r="AC65" i="65" s="1"/>
  <c r="AA83" i="65"/>
  <c r="AB83" i="65" s="1"/>
  <c r="AC83" i="65" s="1"/>
  <c r="AA80" i="65"/>
  <c r="AA75" i="65"/>
  <c r="AA68" i="65"/>
  <c r="AA60" i="65"/>
  <c r="AA78" i="65"/>
  <c r="AA70" i="65"/>
  <c r="AB70" i="65" s="1"/>
  <c r="AC70" i="65" s="1"/>
  <c r="AA87" i="65"/>
  <c r="AB87" i="65" s="1"/>
  <c r="AC87" i="65" s="1"/>
  <c r="AA73" i="65"/>
  <c r="AB73" i="65" s="1"/>
  <c r="AC73" i="65" s="1"/>
  <c r="AA66" i="65"/>
  <c r="AA76" i="65"/>
  <c r="AA61" i="65"/>
  <c r="AA79" i="65"/>
  <c r="AA71" i="65"/>
  <c r="AA49" i="65"/>
  <c r="AB49" i="65" s="1"/>
  <c r="AC49" i="65" s="1"/>
  <c r="AA42" i="65"/>
  <c r="AA52" i="65"/>
  <c r="AB52" i="65" s="1"/>
  <c r="AC52" i="65" s="1"/>
  <c r="AA37" i="65"/>
  <c r="AA32" i="65"/>
  <c r="AB32" i="65" s="1"/>
  <c r="AC32" i="65" s="1"/>
  <c r="AA55" i="65"/>
  <c r="AA47" i="65"/>
  <c r="AA40" i="65"/>
  <c r="AA57" i="65"/>
  <c r="AB57" i="65" s="1"/>
  <c r="AC57" i="65" s="1"/>
  <c r="AA50" i="65"/>
  <c r="AB50" i="65" s="1"/>
  <c r="AC50" i="65" s="1"/>
  <c r="AA43" i="65"/>
  <c r="AB43" i="65" s="1"/>
  <c r="AC43" i="65" s="1"/>
  <c r="AA35" i="65"/>
  <c r="AA63" i="65"/>
  <c r="CT56" i="65"/>
  <c r="CI56" i="65"/>
  <c r="AA53" i="65"/>
  <c r="AA45" i="65"/>
  <c r="AB45" i="65" s="1"/>
  <c r="AC45" i="65" s="1"/>
  <c r="AA38" i="65"/>
  <c r="AB38" i="65" s="1"/>
  <c r="AC38" i="65" s="1"/>
  <c r="AA59" i="65"/>
  <c r="AB59" i="65" s="1"/>
  <c r="AC59" i="65" s="1"/>
  <c r="AA56" i="65"/>
  <c r="AA48" i="65"/>
  <c r="CT44" i="65"/>
  <c r="CI44" i="65"/>
  <c r="AA41" i="65"/>
  <c r="AA33" i="65"/>
  <c r="AB33" i="65" s="1"/>
  <c r="AC33" i="65" s="1"/>
  <c r="BQ31" i="65"/>
  <c r="BR31" i="65" s="1"/>
  <c r="AA31" i="65"/>
  <c r="AB31" i="65" s="1"/>
  <c r="AC31" i="65" s="1"/>
  <c r="AA64" i="65"/>
  <c r="AB64" i="65" s="1"/>
  <c r="AC64" i="65" s="1"/>
  <c r="AA58" i="65"/>
  <c r="AA51" i="65"/>
  <c r="AA44" i="65"/>
  <c r="AB44" i="65" s="1"/>
  <c r="AA54" i="65"/>
  <c r="AA46" i="65"/>
  <c r="AB46" i="65" s="1"/>
  <c r="AC46" i="65" s="1"/>
  <c r="AA39" i="65"/>
  <c r="AB39" i="65" s="1"/>
  <c r="AC39" i="65" s="1"/>
  <c r="AA36" i="65"/>
  <c r="AB36" i="65" s="1"/>
  <c r="AC36" i="65" s="1"/>
  <c r="AA34" i="65"/>
  <c r="BE20" i="65"/>
  <c r="BM20" i="65"/>
  <c r="AY21" i="65"/>
  <c r="CQ21" i="65"/>
  <c r="BW22" i="65"/>
  <c r="CE22" i="65"/>
  <c r="AB23" i="65"/>
  <c r="AC23" i="65" s="1"/>
  <c r="AX24" i="65"/>
  <c r="BF24" i="65"/>
  <c r="BN24" i="65"/>
  <c r="N25" i="65"/>
  <c r="O25" i="65" s="1"/>
  <c r="BP25" i="65"/>
  <c r="AT25" i="65" s="1"/>
  <c r="AV26" i="65"/>
  <c r="BD26" i="65"/>
  <c r="BG26" i="65" s="1"/>
  <c r="BL26" i="65"/>
  <c r="BP27" i="65"/>
  <c r="AT27" i="65" s="1"/>
  <c r="AX29" i="65"/>
  <c r="BN29" i="65"/>
  <c r="AB30" i="65"/>
  <c r="AC30" i="65" s="1"/>
  <c r="BO32" i="65"/>
  <c r="AY32" i="65"/>
  <c r="BN32" i="65"/>
  <c r="BM32" i="65"/>
  <c r="BL32" i="65"/>
  <c r="AF43" i="65"/>
  <c r="AF57" i="65"/>
  <c r="BH20" i="65"/>
  <c r="BW163" i="65"/>
  <c r="AB163" i="65"/>
  <c r="AC163" i="65" s="1"/>
  <c r="AV158" i="65"/>
  <c r="N157" i="65"/>
  <c r="O157" i="65" s="1"/>
  <c r="BW155" i="65"/>
  <c r="AB155" i="65"/>
  <c r="AC155" i="65" s="1"/>
  <c r="AV151" i="65"/>
  <c r="N150" i="65"/>
  <c r="O150" i="65" s="1"/>
  <c r="BW148" i="65"/>
  <c r="AV161" i="65"/>
  <c r="N160" i="65"/>
  <c r="O160" i="65" s="1"/>
  <c r="BW158" i="65"/>
  <c r="AB158" i="65"/>
  <c r="AC158" i="65" s="1"/>
  <c r="AV153" i="65"/>
  <c r="BW151" i="65"/>
  <c r="AB151" i="65"/>
  <c r="AC151" i="65" s="1"/>
  <c r="N163" i="65"/>
  <c r="O163" i="65" s="1"/>
  <c r="BW161" i="65"/>
  <c r="AV156" i="65"/>
  <c r="N155" i="65"/>
  <c r="O155" i="65" s="1"/>
  <c r="BW153" i="65"/>
  <c r="AV149" i="65"/>
  <c r="AV159" i="65"/>
  <c r="N158" i="65"/>
  <c r="O158" i="65" s="1"/>
  <c r="BW156" i="65"/>
  <c r="AB156" i="65"/>
  <c r="AC156" i="65" s="1"/>
  <c r="AV152" i="65"/>
  <c r="N151" i="65"/>
  <c r="O151" i="65" s="1"/>
  <c r="BW149" i="65"/>
  <c r="AB149" i="65"/>
  <c r="AC149" i="65" s="1"/>
  <c r="BW162" i="65"/>
  <c r="AB162" i="65"/>
  <c r="AC162" i="65" s="1"/>
  <c r="AV157" i="65"/>
  <c r="N156" i="65"/>
  <c r="O156" i="65" s="1"/>
  <c r="BW154" i="65"/>
  <c r="AB154" i="65"/>
  <c r="AC154" i="65" s="1"/>
  <c r="AV150" i="65"/>
  <c r="N149" i="65"/>
  <c r="O149" i="65" s="1"/>
  <c r="N159" i="65"/>
  <c r="O159" i="65" s="1"/>
  <c r="N153" i="65"/>
  <c r="O153" i="65" s="1"/>
  <c r="AV146" i="65"/>
  <c r="N145" i="65"/>
  <c r="O145" i="65" s="1"/>
  <c r="BW143" i="65"/>
  <c r="AV139" i="65"/>
  <c r="AB160" i="65"/>
  <c r="AC160" i="65" s="1"/>
  <c r="AV155" i="65"/>
  <c r="AV148" i="65"/>
  <c r="N148" i="65"/>
  <c r="O148" i="65" s="1"/>
  <c r="BW146" i="65"/>
  <c r="AB146" i="65"/>
  <c r="AC146" i="65" s="1"/>
  <c r="AV141" i="65"/>
  <c r="N161" i="65"/>
  <c r="O161" i="65" s="1"/>
  <c r="AB152" i="65"/>
  <c r="BW150" i="65"/>
  <c r="AV144" i="65"/>
  <c r="N143" i="65"/>
  <c r="O143" i="65" s="1"/>
  <c r="BW141" i="65"/>
  <c r="AV162" i="65"/>
  <c r="BW160" i="65"/>
  <c r="AV160" i="65"/>
  <c r="BW157" i="65"/>
  <c r="AV154" i="65"/>
  <c r="AV147" i="65"/>
  <c r="N146" i="65"/>
  <c r="O146" i="65" s="1"/>
  <c r="BW144" i="65"/>
  <c r="AV140" i="65"/>
  <c r="N139" i="65"/>
  <c r="O139" i="65" s="1"/>
  <c r="N162" i="65"/>
  <c r="O162" i="65" s="1"/>
  <c r="BW147" i="65"/>
  <c r="AB147" i="65"/>
  <c r="AC147" i="65" s="1"/>
  <c r="AV142" i="65"/>
  <c r="N141" i="65"/>
  <c r="O141" i="65" s="1"/>
  <c r="BW140" i="65"/>
  <c r="BX140" i="65" s="1"/>
  <c r="AB140" i="65"/>
  <c r="AV163" i="65"/>
  <c r="AV145" i="65"/>
  <c r="N144" i="65"/>
  <c r="O144" i="65" s="1"/>
  <c r="BW142" i="65"/>
  <c r="AB142" i="65"/>
  <c r="AC142" i="65" s="1"/>
  <c r="BW159" i="65"/>
  <c r="N152" i="65"/>
  <c r="O152" i="65" s="1"/>
  <c r="AV143" i="65"/>
  <c r="N142" i="65"/>
  <c r="O142" i="65" s="1"/>
  <c r="BW145" i="65"/>
  <c r="BW138" i="65"/>
  <c r="BW137" i="65"/>
  <c r="AV132" i="65"/>
  <c r="N131" i="65"/>
  <c r="O131" i="65" s="1"/>
  <c r="BW129" i="65"/>
  <c r="AV125" i="65"/>
  <c r="N154" i="65"/>
  <c r="O154" i="65" s="1"/>
  <c r="AV135" i="65"/>
  <c r="N134" i="65"/>
  <c r="O134" i="65" s="1"/>
  <c r="BW132" i="65"/>
  <c r="AV128" i="65"/>
  <c r="AB139" i="65"/>
  <c r="AC139" i="65" s="1"/>
  <c r="N137" i="65"/>
  <c r="O137" i="65" s="1"/>
  <c r="BW135" i="65"/>
  <c r="AB135" i="65"/>
  <c r="AC135" i="65" s="1"/>
  <c r="AV130" i="65"/>
  <c r="N129" i="65"/>
  <c r="O129" i="65" s="1"/>
  <c r="BW128" i="65"/>
  <c r="BX128" i="65" s="1"/>
  <c r="AV138" i="65"/>
  <c r="AV133" i="65"/>
  <c r="N132" i="65"/>
  <c r="O132" i="65" s="1"/>
  <c r="BW130" i="65"/>
  <c r="AV126" i="65"/>
  <c r="N125" i="65"/>
  <c r="O125" i="65" s="1"/>
  <c r="BW152" i="65"/>
  <c r="BX152" i="65" s="1"/>
  <c r="AV136" i="65"/>
  <c r="N135" i="65"/>
  <c r="O135" i="65" s="1"/>
  <c r="BW133" i="65"/>
  <c r="AB133" i="65"/>
  <c r="AC133" i="65" s="1"/>
  <c r="N147" i="65"/>
  <c r="O147" i="65" s="1"/>
  <c r="BW139" i="65"/>
  <c r="AV137" i="65"/>
  <c r="N136" i="65"/>
  <c r="O136" i="65" s="1"/>
  <c r="BW134" i="65"/>
  <c r="AB134" i="65"/>
  <c r="AC134" i="65" s="1"/>
  <c r="AV129" i="65"/>
  <c r="BW127" i="65"/>
  <c r="N140" i="65"/>
  <c r="O140" i="65" s="1"/>
  <c r="N138" i="65"/>
  <c r="O138" i="65" s="1"/>
  <c r="AV131" i="65"/>
  <c r="N128" i="65"/>
  <c r="O128" i="65" s="1"/>
  <c r="N127" i="65"/>
  <c r="O127" i="65" s="1"/>
  <c r="AV120" i="65"/>
  <c r="N119" i="65"/>
  <c r="O119" i="65" s="1"/>
  <c r="BW117" i="65"/>
  <c r="BW126" i="65"/>
  <c r="AV123" i="65"/>
  <c r="AB145" i="65"/>
  <c r="AC145" i="65" s="1"/>
  <c r="N126" i="65"/>
  <c r="O126" i="65" s="1"/>
  <c r="BW124" i="65"/>
  <c r="BW123" i="65"/>
  <c r="AB123" i="65"/>
  <c r="AC123" i="65" s="1"/>
  <c r="AV118" i="65"/>
  <c r="BW131" i="65"/>
  <c r="BW125" i="65"/>
  <c r="AB125" i="65"/>
  <c r="AC125" i="65" s="1"/>
  <c r="AV121" i="65"/>
  <c r="N120" i="65"/>
  <c r="O120" i="65" s="1"/>
  <c r="AV127" i="65"/>
  <c r="AV124" i="65"/>
  <c r="N123" i="65"/>
  <c r="O123" i="65" s="1"/>
  <c r="BW121" i="65"/>
  <c r="AB121" i="65"/>
  <c r="AC121" i="65" s="1"/>
  <c r="N116" i="65"/>
  <c r="O116" i="65" s="1"/>
  <c r="BW114" i="65"/>
  <c r="AB114" i="65"/>
  <c r="AC114" i="65" s="1"/>
  <c r="N133" i="65"/>
  <c r="O133" i="65" s="1"/>
  <c r="AV119" i="65"/>
  <c r="N118" i="65"/>
  <c r="O118" i="65" s="1"/>
  <c r="AV115" i="65"/>
  <c r="BW112" i="65"/>
  <c r="AV107" i="65"/>
  <c r="N106" i="65"/>
  <c r="O106" i="65" s="1"/>
  <c r="N124" i="65"/>
  <c r="O124" i="65" s="1"/>
  <c r="N114" i="65"/>
  <c r="O114" i="65" s="1"/>
  <c r="AB124" i="65"/>
  <c r="AC124" i="65" s="1"/>
  <c r="AB118" i="65"/>
  <c r="AC118" i="65" s="1"/>
  <c r="N117" i="65"/>
  <c r="O117" i="65" s="1"/>
  <c r="AV114" i="65"/>
  <c r="AV113" i="65"/>
  <c r="N112" i="65"/>
  <c r="O112" i="65" s="1"/>
  <c r="BW110" i="65"/>
  <c r="AB110" i="65"/>
  <c r="AC110" i="65" s="1"/>
  <c r="BW136" i="65"/>
  <c r="N121" i="65"/>
  <c r="O121" i="65" s="1"/>
  <c r="AV117" i="65"/>
  <c r="AB113" i="65"/>
  <c r="AC113" i="65" s="1"/>
  <c r="AV108" i="65"/>
  <c r="N107" i="65"/>
  <c r="O107" i="65" s="1"/>
  <c r="BW122" i="65"/>
  <c r="N122" i="65"/>
  <c r="O122" i="65" s="1"/>
  <c r="AB131" i="65"/>
  <c r="AC131" i="65" s="1"/>
  <c r="AB122" i="65"/>
  <c r="AC122" i="65" s="1"/>
  <c r="BW120" i="65"/>
  <c r="BW119" i="65"/>
  <c r="AB119" i="65"/>
  <c r="AC119" i="65" s="1"/>
  <c r="BW116" i="65"/>
  <c r="BX116" i="65" s="1"/>
  <c r="N113" i="65"/>
  <c r="O113" i="65" s="1"/>
  <c r="BW111" i="65"/>
  <c r="AV106" i="65"/>
  <c r="N130" i="65"/>
  <c r="O130" i="65" s="1"/>
  <c r="BW118" i="65"/>
  <c r="AV116" i="65"/>
  <c r="N115" i="65"/>
  <c r="O115" i="65" s="1"/>
  <c r="AV109" i="65"/>
  <c r="N108" i="65"/>
  <c r="O108" i="65" s="1"/>
  <c r="AV134" i="65"/>
  <c r="AV122" i="65"/>
  <c r="N110" i="65"/>
  <c r="O110" i="65" s="1"/>
  <c r="AV103" i="65"/>
  <c r="N102" i="65"/>
  <c r="O102" i="65" s="1"/>
  <c r="BW100" i="65"/>
  <c r="AB100" i="65"/>
  <c r="AC100" i="65" s="1"/>
  <c r="BW113" i="65"/>
  <c r="BW109" i="65"/>
  <c r="AB108" i="65"/>
  <c r="AC108" i="65" s="1"/>
  <c r="AV105" i="65"/>
  <c r="BW103" i="65"/>
  <c r="AB103" i="65"/>
  <c r="AC103" i="65" s="1"/>
  <c r="AV98" i="65"/>
  <c r="N97" i="65"/>
  <c r="O97" i="65" s="1"/>
  <c r="BW95" i="65"/>
  <c r="BW115" i="65"/>
  <c r="BW106" i="65"/>
  <c r="AB106" i="65"/>
  <c r="AC106" i="65" s="1"/>
  <c r="AV101" i="65"/>
  <c r="N100" i="65"/>
  <c r="O100" i="65" s="1"/>
  <c r="BW98" i="65"/>
  <c r="AV111" i="65"/>
  <c r="AV104" i="65"/>
  <c r="N103" i="65"/>
  <c r="O103" i="65" s="1"/>
  <c r="BW101" i="65"/>
  <c r="AB101" i="65"/>
  <c r="AC101" i="65" s="1"/>
  <c r="AV96" i="65"/>
  <c r="N95" i="65"/>
  <c r="O95" i="65" s="1"/>
  <c r="N111" i="65"/>
  <c r="O111" i="65" s="1"/>
  <c r="N109" i="65"/>
  <c r="O109" i="65" s="1"/>
  <c r="BW105" i="65"/>
  <c r="N105" i="65"/>
  <c r="O105" i="65" s="1"/>
  <c r="BW104" i="65"/>
  <c r="AB104" i="65"/>
  <c r="AV99" i="65"/>
  <c r="N98" i="65"/>
  <c r="O98" i="65" s="1"/>
  <c r="BW96" i="65"/>
  <c r="AV112" i="65"/>
  <c r="BW108" i="65"/>
  <c r="AV102" i="65"/>
  <c r="N101" i="65"/>
  <c r="O101" i="65" s="1"/>
  <c r="BW99" i="65"/>
  <c r="AB99" i="65"/>
  <c r="AC99" i="65" s="1"/>
  <c r="AB115" i="65"/>
  <c r="AC115" i="65" s="1"/>
  <c r="AV110" i="65"/>
  <c r="AB109" i="65"/>
  <c r="AC109" i="65" s="1"/>
  <c r="N104" i="65"/>
  <c r="O104" i="65" s="1"/>
  <c r="BW102" i="65"/>
  <c r="AV97" i="65"/>
  <c r="N96" i="65"/>
  <c r="O96" i="65" s="1"/>
  <c r="BW94" i="65"/>
  <c r="BW107" i="65"/>
  <c r="AV100" i="65"/>
  <c r="N99" i="65"/>
  <c r="O99" i="65" s="1"/>
  <c r="BW97" i="65"/>
  <c r="AB97" i="65"/>
  <c r="AC97" i="65" s="1"/>
  <c r="AV95" i="65"/>
  <c r="AV88" i="65"/>
  <c r="N87" i="65"/>
  <c r="O87" i="65" s="1"/>
  <c r="BW85" i="65"/>
  <c r="AB85" i="65"/>
  <c r="AC85" i="65" s="1"/>
  <c r="N94" i="65"/>
  <c r="O94" i="65" s="1"/>
  <c r="AV91" i="65"/>
  <c r="N90" i="65"/>
  <c r="O90" i="65" s="1"/>
  <c r="BW88" i="65"/>
  <c r="AB88" i="65"/>
  <c r="AC88" i="65" s="1"/>
  <c r="AV83" i="65"/>
  <c r="N82" i="65"/>
  <c r="O82" i="65" s="1"/>
  <c r="AV93" i="65"/>
  <c r="BW91" i="65"/>
  <c r="AB91" i="65"/>
  <c r="AC91" i="65" s="1"/>
  <c r="AV86" i="65"/>
  <c r="N85" i="65"/>
  <c r="O85" i="65" s="1"/>
  <c r="BW83" i="65"/>
  <c r="AV94" i="65"/>
  <c r="AB93" i="65"/>
  <c r="AC93" i="65" s="1"/>
  <c r="AV89" i="65"/>
  <c r="N88" i="65"/>
  <c r="O88" i="65" s="1"/>
  <c r="BW86" i="65"/>
  <c r="BW93" i="65"/>
  <c r="AV92" i="65"/>
  <c r="N91" i="65"/>
  <c r="O91" i="65" s="1"/>
  <c r="BW89" i="65"/>
  <c r="AB89" i="65"/>
  <c r="AC89" i="65" s="1"/>
  <c r="AV84" i="65"/>
  <c r="N83" i="65"/>
  <c r="O83" i="65" s="1"/>
  <c r="BW81" i="65"/>
  <c r="AB81" i="65"/>
  <c r="AC81" i="65" s="1"/>
  <c r="N93" i="65"/>
  <c r="O93" i="65" s="1"/>
  <c r="BW92" i="65"/>
  <c r="AB92" i="65"/>
  <c r="AV87" i="65"/>
  <c r="N86" i="65"/>
  <c r="O86" i="65" s="1"/>
  <c r="BW84" i="65"/>
  <c r="AB84" i="65"/>
  <c r="AC84" i="65" s="1"/>
  <c r="AV80" i="65"/>
  <c r="AV90" i="65"/>
  <c r="N89" i="65"/>
  <c r="O89" i="65" s="1"/>
  <c r="BW87" i="65"/>
  <c r="AV82" i="65"/>
  <c r="N81" i="65"/>
  <c r="O81" i="65" s="1"/>
  <c r="BW80" i="65"/>
  <c r="AB80" i="65"/>
  <c r="BW90" i="65"/>
  <c r="BW82" i="65"/>
  <c r="N79" i="65"/>
  <c r="O79" i="65" s="1"/>
  <c r="BW77" i="65"/>
  <c r="AB77" i="65"/>
  <c r="AC77" i="65" s="1"/>
  <c r="AV72" i="65"/>
  <c r="N71" i="65"/>
  <c r="O71" i="65" s="1"/>
  <c r="BW69" i="65"/>
  <c r="AB69" i="65"/>
  <c r="AC69" i="65" s="1"/>
  <c r="AV65" i="65"/>
  <c r="N64" i="65"/>
  <c r="O64" i="65" s="1"/>
  <c r="BW62" i="65"/>
  <c r="AV75" i="65"/>
  <c r="N74" i="65"/>
  <c r="O74" i="65" s="1"/>
  <c r="BW72" i="65"/>
  <c r="AB72" i="65"/>
  <c r="AC72" i="65" s="1"/>
  <c r="AV68" i="65"/>
  <c r="N67" i="65"/>
  <c r="O67" i="65" s="1"/>
  <c r="BW65" i="65"/>
  <c r="AV60" i="65"/>
  <c r="N84" i="65"/>
  <c r="O84" i="65" s="1"/>
  <c r="AV78" i="65"/>
  <c r="N77" i="65"/>
  <c r="O77" i="65" s="1"/>
  <c r="BW75" i="65"/>
  <c r="AB75" i="65"/>
  <c r="AC75" i="65" s="1"/>
  <c r="AV70" i="65"/>
  <c r="N69" i="65"/>
  <c r="O69" i="65" s="1"/>
  <c r="BW68" i="65"/>
  <c r="BX68" i="65" s="1"/>
  <c r="AB68" i="65"/>
  <c r="AV63" i="65"/>
  <c r="N62" i="65"/>
  <c r="O62" i="65" s="1"/>
  <c r="BW60" i="65"/>
  <c r="AB60" i="65"/>
  <c r="AC60" i="65" s="1"/>
  <c r="AV85" i="65"/>
  <c r="AV81" i="65"/>
  <c r="N80" i="65"/>
  <c r="O80" i="65" s="1"/>
  <c r="BW78" i="65"/>
  <c r="AB78" i="65"/>
  <c r="AC78" i="65" s="1"/>
  <c r="AV73" i="65"/>
  <c r="N72" i="65"/>
  <c r="O72" i="65" s="1"/>
  <c r="BW70" i="65"/>
  <c r="AV66" i="65"/>
  <c r="N65" i="65"/>
  <c r="O65" i="65" s="1"/>
  <c r="BW63" i="65"/>
  <c r="AB63" i="65"/>
  <c r="AC63" i="65" s="1"/>
  <c r="AV76" i="65"/>
  <c r="N75" i="65"/>
  <c r="O75" i="65" s="1"/>
  <c r="BW73" i="65"/>
  <c r="AV79" i="65"/>
  <c r="N78" i="65"/>
  <c r="O78" i="65" s="1"/>
  <c r="BW76" i="65"/>
  <c r="AB76" i="65"/>
  <c r="AC76" i="65" s="1"/>
  <c r="AV71" i="65"/>
  <c r="N70" i="65"/>
  <c r="O70" i="65" s="1"/>
  <c r="AV64" i="65"/>
  <c r="N63" i="65"/>
  <c r="O63" i="65" s="1"/>
  <c r="BW61" i="65"/>
  <c r="AB61" i="65"/>
  <c r="AC61" i="65" s="1"/>
  <c r="BW79" i="65"/>
  <c r="AB79" i="65"/>
  <c r="AC79" i="65" s="1"/>
  <c r="AV74" i="65"/>
  <c r="N73" i="65"/>
  <c r="O73" i="65" s="1"/>
  <c r="BW71" i="65"/>
  <c r="AB71" i="65"/>
  <c r="AC71" i="65" s="1"/>
  <c r="AV67" i="65"/>
  <c r="N66" i="65"/>
  <c r="O66" i="65" s="1"/>
  <c r="BW64" i="65"/>
  <c r="N92" i="65"/>
  <c r="O92" i="65" s="1"/>
  <c r="AV77" i="65"/>
  <c r="N76" i="65"/>
  <c r="O76" i="65" s="1"/>
  <c r="BW74" i="65"/>
  <c r="AV69" i="65"/>
  <c r="BW67" i="65"/>
  <c r="BW59" i="65"/>
  <c r="AV55" i="65"/>
  <c r="N54" i="65"/>
  <c r="O54" i="65" s="1"/>
  <c r="BW52" i="65"/>
  <c r="AV47" i="65"/>
  <c r="N46" i="65"/>
  <c r="O46" i="65" s="1"/>
  <c r="AV40" i="65"/>
  <c r="N39" i="65"/>
  <c r="O39" i="65" s="1"/>
  <c r="BW37" i="65"/>
  <c r="AB37" i="65"/>
  <c r="AC37" i="65" s="1"/>
  <c r="AV35" i="65"/>
  <c r="N34" i="65"/>
  <c r="O34" i="65" s="1"/>
  <c r="AV57" i="65"/>
  <c r="BW55" i="65"/>
  <c r="AB55" i="65"/>
  <c r="AC55" i="65" s="1"/>
  <c r="AV50" i="65"/>
  <c r="N49" i="65"/>
  <c r="O49" i="65" s="1"/>
  <c r="BW47" i="65"/>
  <c r="AB47" i="65"/>
  <c r="AC47" i="65" s="1"/>
  <c r="AV43" i="65"/>
  <c r="N42" i="65"/>
  <c r="O42" i="65" s="1"/>
  <c r="BW40" i="65"/>
  <c r="AB40" i="65"/>
  <c r="AC40" i="65" s="1"/>
  <c r="BW35" i="65"/>
  <c r="N32" i="65"/>
  <c r="O32" i="65" s="1"/>
  <c r="BW57" i="65"/>
  <c r="AV53" i="65"/>
  <c r="N52" i="65"/>
  <c r="O52" i="65" s="1"/>
  <c r="BW50" i="65"/>
  <c r="AV45" i="65"/>
  <c r="BW43" i="65"/>
  <c r="AV38" i="65"/>
  <c r="N37" i="65"/>
  <c r="O37" i="65" s="1"/>
  <c r="AB35" i="65"/>
  <c r="AC35" i="65" s="1"/>
  <c r="AV33" i="65"/>
  <c r="AV61" i="65"/>
  <c r="N61" i="65"/>
  <c r="O61" i="65" s="1"/>
  <c r="AV56" i="65"/>
  <c r="N55" i="65"/>
  <c r="O55" i="65" s="1"/>
  <c r="BW53" i="65"/>
  <c r="AB53" i="65"/>
  <c r="AC53" i="65" s="1"/>
  <c r="AV48" i="65"/>
  <c r="N47" i="65"/>
  <c r="O47" i="65" s="1"/>
  <c r="BW45" i="65"/>
  <c r="AV41" i="65"/>
  <c r="N40" i="65"/>
  <c r="O40" i="65" s="1"/>
  <c r="BW38" i="65"/>
  <c r="N35" i="65"/>
  <c r="O35" i="65" s="1"/>
  <c r="BW33" i="65"/>
  <c r="BW31" i="65"/>
  <c r="AB66" i="65"/>
  <c r="AC66" i="65" s="1"/>
  <c r="AV59" i="65"/>
  <c r="AV58" i="65"/>
  <c r="N57" i="65"/>
  <c r="O57" i="65" s="1"/>
  <c r="BW56" i="65"/>
  <c r="BX56" i="65" s="1"/>
  <c r="AB56" i="65"/>
  <c r="AV51" i="65"/>
  <c r="N50" i="65"/>
  <c r="O50" i="65" s="1"/>
  <c r="BW48" i="65"/>
  <c r="AB48" i="65"/>
  <c r="AC48" i="65" s="1"/>
  <c r="AV44" i="65"/>
  <c r="N43" i="65"/>
  <c r="O43" i="65" s="1"/>
  <c r="BW41" i="65"/>
  <c r="AB41" i="65"/>
  <c r="AC41" i="65" s="1"/>
  <c r="AV36" i="65"/>
  <c r="AV34" i="65"/>
  <c r="N59" i="65"/>
  <c r="O59" i="65" s="1"/>
  <c r="AB58" i="65"/>
  <c r="AC58" i="65" s="1"/>
  <c r="AV54" i="65"/>
  <c r="N53" i="65"/>
  <c r="O53" i="65" s="1"/>
  <c r="BW51" i="65"/>
  <c r="AB51" i="65"/>
  <c r="AC51" i="65" s="1"/>
  <c r="AV46" i="65"/>
  <c r="N45" i="65"/>
  <c r="O45" i="65" s="1"/>
  <c r="BW44" i="65"/>
  <c r="AV39" i="65"/>
  <c r="N38" i="65"/>
  <c r="O38" i="65" s="1"/>
  <c r="BW36" i="65"/>
  <c r="BW34" i="65"/>
  <c r="N33" i="65"/>
  <c r="O33" i="65" s="1"/>
  <c r="N68" i="65"/>
  <c r="O68" i="65" s="1"/>
  <c r="AV62" i="65"/>
  <c r="N56" i="65"/>
  <c r="O56" i="65" s="1"/>
  <c r="BW54" i="65"/>
  <c r="AB54" i="65"/>
  <c r="AC54" i="65" s="1"/>
  <c r="AV49" i="65"/>
  <c r="N48" i="65"/>
  <c r="O48" i="65" s="1"/>
  <c r="BW46" i="65"/>
  <c r="AV42" i="65"/>
  <c r="N41" i="65"/>
  <c r="O41" i="65" s="1"/>
  <c r="BW39" i="65"/>
  <c r="AB34" i="65"/>
  <c r="AC34" i="65" s="1"/>
  <c r="AV32" i="65"/>
  <c r="BW66" i="65"/>
  <c r="N60" i="65"/>
  <c r="O60" i="65" s="1"/>
  <c r="BW58" i="65"/>
  <c r="N58" i="65"/>
  <c r="O58" i="65" s="1"/>
  <c r="AV52" i="65"/>
  <c r="N51" i="65"/>
  <c r="O51" i="65" s="1"/>
  <c r="BW49" i="65"/>
  <c r="N44" i="65"/>
  <c r="O44" i="65" s="1"/>
  <c r="BW42" i="65"/>
  <c r="AB42" i="65"/>
  <c r="AC42" i="65" s="1"/>
  <c r="AV37" i="65"/>
  <c r="N36" i="65"/>
  <c r="O36" i="65" s="1"/>
  <c r="BW32" i="65"/>
  <c r="N20" i="65"/>
  <c r="O20" i="65" s="1"/>
  <c r="AL160" i="65"/>
  <c r="AL163" i="65"/>
  <c r="AL155" i="65"/>
  <c r="AL158" i="65"/>
  <c r="AL151" i="65"/>
  <c r="AL161" i="65"/>
  <c r="AL153" i="65"/>
  <c r="AL159" i="65"/>
  <c r="AL152" i="65"/>
  <c r="AL162" i="65"/>
  <c r="AL156" i="65"/>
  <c r="AL143" i="65"/>
  <c r="AL148" i="65"/>
  <c r="AL146" i="65"/>
  <c r="AL139" i="65"/>
  <c r="AL141" i="65"/>
  <c r="AL154" i="65"/>
  <c r="AL150" i="65"/>
  <c r="AL144" i="65"/>
  <c r="AL157" i="65"/>
  <c r="AL147" i="65"/>
  <c r="AL140" i="65"/>
  <c r="AL149" i="65"/>
  <c r="AL145" i="65"/>
  <c r="AL134" i="65"/>
  <c r="AL127" i="65"/>
  <c r="AL137" i="65"/>
  <c r="AL129" i="65"/>
  <c r="AL132" i="65"/>
  <c r="AL125" i="65"/>
  <c r="AL135" i="65"/>
  <c r="AL128" i="65"/>
  <c r="AL142" i="65"/>
  <c r="AL130" i="65"/>
  <c r="AL131" i="65"/>
  <c r="AL122" i="65"/>
  <c r="AL115" i="65"/>
  <c r="AL138" i="65"/>
  <c r="AL120" i="65"/>
  <c r="AL123" i="65"/>
  <c r="AL118" i="65"/>
  <c r="AL136" i="65"/>
  <c r="AL133" i="65"/>
  <c r="AL116" i="65"/>
  <c r="AL109" i="65"/>
  <c r="AL121" i="65"/>
  <c r="AL112" i="65"/>
  <c r="AL119" i="65"/>
  <c r="AL107" i="65"/>
  <c r="AL114" i="65"/>
  <c r="AL110" i="65"/>
  <c r="AL117" i="65"/>
  <c r="AL108" i="65"/>
  <c r="AL126" i="65"/>
  <c r="AL124" i="65"/>
  <c r="AL111" i="65"/>
  <c r="AL113" i="65"/>
  <c r="AL60" i="65"/>
  <c r="AL61" i="65"/>
  <c r="AL37" i="65"/>
  <c r="AL32" i="65"/>
  <c r="AL55" i="65"/>
  <c r="AL40" i="65"/>
  <c r="AL57" i="65"/>
  <c r="AL35" i="65"/>
  <c r="AL53" i="65"/>
  <c r="AL38" i="65"/>
  <c r="AL56" i="65"/>
  <c r="AL33" i="65"/>
  <c r="AL31" i="65"/>
  <c r="AL59" i="65"/>
  <c r="AL58" i="65"/>
  <c r="AL54" i="65"/>
  <c r="AL39" i="65"/>
  <c r="AL36" i="65"/>
  <c r="AL34" i="65"/>
  <c r="AX20" i="65"/>
  <c r="BF20" i="65"/>
  <c r="BH21" i="65"/>
  <c r="BP21" i="65"/>
  <c r="AT21" i="65" s="1"/>
  <c r="AV22" i="65"/>
  <c r="BD22" i="65"/>
  <c r="BG22" i="65" s="1"/>
  <c r="BW23" i="65"/>
  <c r="AY24" i="65"/>
  <c r="AA25" i="65"/>
  <c r="AB25" i="65" s="1"/>
  <c r="AC25" i="65" s="1"/>
  <c r="AL25" i="65"/>
  <c r="BA25" i="65"/>
  <c r="BQ25" i="65"/>
  <c r="BR25" i="65" s="1"/>
  <c r="BE26" i="65"/>
  <c r="BJ26" i="65" s="1"/>
  <c r="BK26" i="65" s="1"/>
  <c r="N27" i="65"/>
  <c r="O27" i="65" s="1"/>
  <c r="AA27" i="65"/>
  <c r="AB27" i="65" s="1"/>
  <c r="AC27" i="65" s="1"/>
  <c r="AL27" i="65"/>
  <c r="BA27" i="65"/>
  <c r="BQ27" i="65"/>
  <c r="BR27" i="65" s="1"/>
  <c r="BW28" i="65"/>
  <c r="AY29" i="65"/>
  <c r="BL30" i="65"/>
  <c r="AF47" i="65"/>
  <c r="AY33" i="65"/>
  <c r="BO33" i="65"/>
  <c r="BM35" i="65"/>
  <c r="AD40" i="65"/>
  <c r="AF40" i="65" s="1"/>
  <c r="AF73" i="65"/>
  <c r="AF80" i="65"/>
  <c r="AF86" i="65"/>
  <c r="BN35" i="65"/>
  <c r="AD52" i="65"/>
  <c r="AF52" i="65" s="1"/>
  <c r="AF78" i="65"/>
  <c r="AY35" i="65"/>
  <c r="AD42" i="65"/>
  <c r="AF42" i="65" s="1"/>
  <c r="AD49" i="65"/>
  <c r="AF49" i="65" s="1"/>
  <c r="AF64" i="65"/>
  <c r="AD66" i="65"/>
  <c r="AF66" i="65" s="1"/>
  <c r="AF71" i="65"/>
  <c r="BL36" i="65"/>
  <c r="AF76" i="65"/>
  <c r="BM36" i="65"/>
  <c r="AF93" i="65"/>
  <c r="BN36" i="65"/>
  <c r="AF68" i="65"/>
  <c r="AF79" i="65"/>
  <c r="AY36" i="65"/>
  <c r="AF60" i="65"/>
  <c r="AF70" i="65"/>
  <c r="AF61" i="65"/>
  <c r="AF65" i="65"/>
  <c r="AF75" i="65"/>
  <c r="AD72" i="65"/>
  <c r="AF72" i="65" s="1"/>
  <c r="AD62" i="65"/>
  <c r="AF62" i="65" s="1"/>
  <c r="AD69" i="65"/>
  <c r="AF69" i="65" s="1"/>
  <c r="AD77" i="65"/>
  <c r="AF77" i="65" s="1"/>
  <c r="CM80" i="65"/>
  <c r="AD81" i="65"/>
  <c r="AF81" i="65" s="1"/>
  <c r="AF84" i="65"/>
  <c r="AF87" i="65"/>
  <c r="AF90" i="65"/>
  <c r="AD67" i="65"/>
  <c r="AF67" i="65" s="1"/>
  <c r="AD74" i="65"/>
  <c r="AF74" i="65" s="1"/>
  <c r="AD89" i="65"/>
  <c r="AF89" i="65" s="1"/>
  <c r="AF91" i="65"/>
  <c r="AF83" i="65"/>
  <c r="AF88" i="65"/>
  <c r="AF95" i="65"/>
  <c r="AF92" i="65"/>
  <c r="AD85" i="65"/>
  <c r="AF85" i="65" s="1"/>
  <c r="AF99" i="65"/>
  <c r="AF104" i="65"/>
  <c r="AF97" i="65"/>
  <c r="AF102" i="65"/>
  <c r="AF105" i="65"/>
  <c r="AF100" i="65"/>
  <c r="CL92" i="65"/>
  <c r="CT92" i="65" s="1"/>
  <c r="AF98" i="65"/>
  <c r="AF96" i="65"/>
  <c r="AF101" i="65"/>
  <c r="AF103" i="65"/>
  <c r="AF114" i="65"/>
  <c r="AF110" i="65"/>
  <c r="AF118" i="65"/>
  <c r="AD107" i="65"/>
  <c r="AF107" i="65" s="1"/>
  <c r="AD108" i="65"/>
  <c r="AF108" i="65" s="1"/>
  <c r="AF117" i="65"/>
  <c r="AD106" i="65"/>
  <c r="AF106" i="65" s="1"/>
  <c r="AF109" i="65"/>
  <c r="AD116" i="65"/>
  <c r="AF116" i="65" s="1"/>
  <c r="AD119" i="65"/>
  <c r="AF119" i="65" s="1"/>
  <c r="AF121" i="65"/>
  <c r="AD123" i="65"/>
  <c r="AF123" i="65" s="1"/>
  <c r="AD115" i="65"/>
  <c r="AF115" i="65" s="1"/>
  <c r="AF128" i="65"/>
  <c r="AD135" i="65"/>
  <c r="AF135" i="65" s="1"/>
  <c r="AF122" i="65"/>
  <c r="AF129" i="65"/>
  <c r="AF126" i="65"/>
  <c r="AD144" i="65"/>
  <c r="AF144" i="65" s="1"/>
  <c r="AF138" i="65"/>
  <c r="AD125" i="65"/>
  <c r="AF125" i="65" s="1"/>
  <c r="AF130" i="65"/>
  <c r="AF131" i="65"/>
  <c r="AF147" i="65"/>
  <c r="AF133" i="65"/>
  <c r="AF134" i="65"/>
  <c r="AF137" i="65"/>
  <c r="AF143" i="65"/>
  <c r="AF145" i="65"/>
  <c r="AF127" i="65"/>
  <c r="AD132" i="65"/>
  <c r="AF132" i="65" s="1"/>
  <c r="AF153" i="65"/>
  <c r="AD139" i="65"/>
  <c r="AF139" i="65" s="1"/>
  <c r="AF140" i="65"/>
  <c r="AF148" i="65"/>
  <c r="AD158" i="65"/>
  <c r="AF158" i="65" s="1"/>
  <c r="AF155" i="65"/>
  <c r="AF150" i="65"/>
  <c r="AD146" i="65"/>
  <c r="AF146" i="65" s="1"/>
  <c r="AF157" i="65"/>
  <c r="AF160" i="65"/>
  <c r="AF161" i="65"/>
  <c r="AF159" i="65"/>
  <c r="AD151" i="65"/>
  <c r="AF151" i="65" s="1"/>
  <c r="AF152" i="65"/>
  <c r="AD156" i="65"/>
  <c r="AF156" i="65" s="1"/>
  <c r="AD149" i="65"/>
  <c r="AF149" i="65" s="1"/>
  <c r="AF154" i="65"/>
  <c r="BW37" i="61"/>
  <c r="BA37" i="61"/>
  <c r="AL37" i="61"/>
  <c r="BB37" i="61" s="1"/>
  <c r="AJ37" i="61"/>
  <c r="AE37" i="61"/>
  <c r="AA37" i="61"/>
  <c r="Y37" i="61"/>
  <c r="V37" i="61"/>
  <c r="BW36" i="61"/>
  <c r="BA36" i="61"/>
  <c r="AL36" i="61"/>
  <c r="AJ36" i="61"/>
  <c r="AE36" i="61"/>
  <c r="AD36" i="61"/>
  <c r="AF36" i="61" s="1"/>
  <c r="AA36" i="61"/>
  <c r="V36" i="61"/>
  <c r="BW35" i="61"/>
  <c r="BA35" i="61"/>
  <c r="AL35" i="61"/>
  <c r="BB35" i="61" s="1"/>
  <c r="BC35" i="61" s="1"/>
  <c r="AJ35" i="61"/>
  <c r="AE35" i="61"/>
  <c r="AA35" i="61"/>
  <c r="AD35" i="61"/>
  <c r="AF35" i="61" s="1"/>
  <c r="V35" i="61"/>
  <c r="BW34" i="61"/>
  <c r="BA34" i="61"/>
  <c r="AL34" i="61"/>
  <c r="BB34" i="61" s="1"/>
  <c r="BC34" i="61" s="1"/>
  <c r="AJ34" i="61"/>
  <c r="AE34" i="61"/>
  <c r="Y34" i="61"/>
  <c r="AD34" i="61" s="1"/>
  <c r="AF34" i="61" s="1"/>
  <c r="V34" i="61"/>
  <c r="BW33" i="61"/>
  <c r="BA33" i="61"/>
  <c r="AL33" i="61"/>
  <c r="AJ33" i="61"/>
  <c r="AE33" i="61"/>
  <c r="AA33" i="61"/>
  <c r="V33" i="61"/>
  <c r="BW32" i="61"/>
  <c r="BA32" i="61"/>
  <c r="AL32" i="61"/>
  <c r="BB32" i="61" s="1"/>
  <c r="AJ32" i="61"/>
  <c r="AE32" i="61"/>
  <c r="AD32" i="61"/>
  <c r="AA32" i="61"/>
  <c r="V32" i="61"/>
  <c r="BW31" i="61"/>
  <c r="BA31" i="61"/>
  <c r="AL31" i="61"/>
  <c r="BB31" i="61" s="1"/>
  <c r="AJ31" i="61"/>
  <c r="AE31" i="61"/>
  <c r="Y31" i="61"/>
  <c r="AA31" i="61" s="1"/>
  <c r="V31" i="61"/>
  <c r="BW30" i="61"/>
  <c r="BA30" i="61"/>
  <c r="AL30" i="61"/>
  <c r="AJ30" i="61"/>
  <c r="AE30" i="61"/>
  <c r="AD30" i="61"/>
  <c r="AF30" i="61" s="1"/>
  <c r="AA30" i="61"/>
  <c r="V30" i="61"/>
  <c r="BW29" i="61"/>
  <c r="BA29" i="61"/>
  <c r="AL29" i="61"/>
  <c r="BB29" i="61" s="1"/>
  <c r="AJ29" i="61"/>
  <c r="AZ29" i="61" s="1"/>
  <c r="AE29" i="61"/>
  <c r="AD29" i="61"/>
  <c r="AF29" i="61" s="1"/>
  <c r="V29" i="61"/>
  <c r="BW28" i="61"/>
  <c r="BA28" i="61"/>
  <c r="AL28" i="61"/>
  <c r="BB28" i="61" s="1"/>
  <c r="AJ28" i="61"/>
  <c r="AE28" i="61"/>
  <c r="Y28" i="61"/>
  <c r="AD28" i="61" s="1"/>
  <c r="AF28" i="61" s="1"/>
  <c r="V28" i="61"/>
  <c r="BW27" i="61"/>
  <c r="BA27" i="61"/>
  <c r="AL27" i="61"/>
  <c r="AJ27" i="61"/>
  <c r="AE27" i="61"/>
  <c r="AD27" i="61"/>
  <c r="AF27" i="61" s="1"/>
  <c r="AA27" i="61"/>
  <c r="V27" i="61"/>
  <c r="BW26" i="61"/>
  <c r="BA26" i="61"/>
  <c r="AL26" i="61"/>
  <c r="BB26" i="61" s="1"/>
  <c r="AJ26" i="61"/>
  <c r="AE26" i="61"/>
  <c r="AA26" i="61"/>
  <c r="AD26" i="61"/>
  <c r="AF26" i="61" s="1"/>
  <c r="V26" i="61"/>
  <c r="I28" i="61"/>
  <c r="I37" i="61"/>
  <c r="I31" i="61"/>
  <c r="I34" i="61"/>
  <c r="AX129" i="65" l="1"/>
  <c r="AW54" i="65"/>
  <c r="AW135" i="65"/>
  <c r="BB33" i="65"/>
  <c r="AZ33" i="65"/>
  <c r="BB108" i="65"/>
  <c r="BC108" i="65" s="1"/>
  <c r="AZ108" i="65"/>
  <c r="BB115" i="65"/>
  <c r="AZ115" i="65"/>
  <c r="BB147" i="65"/>
  <c r="AZ147" i="65"/>
  <c r="BB151" i="65"/>
  <c r="AZ151" i="65"/>
  <c r="AW37" i="65"/>
  <c r="AW39" i="65"/>
  <c r="P111" i="65"/>
  <c r="R111" i="65" s="1"/>
  <c r="Q111" i="65"/>
  <c r="AW111" i="65"/>
  <c r="AW122" i="65"/>
  <c r="Q130" i="65"/>
  <c r="P130" i="65"/>
  <c r="R130" i="65" s="1"/>
  <c r="AW114" i="65"/>
  <c r="Q116" i="65"/>
  <c r="P116" i="65"/>
  <c r="R116" i="65" s="1"/>
  <c r="CO140" i="65"/>
  <c r="CP140" i="65" s="1"/>
  <c r="CB140" i="65"/>
  <c r="CE140" i="65" s="1"/>
  <c r="P127" i="65"/>
  <c r="R127" i="65" s="1"/>
  <c r="Q127" i="65"/>
  <c r="AW129" i="65"/>
  <c r="Q132" i="65"/>
  <c r="P132" i="65"/>
  <c r="R132" i="65" s="1"/>
  <c r="CQ20" i="65"/>
  <c r="CP20" i="65"/>
  <c r="BD53" i="65"/>
  <c r="Q58" i="65"/>
  <c r="P58" i="65"/>
  <c r="R58" i="65" s="1"/>
  <c r="CM92" i="65"/>
  <c r="AZ32" i="65"/>
  <c r="BB32" i="65"/>
  <c r="BB109" i="65"/>
  <c r="AZ109" i="65"/>
  <c r="BB132" i="65"/>
  <c r="AZ132" i="65"/>
  <c r="AZ148" i="65"/>
  <c r="BB148" i="65"/>
  <c r="AC80" i="65"/>
  <c r="CX80" i="65"/>
  <c r="AW80" i="65"/>
  <c r="AW88" i="65"/>
  <c r="AW26" i="65"/>
  <c r="AK26" i="65"/>
  <c r="AZ39" i="65"/>
  <c r="BB39" i="65"/>
  <c r="BB53" i="65"/>
  <c r="AZ53" i="65"/>
  <c r="BB60" i="65"/>
  <c r="AZ60" i="65"/>
  <c r="BB114" i="65"/>
  <c r="AZ114" i="65"/>
  <c r="AZ136" i="65"/>
  <c r="BB136" i="65"/>
  <c r="BB130" i="65"/>
  <c r="AZ130" i="65"/>
  <c r="BB127" i="65"/>
  <c r="AZ127" i="65"/>
  <c r="AZ150" i="65"/>
  <c r="BB150" i="65"/>
  <c r="BC150" i="65" s="1"/>
  <c r="AZ162" i="65"/>
  <c r="BB162" i="65"/>
  <c r="BB163" i="65"/>
  <c r="AZ163" i="65"/>
  <c r="AC68" i="65"/>
  <c r="CX68" i="65"/>
  <c r="Q84" i="65"/>
  <c r="P84" i="65"/>
  <c r="R84" i="65" s="1"/>
  <c r="Q74" i="65"/>
  <c r="P74" i="65"/>
  <c r="R74" i="65" s="1"/>
  <c r="Q66" i="65"/>
  <c r="P66" i="65"/>
  <c r="R66" i="65" s="1"/>
  <c r="Q78" i="65"/>
  <c r="P78" i="65"/>
  <c r="R78" i="65" s="1"/>
  <c r="Q151" i="65"/>
  <c r="P151" i="65"/>
  <c r="R151" i="65" s="1"/>
  <c r="AW153" i="65"/>
  <c r="AW151" i="65"/>
  <c r="P52" i="65"/>
  <c r="R52" i="65" s="1"/>
  <c r="Q52" i="65"/>
  <c r="Q42" i="65"/>
  <c r="P42" i="65"/>
  <c r="R42" i="65" s="1"/>
  <c r="AW57" i="65"/>
  <c r="AW47" i="65"/>
  <c r="AW69" i="65"/>
  <c r="AW142" i="65"/>
  <c r="Q146" i="65"/>
  <c r="P146" i="65"/>
  <c r="R146" i="65" s="1"/>
  <c r="Q35" i="65"/>
  <c r="P35" i="65"/>
  <c r="R35" i="65" s="1"/>
  <c r="AW48" i="65"/>
  <c r="CX44" i="65"/>
  <c r="AC44" i="65"/>
  <c r="AZ27" i="65"/>
  <c r="BB27" i="65"/>
  <c r="AZ25" i="65"/>
  <c r="BB25" i="65"/>
  <c r="BB31" i="65"/>
  <c r="AZ31" i="65"/>
  <c r="BB55" i="65"/>
  <c r="AZ55" i="65"/>
  <c r="AZ126" i="65"/>
  <c r="BB126" i="65"/>
  <c r="BB121" i="65"/>
  <c r="AZ121" i="65"/>
  <c r="BB138" i="65"/>
  <c r="AZ138" i="65"/>
  <c r="BB125" i="65"/>
  <c r="AZ125" i="65"/>
  <c r="BB140" i="65"/>
  <c r="AZ140" i="65"/>
  <c r="BB146" i="65"/>
  <c r="AZ146" i="65"/>
  <c r="BB161" i="65"/>
  <c r="AZ161" i="65"/>
  <c r="Q36" i="65"/>
  <c r="P36" i="65"/>
  <c r="R36" i="65" s="1"/>
  <c r="AW52" i="65"/>
  <c r="Q38" i="65"/>
  <c r="P38" i="65"/>
  <c r="R38" i="65" s="1"/>
  <c r="Q53" i="65"/>
  <c r="P53" i="65"/>
  <c r="R53" i="65" s="1"/>
  <c r="CX56" i="65"/>
  <c r="AC56" i="65"/>
  <c r="Q47" i="65"/>
  <c r="P47" i="65"/>
  <c r="R47" i="65" s="1"/>
  <c r="AW33" i="65"/>
  <c r="Q46" i="65"/>
  <c r="P46" i="65"/>
  <c r="R46" i="65" s="1"/>
  <c r="AW63" i="65"/>
  <c r="AW78" i="65"/>
  <c r="AW90" i="65"/>
  <c r="Q93" i="65"/>
  <c r="P93" i="65"/>
  <c r="R93" i="65" s="1"/>
  <c r="AW92" i="65"/>
  <c r="AW83" i="65"/>
  <c r="Q87" i="65"/>
  <c r="P87" i="65"/>
  <c r="R87" i="65" s="1"/>
  <c r="AW110" i="65"/>
  <c r="Q109" i="65"/>
  <c r="P109" i="65"/>
  <c r="R109" i="65" s="1"/>
  <c r="AW105" i="65"/>
  <c r="P110" i="65"/>
  <c r="R110" i="65" s="1"/>
  <c r="Q110" i="65"/>
  <c r="AW108" i="65"/>
  <c r="AW113" i="65"/>
  <c r="AW107" i="65"/>
  <c r="AW121" i="65"/>
  <c r="Q126" i="65"/>
  <c r="P126" i="65"/>
  <c r="R126" i="65" s="1"/>
  <c r="AW120" i="65"/>
  <c r="AW130" i="65"/>
  <c r="P134" i="65"/>
  <c r="R134" i="65" s="1"/>
  <c r="Q134" i="65"/>
  <c r="Q141" i="65"/>
  <c r="P141" i="65"/>
  <c r="R141" i="65" s="1"/>
  <c r="AW162" i="65"/>
  <c r="AW141" i="65"/>
  <c r="AW150" i="65"/>
  <c r="Q150" i="65"/>
  <c r="P150" i="65"/>
  <c r="R150" i="65" s="1"/>
  <c r="BJ20" i="65"/>
  <c r="BI53" i="65"/>
  <c r="BP79" i="65"/>
  <c r="AT79" i="65" s="1"/>
  <c r="BP88" i="65"/>
  <c r="AT88" i="65" s="1"/>
  <c r="BP80" i="65"/>
  <c r="AT80" i="65" s="1"/>
  <c r="BX80" i="65" s="1"/>
  <c r="AX110" i="65"/>
  <c r="AX160" i="65"/>
  <c r="AW20" i="65"/>
  <c r="DB20" i="65"/>
  <c r="AK20" i="65"/>
  <c r="Q28" i="65"/>
  <c r="P28" i="65"/>
  <c r="R28" i="65" s="1"/>
  <c r="AZ51" i="65"/>
  <c r="BB51" i="65"/>
  <c r="BB52" i="65"/>
  <c r="AZ52" i="65"/>
  <c r="BB66" i="65"/>
  <c r="AZ66" i="65"/>
  <c r="BB72" i="65"/>
  <c r="AZ72" i="65"/>
  <c r="AZ92" i="65"/>
  <c r="BB92" i="65"/>
  <c r="BB85" i="65"/>
  <c r="AZ85" i="65"/>
  <c r="BB101" i="65"/>
  <c r="AZ101" i="65"/>
  <c r="AZ22" i="65"/>
  <c r="AW27" i="65"/>
  <c r="BX20" i="65"/>
  <c r="DA20" i="65"/>
  <c r="DC20" i="65" s="1"/>
  <c r="DD20" i="65" s="1"/>
  <c r="BC30" i="65"/>
  <c r="BD30" i="65"/>
  <c r="BG30" i="65" s="1"/>
  <c r="BJ30" i="65" s="1"/>
  <c r="BK30" i="65" s="1"/>
  <c r="BO157" i="65"/>
  <c r="AY157" i="65"/>
  <c r="BN157" i="65"/>
  <c r="BL157" i="65"/>
  <c r="BM157" i="65"/>
  <c r="BO140" i="65"/>
  <c r="AY140" i="65"/>
  <c r="BN140" i="65"/>
  <c r="BM140" i="65"/>
  <c r="BL140" i="65"/>
  <c r="BL146" i="65"/>
  <c r="BO146" i="65"/>
  <c r="AY146" i="65"/>
  <c r="BM146" i="65"/>
  <c r="BN146" i="65"/>
  <c r="BO131" i="65"/>
  <c r="AY131" i="65"/>
  <c r="BN131" i="65"/>
  <c r="BM131" i="65"/>
  <c r="BL131" i="65"/>
  <c r="BM135" i="65"/>
  <c r="BL135" i="65"/>
  <c r="BN135" i="65"/>
  <c r="AY135" i="65"/>
  <c r="BO135" i="65"/>
  <c r="BN115" i="65"/>
  <c r="BO115" i="65"/>
  <c r="BM115" i="65"/>
  <c r="BL115" i="65"/>
  <c r="AY115" i="65"/>
  <c r="BM116" i="65"/>
  <c r="BO116" i="65"/>
  <c r="BN116" i="65"/>
  <c r="BL116" i="65"/>
  <c r="AY116" i="65"/>
  <c r="BN112" i="65"/>
  <c r="BM112" i="65"/>
  <c r="BO112" i="65"/>
  <c r="BL112" i="65"/>
  <c r="AY112" i="65"/>
  <c r="BO81" i="65"/>
  <c r="AY81" i="65"/>
  <c r="BN81" i="65"/>
  <c r="BM81" i="65"/>
  <c r="BL81" i="65"/>
  <c r="BO85" i="65"/>
  <c r="AY85" i="65"/>
  <c r="BN85" i="65"/>
  <c r="BM85" i="65"/>
  <c r="BL85" i="65"/>
  <c r="BO61" i="65"/>
  <c r="AY61" i="65"/>
  <c r="BN61" i="65"/>
  <c r="BM61" i="65"/>
  <c r="BL61" i="65"/>
  <c r="BN82" i="65"/>
  <c r="BM82" i="65"/>
  <c r="BL82" i="65"/>
  <c r="BO82" i="65"/>
  <c r="AY82" i="65"/>
  <c r="BN78" i="65"/>
  <c r="BM78" i="65"/>
  <c r="BL78" i="65"/>
  <c r="BO78" i="65"/>
  <c r="AY78" i="65"/>
  <c r="BO44" i="65"/>
  <c r="AY44" i="65"/>
  <c r="BN44" i="65"/>
  <c r="BM44" i="65"/>
  <c r="BL44" i="65"/>
  <c r="BO37" i="65"/>
  <c r="AY37" i="65"/>
  <c r="BN37" i="65"/>
  <c r="BM37" i="65"/>
  <c r="BL37" i="65"/>
  <c r="BM43" i="65"/>
  <c r="BL43" i="65"/>
  <c r="BO43" i="65"/>
  <c r="AY43" i="65"/>
  <c r="BN43" i="65"/>
  <c r="BB28" i="65"/>
  <c r="AZ28" i="65"/>
  <c r="AW24" i="65"/>
  <c r="AC22" i="65"/>
  <c r="CX22" i="65"/>
  <c r="BB41" i="65"/>
  <c r="AZ41" i="65"/>
  <c r="AZ63" i="65"/>
  <c r="BB63" i="65"/>
  <c r="BB73" i="65"/>
  <c r="AZ73" i="65"/>
  <c r="BB62" i="65"/>
  <c r="AZ62" i="65"/>
  <c r="BB81" i="65"/>
  <c r="AZ81" i="65"/>
  <c r="BB82" i="65"/>
  <c r="AZ82" i="65"/>
  <c r="BB98" i="65"/>
  <c r="AZ98" i="65"/>
  <c r="BO150" i="65"/>
  <c r="AY150" i="65"/>
  <c r="BN150" i="65"/>
  <c r="BL150" i="65"/>
  <c r="BM150" i="65"/>
  <c r="BM153" i="65"/>
  <c r="BL153" i="65"/>
  <c r="BO153" i="65"/>
  <c r="BN153" i="65"/>
  <c r="AY153" i="65"/>
  <c r="BL139" i="65"/>
  <c r="BO139" i="65"/>
  <c r="AY139" i="65"/>
  <c r="BM139" i="65"/>
  <c r="BN139" i="65"/>
  <c r="BO134" i="65"/>
  <c r="AY134" i="65"/>
  <c r="BN134" i="65"/>
  <c r="BM134" i="65"/>
  <c r="BL134" i="65"/>
  <c r="BL125" i="65"/>
  <c r="BM125" i="65"/>
  <c r="BO125" i="65"/>
  <c r="BN125" i="65"/>
  <c r="AY125" i="65"/>
  <c r="BO108" i="65"/>
  <c r="AY108" i="65"/>
  <c r="BM108" i="65"/>
  <c r="BL108" i="65"/>
  <c r="BN108" i="65"/>
  <c r="BM110" i="65"/>
  <c r="BO110" i="65"/>
  <c r="AY110" i="65"/>
  <c r="BL110" i="65"/>
  <c r="BN110" i="65"/>
  <c r="BO111" i="65"/>
  <c r="AY111" i="65"/>
  <c r="BN111" i="65"/>
  <c r="BM111" i="65"/>
  <c r="BL111" i="65"/>
  <c r="BO92" i="65"/>
  <c r="AY92" i="65"/>
  <c r="BN92" i="65"/>
  <c r="BM92" i="65"/>
  <c r="BL92" i="65"/>
  <c r="BL88" i="65"/>
  <c r="BO88" i="65"/>
  <c r="AY88" i="65"/>
  <c r="BN88" i="65"/>
  <c r="BM88" i="65"/>
  <c r="BO79" i="65"/>
  <c r="AY79" i="65"/>
  <c r="BN79" i="65"/>
  <c r="BM79" i="65"/>
  <c r="BL79" i="65"/>
  <c r="BO80" i="65"/>
  <c r="AY80" i="65"/>
  <c r="BM80" i="65"/>
  <c r="BL80" i="65"/>
  <c r="BN80" i="65"/>
  <c r="BN70" i="65"/>
  <c r="BM70" i="65"/>
  <c r="BL70" i="65"/>
  <c r="BO70" i="65"/>
  <c r="AY70" i="65"/>
  <c r="BO54" i="65"/>
  <c r="AY54" i="65"/>
  <c r="BN54" i="65"/>
  <c r="BM54" i="65"/>
  <c r="BL54" i="65"/>
  <c r="BN62" i="65"/>
  <c r="BM62" i="65"/>
  <c r="BO62" i="65"/>
  <c r="BL62" i="65"/>
  <c r="AY62" i="65"/>
  <c r="BN53" i="65"/>
  <c r="BM53" i="65"/>
  <c r="BL53" i="65"/>
  <c r="BO53" i="65"/>
  <c r="AY53" i="65"/>
  <c r="Q27" i="65"/>
  <c r="P27" i="65"/>
  <c r="R27" i="65" s="1"/>
  <c r="S27" i="65" s="1"/>
  <c r="AZ34" i="65"/>
  <c r="BB34" i="65"/>
  <c r="BB56" i="65"/>
  <c r="AZ56" i="65"/>
  <c r="BB37" i="65"/>
  <c r="AZ37" i="65"/>
  <c r="AZ117" i="65"/>
  <c r="BB117" i="65"/>
  <c r="BB116" i="65"/>
  <c r="AZ116" i="65"/>
  <c r="BB122" i="65"/>
  <c r="AZ122" i="65"/>
  <c r="BB129" i="65"/>
  <c r="AZ129" i="65"/>
  <c r="AZ157" i="65"/>
  <c r="BB157" i="65"/>
  <c r="BB143" i="65"/>
  <c r="AZ143" i="65"/>
  <c r="BB158" i="65"/>
  <c r="AZ158" i="65"/>
  <c r="Q41" i="65"/>
  <c r="P41" i="65"/>
  <c r="R41" i="65" s="1"/>
  <c r="Q56" i="65"/>
  <c r="P56" i="65"/>
  <c r="R56" i="65" s="1"/>
  <c r="Q43" i="65"/>
  <c r="P43" i="65"/>
  <c r="R43" i="65" s="1"/>
  <c r="CO56" i="65"/>
  <c r="CP56" i="65" s="1"/>
  <c r="CB56" i="65"/>
  <c r="CE56" i="65" s="1"/>
  <c r="Q57" i="65"/>
  <c r="P57" i="65"/>
  <c r="R57" i="65" s="1"/>
  <c r="P37" i="65"/>
  <c r="R37" i="65" s="1"/>
  <c r="Q37" i="65"/>
  <c r="AW53" i="65"/>
  <c r="AW43" i="65"/>
  <c r="Q34" i="65"/>
  <c r="P34" i="65"/>
  <c r="R34" i="65" s="1"/>
  <c r="AW67" i="65"/>
  <c r="AW79" i="65"/>
  <c r="Q65" i="65"/>
  <c r="P65" i="65"/>
  <c r="R65" i="65" s="1"/>
  <c r="Q80" i="65"/>
  <c r="P80" i="65"/>
  <c r="R80" i="65" s="1"/>
  <c r="AW60" i="65"/>
  <c r="AW75" i="65"/>
  <c r="Q71" i="65"/>
  <c r="P71" i="65"/>
  <c r="R71" i="65" s="1"/>
  <c r="P85" i="65"/>
  <c r="R85" i="65" s="1"/>
  <c r="Q85" i="65"/>
  <c r="AW95" i="65"/>
  <c r="Q96" i="65"/>
  <c r="P96" i="65"/>
  <c r="R96" i="65" s="1"/>
  <c r="Q98" i="65"/>
  <c r="P98" i="65"/>
  <c r="R98" i="65" s="1"/>
  <c r="P95" i="65"/>
  <c r="R95" i="65" s="1"/>
  <c r="Q95" i="65"/>
  <c r="AW134" i="65"/>
  <c r="AW106" i="65"/>
  <c r="AW117" i="65"/>
  <c r="P117" i="65"/>
  <c r="R117" i="65" s="1"/>
  <c r="Q117" i="65"/>
  <c r="Q128" i="65"/>
  <c r="P128" i="65"/>
  <c r="R128" i="65" s="1"/>
  <c r="Q135" i="65"/>
  <c r="P135" i="65"/>
  <c r="R135" i="65" s="1"/>
  <c r="AW133" i="65"/>
  <c r="P154" i="65"/>
  <c r="R154" i="65" s="1"/>
  <c r="Q154" i="65"/>
  <c r="AW147" i="65"/>
  <c r="Q145" i="65"/>
  <c r="P145" i="65"/>
  <c r="R145" i="65" s="1"/>
  <c r="AW152" i="65"/>
  <c r="P155" i="65"/>
  <c r="R155" i="65" s="1"/>
  <c r="Q155" i="65"/>
  <c r="BX22" i="65"/>
  <c r="DA22" i="65"/>
  <c r="BD62" i="65"/>
  <c r="BG62" i="65" s="1"/>
  <c r="BE53" i="65"/>
  <c r="AX53" i="65"/>
  <c r="BH92" i="65"/>
  <c r="AX139" i="65"/>
  <c r="P30" i="65"/>
  <c r="R30" i="65" s="1"/>
  <c r="Q30" i="65"/>
  <c r="BB48" i="65"/>
  <c r="AZ48" i="65"/>
  <c r="BB42" i="65"/>
  <c r="AZ42" i="65"/>
  <c r="BB70" i="65"/>
  <c r="AZ70" i="65"/>
  <c r="BB69" i="65"/>
  <c r="AZ69" i="65"/>
  <c r="BB89" i="65"/>
  <c r="AZ89" i="65"/>
  <c r="BB90" i="65"/>
  <c r="AZ90" i="65"/>
  <c r="BB105" i="65"/>
  <c r="AZ105" i="65"/>
  <c r="CB21" i="65"/>
  <c r="BC21" i="65"/>
  <c r="CX20" i="65"/>
  <c r="AC20" i="65"/>
  <c r="CN22" i="65"/>
  <c r="CI22" i="65"/>
  <c r="CH22" i="65"/>
  <c r="CO44" i="65"/>
  <c r="CP44" i="65" s="1"/>
  <c r="CB44" i="65"/>
  <c r="CE44" i="65" s="1"/>
  <c r="CJ44" i="65" s="1"/>
  <c r="Q31" i="65"/>
  <c r="P31" i="65"/>
  <c r="R31" i="65" s="1"/>
  <c r="BO160" i="65"/>
  <c r="AY160" i="65"/>
  <c r="BM160" i="65"/>
  <c r="BN160" i="65"/>
  <c r="BL160" i="65"/>
  <c r="BO142" i="65"/>
  <c r="AY142" i="65"/>
  <c r="BN142" i="65"/>
  <c r="BM142" i="65"/>
  <c r="BL142" i="65"/>
  <c r="BN149" i="65"/>
  <c r="BM149" i="65"/>
  <c r="BL149" i="65"/>
  <c r="BO149" i="65"/>
  <c r="AY149" i="65"/>
  <c r="BO127" i="65"/>
  <c r="AY127" i="65"/>
  <c r="BN127" i="65"/>
  <c r="BM127" i="65"/>
  <c r="BL127" i="65"/>
  <c r="BO124" i="65"/>
  <c r="BN124" i="65"/>
  <c r="AY124" i="65"/>
  <c r="BM124" i="65"/>
  <c r="BL124" i="65"/>
  <c r="BN118" i="65"/>
  <c r="BL118" i="65"/>
  <c r="BO118" i="65"/>
  <c r="BM118" i="65"/>
  <c r="AY118" i="65"/>
  <c r="BO104" i="65"/>
  <c r="AY104" i="65"/>
  <c r="BN104" i="65"/>
  <c r="BM104" i="65"/>
  <c r="BL104" i="65"/>
  <c r="BL103" i="65"/>
  <c r="BO103" i="65"/>
  <c r="AY103" i="65"/>
  <c r="BN103" i="65"/>
  <c r="BM103" i="65"/>
  <c r="BO84" i="65"/>
  <c r="AY84" i="65"/>
  <c r="BN84" i="65"/>
  <c r="BM84" i="65"/>
  <c r="BL84" i="65"/>
  <c r="BM91" i="65"/>
  <c r="BL91" i="65"/>
  <c r="BO91" i="65"/>
  <c r="AY91" i="65"/>
  <c r="BN91" i="65"/>
  <c r="BO71" i="65"/>
  <c r="AY71" i="65"/>
  <c r="BN71" i="65"/>
  <c r="BM71" i="65"/>
  <c r="BL71" i="65"/>
  <c r="BL72" i="65"/>
  <c r="BO72" i="65"/>
  <c r="AY72" i="65"/>
  <c r="BN72" i="65"/>
  <c r="BM72" i="65"/>
  <c r="BN63" i="65"/>
  <c r="BM63" i="65"/>
  <c r="BL63" i="65"/>
  <c r="AY63" i="65"/>
  <c r="BO63" i="65"/>
  <c r="BO46" i="65"/>
  <c r="AY46" i="65"/>
  <c r="BN46" i="65"/>
  <c r="BM46" i="65"/>
  <c r="BL46" i="65"/>
  <c r="BL55" i="65"/>
  <c r="BO55" i="65"/>
  <c r="AY55" i="65"/>
  <c r="BN55" i="65"/>
  <c r="BM55" i="65"/>
  <c r="BN45" i="65"/>
  <c r="BM45" i="65"/>
  <c r="BL45" i="65"/>
  <c r="BO45" i="65"/>
  <c r="AY45" i="65"/>
  <c r="AZ36" i="65"/>
  <c r="BB36" i="65"/>
  <c r="BB38" i="65"/>
  <c r="AZ38" i="65"/>
  <c r="AZ61" i="65"/>
  <c r="BB61" i="65"/>
  <c r="BB110" i="65"/>
  <c r="BC110" i="65" s="1"/>
  <c r="AZ110" i="65"/>
  <c r="AZ133" i="65"/>
  <c r="BB133" i="65"/>
  <c r="AZ131" i="65"/>
  <c r="BB131" i="65"/>
  <c r="BB137" i="65"/>
  <c r="AZ137" i="65"/>
  <c r="BB144" i="65"/>
  <c r="AZ144" i="65"/>
  <c r="BB156" i="65"/>
  <c r="AZ156" i="65"/>
  <c r="BB155" i="65"/>
  <c r="AZ155" i="65"/>
  <c r="Q60" i="65"/>
  <c r="P60" i="65"/>
  <c r="R60" i="65" s="1"/>
  <c r="AW42" i="65"/>
  <c r="AW62" i="65"/>
  <c r="BX44" i="65"/>
  <c r="Q59" i="65"/>
  <c r="P59" i="65"/>
  <c r="R59" i="65" s="1"/>
  <c r="AW44" i="65"/>
  <c r="AW58" i="65"/>
  <c r="AW38" i="65"/>
  <c r="AW35" i="65"/>
  <c r="Q63" i="65"/>
  <c r="P63" i="65"/>
  <c r="R63" i="65" s="1"/>
  <c r="AW66" i="65"/>
  <c r="AW81" i="65"/>
  <c r="P69" i="65"/>
  <c r="R69" i="65" s="1"/>
  <c r="Q69" i="65"/>
  <c r="AW72" i="65"/>
  <c r="P81" i="65"/>
  <c r="R81" i="65" s="1"/>
  <c r="Q81" i="65"/>
  <c r="Q83" i="65"/>
  <c r="P83" i="65"/>
  <c r="R83" i="65" s="1"/>
  <c r="AW86" i="65"/>
  <c r="Q90" i="65"/>
  <c r="P90" i="65"/>
  <c r="R90" i="65" s="1"/>
  <c r="AW97" i="65"/>
  <c r="AW99" i="65"/>
  <c r="AW96" i="65"/>
  <c r="Q108" i="65"/>
  <c r="P108" i="65"/>
  <c r="R108" i="65" s="1"/>
  <c r="Q121" i="65"/>
  <c r="P121" i="65"/>
  <c r="R121" i="65" s="1"/>
  <c r="AW115" i="65"/>
  <c r="AW123" i="65"/>
  <c r="AW131" i="65"/>
  <c r="AW136" i="65"/>
  <c r="P137" i="65"/>
  <c r="R137" i="65" s="1"/>
  <c r="Q137" i="65"/>
  <c r="AW125" i="65"/>
  <c r="Q144" i="65"/>
  <c r="P144" i="65"/>
  <c r="R144" i="65" s="1"/>
  <c r="AW154" i="65"/>
  <c r="P143" i="65"/>
  <c r="R143" i="65" s="1"/>
  <c r="Q143" i="65"/>
  <c r="P148" i="65"/>
  <c r="R148" i="65" s="1"/>
  <c r="Q148" i="65"/>
  <c r="AW146" i="65"/>
  <c r="Q156" i="65"/>
  <c r="P156" i="65"/>
  <c r="R156" i="65" s="1"/>
  <c r="AW156" i="65"/>
  <c r="BH53" i="65"/>
  <c r="BE54" i="65"/>
  <c r="BF53" i="65"/>
  <c r="BI92" i="65"/>
  <c r="BE79" i="65"/>
  <c r="BP92" i="65"/>
  <c r="AT92" i="65" s="1"/>
  <c r="BP108" i="65"/>
  <c r="AT108" i="65" s="1"/>
  <c r="BF110" i="65"/>
  <c r="BH108" i="65"/>
  <c r="BE110" i="65"/>
  <c r="BE125" i="65"/>
  <c r="BP134" i="65"/>
  <c r="AT134" i="65" s="1"/>
  <c r="BB23" i="65"/>
  <c r="AZ23" i="65"/>
  <c r="BB45" i="65"/>
  <c r="AZ45" i="65"/>
  <c r="BB49" i="65"/>
  <c r="AZ49" i="65"/>
  <c r="BB78" i="65"/>
  <c r="AZ78" i="65"/>
  <c r="BB77" i="65"/>
  <c r="AZ77" i="65"/>
  <c r="BB86" i="65"/>
  <c r="AZ86" i="65"/>
  <c r="AZ102" i="65"/>
  <c r="BB102" i="65"/>
  <c r="BB95" i="65"/>
  <c r="AZ95" i="65"/>
  <c r="P21" i="65"/>
  <c r="R21" i="65" s="1"/>
  <c r="Q21" i="65"/>
  <c r="CE20" i="65"/>
  <c r="BL158" i="65"/>
  <c r="BO158" i="65"/>
  <c r="AY158" i="65"/>
  <c r="BN158" i="65"/>
  <c r="BM158" i="65"/>
  <c r="BN155" i="65"/>
  <c r="BO155" i="65"/>
  <c r="BM155" i="65"/>
  <c r="BL155" i="65"/>
  <c r="AY155" i="65"/>
  <c r="BN144" i="65"/>
  <c r="BM144" i="65"/>
  <c r="BL144" i="65"/>
  <c r="BO144" i="65"/>
  <c r="AY144" i="65"/>
  <c r="BO137" i="65"/>
  <c r="AY137" i="65"/>
  <c r="BL137" i="65"/>
  <c r="BN137" i="65"/>
  <c r="BM137" i="65"/>
  <c r="BL132" i="65"/>
  <c r="BM132" i="65"/>
  <c r="AY132" i="65"/>
  <c r="BO132" i="65"/>
  <c r="BN132" i="65"/>
  <c r="BM123" i="65"/>
  <c r="BL123" i="65"/>
  <c r="AY123" i="65"/>
  <c r="BO123" i="65"/>
  <c r="BN123" i="65"/>
  <c r="BO99" i="65"/>
  <c r="AY99" i="65"/>
  <c r="BN99" i="65"/>
  <c r="BM99" i="65"/>
  <c r="BL99" i="65"/>
  <c r="BN105" i="65"/>
  <c r="BM105" i="65"/>
  <c r="BL105" i="65"/>
  <c r="AY105" i="65"/>
  <c r="BO105" i="65"/>
  <c r="BO96" i="65"/>
  <c r="AY96" i="65"/>
  <c r="BN96" i="65"/>
  <c r="BM96" i="65"/>
  <c r="BL96" i="65"/>
  <c r="BM83" i="65"/>
  <c r="BL83" i="65"/>
  <c r="BO83" i="65"/>
  <c r="AY83" i="65"/>
  <c r="BN83" i="65"/>
  <c r="BO64" i="65"/>
  <c r="AY64" i="65"/>
  <c r="BN64" i="65"/>
  <c r="BL64" i="65"/>
  <c r="BM64" i="65"/>
  <c r="BL65" i="65"/>
  <c r="BO65" i="65"/>
  <c r="AY65" i="65"/>
  <c r="BN65" i="65"/>
  <c r="BM65" i="65"/>
  <c r="BO56" i="65"/>
  <c r="AY56" i="65"/>
  <c r="BN56" i="65"/>
  <c r="BM56" i="65"/>
  <c r="BL56" i="65"/>
  <c r="BO39" i="65"/>
  <c r="AY39" i="65"/>
  <c r="BN39" i="65"/>
  <c r="BM39" i="65"/>
  <c r="BL39" i="65"/>
  <c r="BL47" i="65"/>
  <c r="BO47" i="65"/>
  <c r="AY47" i="65"/>
  <c r="BN47" i="65"/>
  <c r="BM47" i="65"/>
  <c r="BN38" i="65"/>
  <c r="BM38" i="65"/>
  <c r="BL38" i="65"/>
  <c r="BO38" i="65"/>
  <c r="AY38" i="65"/>
  <c r="Q44" i="65"/>
  <c r="P44" i="65"/>
  <c r="R44" i="65" s="1"/>
  <c r="Q68" i="65"/>
  <c r="P68" i="65"/>
  <c r="R68" i="65" s="1"/>
  <c r="Q45" i="65"/>
  <c r="P45" i="65"/>
  <c r="R45" i="65" s="1"/>
  <c r="Q40" i="65"/>
  <c r="P40" i="65"/>
  <c r="R40" i="65" s="1"/>
  <c r="CO68" i="65"/>
  <c r="CP68" i="65" s="1"/>
  <c r="CV68" i="65" s="1"/>
  <c r="CB68" i="65"/>
  <c r="CE68" i="65" s="1"/>
  <c r="CJ68" i="65" s="1"/>
  <c r="Q55" i="65"/>
  <c r="P55" i="65"/>
  <c r="R55" i="65" s="1"/>
  <c r="Q54" i="65"/>
  <c r="P54" i="65"/>
  <c r="R54" i="65" s="1"/>
  <c r="Q76" i="65"/>
  <c r="P76" i="65"/>
  <c r="R76" i="65" s="1"/>
  <c r="AW64" i="65"/>
  <c r="AW85" i="65"/>
  <c r="AW70" i="65"/>
  <c r="AW82" i="65"/>
  <c r="Q86" i="65"/>
  <c r="P86" i="65"/>
  <c r="R86" i="65" s="1"/>
  <c r="AW84" i="65"/>
  <c r="Q88" i="65"/>
  <c r="P88" i="65"/>
  <c r="R88" i="65" s="1"/>
  <c r="AW91" i="65"/>
  <c r="Q101" i="65"/>
  <c r="P101" i="65"/>
  <c r="R101" i="65" s="1"/>
  <c r="CX104" i="65"/>
  <c r="AC104" i="65"/>
  <c r="P100" i="65"/>
  <c r="R100" i="65" s="1"/>
  <c r="Q100" i="65"/>
  <c r="Q97" i="65"/>
  <c r="P97" i="65"/>
  <c r="R97" i="65" s="1"/>
  <c r="AW109" i="65"/>
  <c r="Q118" i="65"/>
  <c r="P118" i="65"/>
  <c r="R118" i="65" s="1"/>
  <c r="P123" i="65"/>
  <c r="R123" i="65" s="1"/>
  <c r="Q123" i="65"/>
  <c r="AW118" i="65"/>
  <c r="Q136" i="65"/>
  <c r="P136" i="65"/>
  <c r="R136" i="65" s="1"/>
  <c r="AW138" i="65"/>
  <c r="Q142" i="65"/>
  <c r="P142" i="65"/>
  <c r="R142" i="65" s="1"/>
  <c r="AW145" i="65"/>
  <c r="P162" i="65"/>
  <c r="R162" i="65" s="1"/>
  <c r="Q162" i="65"/>
  <c r="AW144" i="65"/>
  <c r="AW148" i="65"/>
  <c r="Q153" i="65"/>
  <c r="P153" i="65"/>
  <c r="R153" i="65" s="1"/>
  <c r="AW157" i="65"/>
  <c r="Q160" i="65"/>
  <c r="P160" i="65"/>
  <c r="R160" i="65" s="1"/>
  <c r="Q157" i="65"/>
  <c r="P157" i="65"/>
  <c r="R157" i="65" s="1"/>
  <c r="P25" i="65"/>
  <c r="R25" i="65" s="1"/>
  <c r="Q25" i="65"/>
  <c r="BP54" i="65"/>
  <c r="AT54" i="65" s="1"/>
  <c r="AX62" i="65"/>
  <c r="AX92" i="65"/>
  <c r="BH125" i="65"/>
  <c r="AX134" i="65"/>
  <c r="BI125" i="65"/>
  <c r="BD125" i="65"/>
  <c r="BG125" i="65" s="1"/>
  <c r="AX150" i="65"/>
  <c r="AW29" i="65"/>
  <c r="CM22" i="65"/>
  <c r="CS22" i="65" s="1"/>
  <c r="BE21" i="65"/>
  <c r="BB43" i="65"/>
  <c r="AZ43" i="65"/>
  <c r="AZ71" i="65"/>
  <c r="BB71" i="65"/>
  <c r="BB68" i="65"/>
  <c r="AZ68" i="65"/>
  <c r="BB67" i="65"/>
  <c r="AZ67" i="65"/>
  <c r="BB93" i="65"/>
  <c r="AZ93" i="65"/>
  <c r="BB106" i="65"/>
  <c r="AZ106" i="65"/>
  <c r="BB103" i="65"/>
  <c r="AZ103" i="65"/>
  <c r="Q22" i="65"/>
  <c r="P22" i="65"/>
  <c r="R22" i="65" s="1"/>
  <c r="CI20" i="65"/>
  <c r="CH20" i="65"/>
  <c r="CN20" i="65"/>
  <c r="BO159" i="65"/>
  <c r="AY159" i="65"/>
  <c r="BN159" i="65"/>
  <c r="BM159" i="65"/>
  <c r="BL159" i="65"/>
  <c r="BL151" i="65"/>
  <c r="BO151" i="65"/>
  <c r="AY151" i="65"/>
  <c r="BN151" i="65"/>
  <c r="BM151" i="65"/>
  <c r="BO145" i="65"/>
  <c r="AY145" i="65"/>
  <c r="BN145" i="65"/>
  <c r="BM145" i="65"/>
  <c r="BL145" i="65"/>
  <c r="BO133" i="65"/>
  <c r="AY133" i="65"/>
  <c r="BN133" i="65"/>
  <c r="BM133" i="65"/>
  <c r="BL133" i="65"/>
  <c r="BO129" i="65"/>
  <c r="AY129" i="65"/>
  <c r="BL129" i="65"/>
  <c r="BM129" i="65"/>
  <c r="BN129" i="65"/>
  <c r="BM128" i="65"/>
  <c r="BL128" i="65"/>
  <c r="BN128" i="65"/>
  <c r="AY128" i="65"/>
  <c r="BO128" i="65"/>
  <c r="BO114" i="65"/>
  <c r="AY114" i="65"/>
  <c r="BN114" i="65"/>
  <c r="BM114" i="65"/>
  <c r="BL114" i="65"/>
  <c r="BO102" i="65"/>
  <c r="AY102" i="65"/>
  <c r="BN102" i="65"/>
  <c r="BM102" i="65"/>
  <c r="BL102" i="65"/>
  <c r="BM98" i="65"/>
  <c r="BL98" i="65"/>
  <c r="BO98" i="65"/>
  <c r="AY98" i="65"/>
  <c r="BN98" i="65"/>
  <c r="BO87" i="65"/>
  <c r="AY87" i="65"/>
  <c r="BN87" i="65"/>
  <c r="BM87" i="65"/>
  <c r="BL87" i="65"/>
  <c r="BN86" i="65"/>
  <c r="BM86" i="65"/>
  <c r="BL86" i="65"/>
  <c r="BO86" i="65"/>
  <c r="AY86" i="65"/>
  <c r="BO74" i="65"/>
  <c r="AY74" i="65"/>
  <c r="BN74" i="65"/>
  <c r="BM74" i="65"/>
  <c r="BL74" i="65"/>
  <c r="BN93" i="65"/>
  <c r="BM93" i="65"/>
  <c r="BL93" i="65"/>
  <c r="AY93" i="65"/>
  <c r="BO93" i="65"/>
  <c r="BO48" i="65"/>
  <c r="AY48" i="65"/>
  <c r="BN48" i="65"/>
  <c r="BM48" i="65"/>
  <c r="BL48" i="65"/>
  <c r="BO34" i="65"/>
  <c r="AY34" i="65"/>
  <c r="BN34" i="65"/>
  <c r="BM34" i="65"/>
  <c r="BL34" i="65"/>
  <c r="BL40" i="65"/>
  <c r="BO40" i="65"/>
  <c r="AY40" i="65"/>
  <c r="BN40" i="65"/>
  <c r="BM40" i="65"/>
  <c r="BL22" i="65"/>
  <c r="BM22" i="65"/>
  <c r="BO22" i="65"/>
  <c r="AY22" i="65"/>
  <c r="BE22" i="65"/>
  <c r="BJ22" i="65" s="1"/>
  <c r="AK22" i="65" s="1"/>
  <c r="BN22" i="65"/>
  <c r="AW22" i="65"/>
  <c r="DB22" i="65"/>
  <c r="AZ54" i="65"/>
  <c r="BB54" i="65"/>
  <c r="BB35" i="65"/>
  <c r="AZ35" i="65"/>
  <c r="AZ113" i="65"/>
  <c r="BB113" i="65"/>
  <c r="BB107" i="65"/>
  <c r="AZ107" i="65"/>
  <c r="BB118" i="65"/>
  <c r="AZ118" i="65"/>
  <c r="AZ142" i="65"/>
  <c r="BB142" i="65"/>
  <c r="BB134" i="65"/>
  <c r="AZ134" i="65"/>
  <c r="AZ154" i="65"/>
  <c r="BB154" i="65"/>
  <c r="BB152" i="65"/>
  <c r="AZ152" i="65"/>
  <c r="BB160" i="65"/>
  <c r="BI160" i="65" s="1"/>
  <c r="AZ160" i="65"/>
  <c r="AW32" i="65"/>
  <c r="Q33" i="65"/>
  <c r="P33" i="65"/>
  <c r="R33" i="65" s="1"/>
  <c r="AW46" i="65"/>
  <c r="AW59" i="65"/>
  <c r="AW41" i="65"/>
  <c r="AW56" i="65"/>
  <c r="Q32" i="65"/>
  <c r="P32" i="65"/>
  <c r="R32" i="65" s="1"/>
  <c r="Q49" i="65"/>
  <c r="P49" i="65"/>
  <c r="R49" i="65" s="1"/>
  <c r="AW55" i="65"/>
  <c r="AW77" i="65"/>
  <c r="Q73" i="65"/>
  <c r="P73" i="65"/>
  <c r="R73" i="65" s="1"/>
  <c r="Q70" i="65"/>
  <c r="P70" i="65"/>
  <c r="R70" i="65" s="1"/>
  <c r="CO80" i="65"/>
  <c r="CP80" i="65" s="1"/>
  <c r="CB80" i="65"/>
  <c r="CE80" i="65" s="1"/>
  <c r="CJ80" i="65" s="1"/>
  <c r="Q67" i="65"/>
  <c r="P67" i="65"/>
  <c r="R67" i="65" s="1"/>
  <c r="AW87" i="65"/>
  <c r="AW89" i="65"/>
  <c r="P94" i="65"/>
  <c r="R94" i="65" s="1"/>
  <c r="Q94" i="65"/>
  <c r="Q99" i="65"/>
  <c r="P99" i="65"/>
  <c r="R99" i="65" s="1"/>
  <c r="AW102" i="65"/>
  <c r="BX104" i="65"/>
  <c r="AW101" i="65"/>
  <c r="AW98" i="65"/>
  <c r="CO128" i="65"/>
  <c r="CP128" i="65" s="1"/>
  <c r="CB128" i="65"/>
  <c r="CE128" i="65" s="1"/>
  <c r="CJ128" i="65" s="1"/>
  <c r="Q115" i="65"/>
  <c r="P115" i="65"/>
  <c r="R115" i="65" s="1"/>
  <c r="Q113" i="65"/>
  <c r="P113" i="65"/>
  <c r="R113" i="65" s="1"/>
  <c r="Q122" i="65"/>
  <c r="P122" i="65"/>
  <c r="R122" i="65" s="1"/>
  <c r="P114" i="65"/>
  <c r="R114" i="65" s="1"/>
  <c r="Q114" i="65"/>
  <c r="AW119" i="65"/>
  <c r="AW124" i="65"/>
  <c r="Q138" i="65"/>
  <c r="P138" i="65"/>
  <c r="R138" i="65" s="1"/>
  <c r="AW137" i="65"/>
  <c r="Q125" i="65"/>
  <c r="P125" i="65"/>
  <c r="R125" i="65" s="1"/>
  <c r="AC128" i="65"/>
  <c r="CX128" i="65"/>
  <c r="AW128" i="65"/>
  <c r="AW143" i="65"/>
  <c r="AW163" i="65"/>
  <c r="Q139" i="65"/>
  <c r="CB152" i="65"/>
  <c r="CE152" i="65" s="1"/>
  <c r="CJ152" i="65" s="1"/>
  <c r="CO152" i="65"/>
  <c r="CP152" i="65" s="1"/>
  <c r="CV152" i="65" s="1"/>
  <c r="P139" i="65"/>
  <c r="R139" i="65" s="1"/>
  <c r="AW155" i="65"/>
  <c r="Q158" i="65"/>
  <c r="P158" i="65"/>
  <c r="R158" i="65" s="1"/>
  <c r="AW161" i="65"/>
  <c r="AW158" i="65"/>
  <c r="CJ56" i="65"/>
  <c r="CJ140" i="65"/>
  <c r="AW21" i="65"/>
  <c r="DB21" i="65"/>
  <c r="BI54" i="65"/>
  <c r="BE62" i="65"/>
  <c r="BF62" i="65"/>
  <c r="BH62" i="65"/>
  <c r="AX70" i="65"/>
  <c r="BD92" i="65"/>
  <c r="BG92" i="65" s="1"/>
  <c r="CY92" i="65" s="1"/>
  <c r="BF92" i="65"/>
  <c r="BI110" i="65"/>
  <c r="BE108" i="65"/>
  <c r="BP111" i="65"/>
  <c r="AT111" i="65" s="1"/>
  <c r="AX125" i="65"/>
  <c r="BF134" i="65"/>
  <c r="BE150" i="65"/>
  <c r="AX142" i="65"/>
  <c r="BD160" i="65"/>
  <c r="BG160" i="65" s="1"/>
  <c r="BD150" i="65"/>
  <c r="BG150" i="65" s="1"/>
  <c r="BE160" i="65"/>
  <c r="BF150" i="65"/>
  <c r="BH150" i="65"/>
  <c r="BI150" i="65"/>
  <c r="P23" i="65"/>
  <c r="R23" i="65" s="1"/>
  <c r="Q23" i="65"/>
  <c r="BQ22" i="65"/>
  <c r="BR22" i="65" s="1"/>
  <c r="BB50" i="65"/>
  <c r="AZ50" i="65"/>
  <c r="AZ79" i="65"/>
  <c r="BB79" i="65"/>
  <c r="BD79" i="65" s="1"/>
  <c r="BG79" i="65" s="1"/>
  <c r="BB75" i="65"/>
  <c r="AZ75" i="65"/>
  <c r="BB74" i="65"/>
  <c r="AZ74" i="65"/>
  <c r="AZ94" i="65"/>
  <c r="BB94" i="65"/>
  <c r="AZ99" i="65"/>
  <c r="BB99" i="65"/>
  <c r="BB100" i="65"/>
  <c r="AZ100" i="65"/>
  <c r="AW25" i="65"/>
  <c r="BX21" i="65"/>
  <c r="DA21" i="65"/>
  <c r="DC21" i="65" s="1"/>
  <c r="DD21" i="65" s="1"/>
  <c r="AZ29" i="65"/>
  <c r="BB29" i="65"/>
  <c r="BO152" i="65"/>
  <c r="AY152" i="65"/>
  <c r="BN152" i="65"/>
  <c r="BM152" i="65"/>
  <c r="BL152" i="65"/>
  <c r="BM161" i="65"/>
  <c r="BL161" i="65"/>
  <c r="BO161" i="65"/>
  <c r="AY161" i="65"/>
  <c r="BN161" i="65"/>
  <c r="BN148" i="65"/>
  <c r="BO148" i="65"/>
  <c r="BM148" i="65"/>
  <c r="BL148" i="65"/>
  <c r="AY148" i="65"/>
  <c r="BO126" i="65"/>
  <c r="AY126" i="65"/>
  <c r="BM126" i="65"/>
  <c r="BL126" i="65"/>
  <c r="BN126" i="65"/>
  <c r="BO138" i="65"/>
  <c r="AY138" i="65"/>
  <c r="BN138" i="65"/>
  <c r="BL138" i="65"/>
  <c r="BM138" i="65"/>
  <c r="BO119" i="65"/>
  <c r="AY119" i="65"/>
  <c r="BN119" i="65"/>
  <c r="BM119" i="65"/>
  <c r="BL119" i="65"/>
  <c r="BO109" i="65"/>
  <c r="AY109" i="65"/>
  <c r="BM109" i="65"/>
  <c r="BL109" i="65"/>
  <c r="BN109" i="65"/>
  <c r="BO106" i="65"/>
  <c r="AY106" i="65"/>
  <c r="BN106" i="65"/>
  <c r="BL106" i="65"/>
  <c r="BM106" i="65"/>
  <c r="BN113" i="65"/>
  <c r="BM113" i="65"/>
  <c r="BL113" i="65"/>
  <c r="BO113" i="65"/>
  <c r="AY113" i="65"/>
  <c r="BN94" i="65"/>
  <c r="BM94" i="65"/>
  <c r="BL94" i="65"/>
  <c r="AY94" i="65"/>
  <c r="BO94" i="65"/>
  <c r="BO73" i="65"/>
  <c r="AY73" i="65"/>
  <c r="BN73" i="65"/>
  <c r="BM73" i="65"/>
  <c r="BL73" i="65"/>
  <c r="BO67" i="65"/>
  <c r="AY67" i="65"/>
  <c r="BM67" i="65"/>
  <c r="BL67" i="65"/>
  <c r="BN67" i="65"/>
  <c r="BM75" i="65"/>
  <c r="BL75" i="65"/>
  <c r="BO75" i="65"/>
  <c r="AY75" i="65"/>
  <c r="BN75" i="65"/>
  <c r="BO41" i="65"/>
  <c r="AY41" i="65"/>
  <c r="BN41" i="65"/>
  <c r="BM41" i="65"/>
  <c r="BL41" i="65"/>
  <c r="BO49" i="65"/>
  <c r="AY49" i="65"/>
  <c r="BN49" i="65"/>
  <c r="BM49" i="65"/>
  <c r="BL49" i="65"/>
  <c r="BM59" i="65"/>
  <c r="BL59" i="65"/>
  <c r="BO59" i="65"/>
  <c r="AY59" i="65"/>
  <c r="BN59" i="65"/>
  <c r="BM31" i="65"/>
  <c r="BO31" i="65"/>
  <c r="AY31" i="65"/>
  <c r="AV31" i="65"/>
  <c r="BN31" i="65"/>
  <c r="BL31" i="65"/>
  <c r="AZ58" i="65"/>
  <c r="BB58" i="65"/>
  <c r="BB57" i="65"/>
  <c r="AZ57" i="65"/>
  <c r="AZ111" i="65"/>
  <c r="BB111" i="65"/>
  <c r="BB119" i="65"/>
  <c r="AZ119" i="65"/>
  <c r="BB123" i="65"/>
  <c r="AZ123" i="65"/>
  <c r="BB128" i="65"/>
  <c r="AZ128" i="65"/>
  <c r="AZ145" i="65"/>
  <c r="BB145" i="65"/>
  <c r="BB141" i="65"/>
  <c r="AZ141" i="65"/>
  <c r="BB159" i="65"/>
  <c r="AZ159" i="65"/>
  <c r="Q20" i="65"/>
  <c r="P20" i="65"/>
  <c r="R20" i="65" s="1"/>
  <c r="S20" i="65" s="1"/>
  <c r="Q48" i="65"/>
  <c r="P48" i="65"/>
  <c r="R48" i="65" s="1"/>
  <c r="AW34" i="65"/>
  <c r="Q50" i="65"/>
  <c r="P50" i="65"/>
  <c r="R50" i="65" s="1"/>
  <c r="P61" i="65"/>
  <c r="R61" i="65" s="1"/>
  <c r="Q61" i="65"/>
  <c r="AW45" i="65"/>
  <c r="AW50" i="65"/>
  <c r="Q39" i="65"/>
  <c r="P39" i="65"/>
  <c r="R39" i="65" s="1"/>
  <c r="Q92" i="65"/>
  <c r="P92" i="65"/>
  <c r="R92" i="65" s="1"/>
  <c r="AW74" i="65"/>
  <c r="AW71" i="65"/>
  <c r="Q75" i="65"/>
  <c r="P75" i="65"/>
  <c r="R75" i="65" s="1"/>
  <c r="Q72" i="65"/>
  <c r="P72" i="65"/>
  <c r="R72" i="65" s="1"/>
  <c r="AW68" i="65"/>
  <c r="Q64" i="65"/>
  <c r="P64" i="65"/>
  <c r="R64" i="65" s="1"/>
  <c r="CO92" i="65"/>
  <c r="CP92" i="65" s="1"/>
  <c r="CB92" i="65"/>
  <c r="CE92" i="65" s="1"/>
  <c r="CJ92" i="65" s="1"/>
  <c r="Q79" i="65"/>
  <c r="P79" i="65"/>
  <c r="R79" i="65" s="1"/>
  <c r="CX92" i="65"/>
  <c r="AC92" i="65"/>
  <c r="AW93" i="65"/>
  <c r="AW100" i="65"/>
  <c r="Q104" i="65"/>
  <c r="P104" i="65"/>
  <c r="R104" i="65" s="1"/>
  <c r="Q105" i="65"/>
  <c r="P105" i="65"/>
  <c r="R105" i="65" s="1"/>
  <c r="CB116" i="65"/>
  <c r="CE116" i="65" s="1"/>
  <c r="CJ116" i="65" s="1"/>
  <c r="CO116" i="65"/>
  <c r="CP116" i="65" s="1"/>
  <c r="Q103" i="65"/>
  <c r="P103" i="65"/>
  <c r="R103" i="65" s="1"/>
  <c r="Q102" i="65"/>
  <c r="P102" i="65"/>
  <c r="R102" i="65" s="1"/>
  <c r="AW116" i="65"/>
  <c r="AC116" i="65"/>
  <c r="CX116" i="65"/>
  <c r="Q124" i="65"/>
  <c r="P124" i="65"/>
  <c r="R124" i="65" s="1"/>
  <c r="Q133" i="65"/>
  <c r="P133" i="65"/>
  <c r="R133" i="65" s="1"/>
  <c r="AW127" i="65"/>
  <c r="Q140" i="65"/>
  <c r="P140" i="65"/>
  <c r="R140" i="65" s="1"/>
  <c r="AW126" i="65"/>
  <c r="Q131" i="65"/>
  <c r="P131" i="65"/>
  <c r="R131" i="65" s="1"/>
  <c r="CX140" i="65"/>
  <c r="AC140" i="65"/>
  <c r="AW140" i="65"/>
  <c r="AW160" i="65"/>
  <c r="CX152" i="65"/>
  <c r="AC152" i="65"/>
  <c r="Q159" i="65"/>
  <c r="P159" i="65"/>
  <c r="R159" i="65" s="1"/>
  <c r="AW159" i="65"/>
  <c r="P163" i="65"/>
  <c r="R163" i="65" s="1"/>
  <c r="Q163" i="65"/>
  <c r="BQ109" i="65"/>
  <c r="BR109" i="65" s="1"/>
  <c r="BQ151" i="65"/>
  <c r="BR151" i="65" s="1"/>
  <c r="BH70" i="65"/>
  <c r="BP62" i="65"/>
  <c r="AT62" i="65" s="1"/>
  <c r="AX79" i="65"/>
  <c r="BD70" i="65"/>
  <c r="BG70" i="65" s="1"/>
  <c r="BE70" i="65"/>
  <c r="BF70" i="65"/>
  <c r="AX108" i="65"/>
  <c r="BD110" i="65"/>
  <c r="BG110" i="65" s="1"/>
  <c r="BD111" i="65"/>
  <c r="BG111" i="65" s="1"/>
  <c r="BI108" i="65"/>
  <c r="AX153" i="65"/>
  <c r="BF142" i="65"/>
  <c r="BH160" i="65"/>
  <c r="BP150" i="65"/>
  <c r="AT150" i="65" s="1"/>
  <c r="BJ24" i="65"/>
  <c r="BK24" i="65" s="1"/>
  <c r="CR22" i="65"/>
  <c r="AZ46" i="65"/>
  <c r="BB46" i="65"/>
  <c r="AZ64" i="65"/>
  <c r="BB64" i="65"/>
  <c r="AZ76" i="65"/>
  <c r="BB76" i="65"/>
  <c r="AZ87" i="65"/>
  <c r="BB87" i="65"/>
  <c r="AZ83" i="65"/>
  <c r="BB83" i="65"/>
  <c r="BB91" i="65"/>
  <c r="AZ91" i="65"/>
  <c r="BB96" i="65"/>
  <c r="AZ96" i="65"/>
  <c r="BB97" i="65"/>
  <c r="AZ97" i="65"/>
  <c r="CX21" i="65"/>
  <c r="AC21" i="65"/>
  <c r="BI21" i="65"/>
  <c r="Q24" i="65"/>
  <c r="P24" i="65"/>
  <c r="R24" i="65" s="1"/>
  <c r="CE21" i="65"/>
  <c r="BO162" i="65"/>
  <c r="AY162" i="65"/>
  <c r="BN162" i="65"/>
  <c r="BM162" i="65"/>
  <c r="BL162" i="65"/>
  <c r="BN156" i="65"/>
  <c r="BM156" i="65"/>
  <c r="BL156" i="65"/>
  <c r="BO156" i="65"/>
  <c r="AY156" i="65"/>
  <c r="BO143" i="65"/>
  <c r="AY143" i="65"/>
  <c r="BN143" i="65"/>
  <c r="BL143" i="65"/>
  <c r="BM143" i="65"/>
  <c r="BO136" i="65"/>
  <c r="AY136" i="65"/>
  <c r="BN136" i="65"/>
  <c r="BM136" i="65"/>
  <c r="BL136" i="65"/>
  <c r="BN130" i="65"/>
  <c r="BM130" i="65"/>
  <c r="BL130" i="65"/>
  <c r="BO130" i="65"/>
  <c r="AY130" i="65"/>
  <c r="BO122" i="65"/>
  <c r="AY122" i="65"/>
  <c r="BN122" i="65"/>
  <c r="BM122" i="65"/>
  <c r="BL122" i="65"/>
  <c r="BL120" i="65"/>
  <c r="BM120" i="65"/>
  <c r="BO120" i="65"/>
  <c r="AY120" i="65"/>
  <c r="BN120" i="65"/>
  <c r="BO97" i="65"/>
  <c r="AY97" i="65"/>
  <c r="BN97" i="65"/>
  <c r="BM97" i="65"/>
  <c r="BL97" i="65"/>
  <c r="BN101" i="65"/>
  <c r="BM101" i="65"/>
  <c r="BL101" i="65"/>
  <c r="BO101" i="65"/>
  <c r="AY101" i="65"/>
  <c r="BO90" i="65"/>
  <c r="AY90" i="65"/>
  <c r="BN90" i="65"/>
  <c r="BM90" i="65"/>
  <c r="BL90" i="65"/>
  <c r="BO66" i="65"/>
  <c r="AY66" i="65"/>
  <c r="BN66" i="65"/>
  <c r="BM66" i="65"/>
  <c r="BL66" i="65"/>
  <c r="BO77" i="65"/>
  <c r="AY77" i="65"/>
  <c r="BN77" i="65"/>
  <c r="BM77" i="65"/>
  <c r="BL77" i="65"/>
  <c r="BM68" i="65"/>
  <c r="BL68" i="65"/>
  <c r="BO68" i="65"/>
  <c r="AY68" i="65"/>
  <c r="BN68" i="65"/>
  <c r="BM58" i="65"/>
  <c r="AY58" i="65"/>
  <c r="BO58" i="65"/>
  <c r="BN58" i="65"/>
  <c r="BL58" i="65"/>
  <c r="BO42" i="65"/>
  <c r="AY42" i="65"/>
  <c r="BN42" i="65"/>
  <c r="BM42" i="65"/>
  <c r="BL42" i="65"/>
  <c r="BM57" i="65"/>
  <c r="BL57" i="65"/>
  <c r="BO57" i="65"/>
  <c r="AY57" i="65"/>
  <c r="BN57" i="65"/>
  <c r="BO25" i="65"/>
  <c r="AY25" i="65"/>
  <c r="BN25" i="65"/>
  <c r="BM25" i="65"/>
  <c r="BL25" i="65"/>
  <c r="AZ59" i="65"/>
  <c r="BB59" i="65"/>
  <c r="BB40" i="65"/>
  <c r="AZ40" i="65"/>
  <c r="AZ124" i="65"/>
  <c r="BB124" i="65"/>
  <c r="BB112" i="65"/>
  <c r="AZ112" i="65"/>
  <c r="BB120" i="65"/>
  <c r="AZ120" i="65"/>
  <c r="BB135" i="65"/>
  <c r="AZ135" i="65"/>
  <c r="BB149" i="65"/>
  <c r="BI149" i="65" s="1"/>
  <c r="AZ149" i="65"/>
  <c r="BB139" i="65"/>
  <c r="AZ139" i="65"/>
  <c r="BB153" i="65"/>
  <c r="BH153" i="65" s="1"/>
  <c r="AZ153" i="65"/>
  <c r="Q51" i="65"/>
  <c r="P51" i="65"/>
  <c r="R51" i="65" s="1"/>
  <c r="AW49" i="65"/>
  <c r="AW36" i="65"/>
  <c r="AW51" i="65"/>
  <c r="AW61" i="65"/>
  <c r="AW40" i="65"/>
  <c r="AW76" i="65"/>
  <c r="AW73" i="65"/>
  <c r="P62" i="65"/>
  <c r="R62" i="65" s="1"/>
  <c r="Q62" i="65"/>
  <c r="P77" i="65"/>
  <c r="R77" i="65" s="1"/>
  <c r="Q77" i="65"/>
  <c r="AW65" i="65"/>
  <c r="Q89" i="65"/>
  <c r="P89" i="65"/>
  <c r="R89" i="65" s="1"/>
  <c r="BX92" i="65"/>
  <c r="CO104" i="65"/>
  <c r="CP104" i="65" s="1"/>
  <c r="CV104" i="65" s="1"/>
  <c r="CB104" i="65"/>
  <c r="CE104" i="65" s="1"/>
  <c r="CJ104" i="65" s="1"/>
  <c r="Q91" i="65"/>
  <c r="P91" i="65"/>
  <c r="R91" i="65" s="1"/>
  <c r="AW94" i="65"/>
  <c r="Q82" i="65"/>
  <c r="P82" i="65"/>
  <c r="R82" i="65" s="1"/>
  <c r="AW112" i="65"/>
  <c r="AW104" i="65"/>
  <c r="AW103" i="65"/>
  <c r="Q107" i="65"/>
  <c r="P107" i="65"/>
  <c r="R107" i="65" s="1"/>
  <c r="P112" i="65"/>
  <c r="R112" i="65" s="1"/>
  <c r="Q112" i="65"/>
  <c r="Q106" i="65"/>
  <c r="P106" i="65"/>
  <c r="R106" i="65" s="1"/>
  <c r="Q120" i="65"/>
  <c r="P120" i="65"/>
  <c r="R120" i="65" s="1"/>
  <c r="Q119" i="65"/>
  <c r="P119" i="65"/>
  <c r="R119" i="65" s="1"/>
  <c r="Q147" i="65"/>
  <c r="P147" i="65"/>
  <c r="R147" i="65" s="1"/>
  <c r="P129" i="65"/>
  <c r="R129" i="65" s="1"/>
  <c r="Q129" i="65"/>
  <c r="AW132" i="65"/>
  <c r="Q152" i="65"/>
  <c r="P152" i="65"/>
  <c r="R152" i="65" s="1"/>
  <c r="Q161" i="65"/>
  <c r="P161" i="65"/>
  <c r="R161" i="65" s="1"/>
  <c r="AW139" i="65"/>
  <c r="Q149" i="65"/>
  <c r="P149" i="65"/>
  <c r="R149" i="65" s="1"/>
  <c r="AW149" i="65"/>
  <c r="CV128" i="65"/>
  <c r="BP70" i="65"/>
  <c r="AT70" i="65" s="1"/>
  <c r="BI70" i="65"/>
  <c r="BF79" i="65"/>
  <c r="BI62" i="65"/>
  <c r="BH79" i="65"/>
  <c r="BE92" i="65"/>
  <c r="BP125" i="65"/>
  <c r="AT125" i="65" s="1"/>
  <c r="BD139" i="65"/>
  <c r="BG139" i="65" s="1"/>
  <c r="BP153" i="65"/>
  <c r="AT153" i="65" s="1"/>
  <c r="AZ44" i="65"/>
  <c r="BB44" i="65"/>
  <c r="BB47" i="65"/>
  <c r="AZ47" i="65"/>
  <c r="AZ80" i="65"/>
  <c r="BB80" i="65"/>
  <c r="BE80" i="65" s="1"/>
  <c r="BB65" i="65"/>
  <c r="AZ65" i="65"/>
  <c r="AZ84" i="65"/>
  <c r="BB84" i="65"/>
  <c r="BB88" i="65"/>
  <c r="BD88" i="65" s="1"/>
  <c r="BG88" i="65" s="1"/>
  <c r="AZ88" i="65"/>
  <c r="BB104" i="65"/>
  <c r="AZ104" i="65"/>
  <c r="Q26" i="65"/>
  <c r="P26" i="65"/>
  <c r="R26" i="65" s="1"/>
  <c r="Q29" i="65"/>
  <c r="P29" i="65"/>
  <c r="R29" i="65" s="1"/>
  <c r="BC24" i="65"/>
  <c r="BO154" i="65"/>
  <c r="AY154" i="65"/>
  <c r="BN154" i="65"/>
  <c r="BM154" i="65"/>
  <c r="BL154" i="65"/>
  <c r="BO147" i="65"/>
  <c r="AY147" i="65"/>
  <c r="BN147" i="65"/>
  <c r="BM147" i="65"/>
  <c r="BL147" i="65"/>
  <c r="BN163" i="65"/>
  <c r="BM163" i="65"/>
  <c r="BO163" i="65"/>
  <c r="BL163" i="65"/>
  <c r="AY163" i="65"/>
  <c r="BM141" i="65"/>
  <c r="BL141" i="65"/>
  <c r="BN141" i="65"/>
  <c r="BO141" i="65"/>
  <c r="AY141" i="65"/>
  <c r="BO121" i="65"/>
  <c r="AY121" i="65"/>
  <c r="BM121" i="65"/>
  <c r="BL121" i="65"/>
  <c r="BN121" i="65"/>
  <c r="BO117" i="65"/>
  <c r="AY117" i="65"/>
  <c r="BN117" i="65"/>
  <c r="BM117" i="65"/>
  <c r="BL117" i="65"/>
  <c r="BL107" i="65"/>
  <c r="BO107" i="65"/>
  <c r="AY107" i="65"/>
  <c r="BN107" i="65"/>
  <c r="BM107" i="65"/>
  <c r="BO100" i="65"/>
  <c r="AY100" i="65"/>
  <c r="BN100" i="65"/>
  <c r="BM100" i="65"/>
  <c r="BL100" i="65"/>
  <c r="BO89" i="65"/>
  <c r="AY89" i="65"/>
  <c r="BN89" i="65"/>
  <c r="BM89" i="65"/>
  <c r="BL89" i="65"/>
  <c r="BO95" i="65"/>
  <c r="BN95" i="65"/>
  <c r="BM95" i="65"/>
  <c r="BL95" i="65"/>
  <c r="AY95" i="65"/>
  <c r="BO76" i="65"/>
  <c r="AY76" i="65"/>
  <c r="BN76" i="65"/>
  <c r="BM76" i="65"/>
  <c r="BL76" i="65"/>
  <c r="BO69" i="65"/>
  <c r="AY69" i="65"/>
  <c r="BN69" i="65"/>
  <c r="BM69" i="65"/>
  <c r="BL69" i="65"/>
  <c r="BL60" i="65"/>
  <c r="BO60" i="65"/>
  <c r="AY60" i="65"/>
  <c r="BN60" i="65"/>
  <c r="BM60" i="65"/>
  <c r="BO51" i="65"/>
  <c r="AY51" i="65"/>
  <c r="BN51" i="65"/>
  <c r="BM51" i="65"/>
  <c r="BL51" i="65"/>
  <c r="BO52" i="65"/>
  <c r="AY52" i="65"/>
  <c r="BN52" i="65"/>
  <c r="BM52" i="65"/>
  <c r="BL52" i="65"/>
  <c r="BM50" i="65"/>
  <c r="BL50" i="65"/>
  <c r="BO50" i="65"/>
  <c r="AY50" i="65"/>
  <c r="BN50" i="65"/>
  <c r="AV28" i="65"/>
  <c r="BD28" i="65"/>
  <c r="BG28" i="65" s="1"/>
  <c r="BL28" i="65"/>
  <c r="BO28" i="65"/>
  <c r="AY28" i="65"/>
  <c r="BN28" i="65"/>
  <c r="BM28" i="65"/>
  <c r="AZ27" i="61"/>
  <c r="AA34" i="61"/>
  <c r="AD31" i="61"/>
  <c r="AF31" i="61" s="1"/>
  <c r="AA28" i="61"/>
  <c r="BC37" i="61"/>
  <c r="AZ36" i="61"/>
  <c r="AZ33" i="61"/>
  <c r="AF32" i="61"/>
  <c r="BC32" i="61"/>
  <c r="BC31" i="61"/>
  <c r="AZ30" i="61"/>
  <c r="BC29" i="61"/>
  <c r="BC28" i="61"/>
  <c r="BC26" i="61"/>
  <c r="J35" i="61"/>
  <c r="J37" i="61"/>
  <c r="J36" i="61"/>
  <c r="AB36" i="61" s="1"/>
  <c r="AC36" i="61" s="1"/>
  <c r="BB36" i="61"/>
  <c r="BC36" i="61" s="1"/>
  <c r="AD37" i="61"/>
  <c r="AF37" i="61" s="1"/>
  <c r="AZ35" i="61"/>
  <c r="AZ37" i="61"/>
  <c r="J32" i="61"/>
  <c r="AB32" i="61" s="1"/>
  <c r="AC32" i="61" s="1"/>
  <c r="J34" i="61"/>
  <c r="J33" i="61"/>
  <c r="AZ32" i="61"/>
  <c r="AD33" i="61"/>
  <c r="AF33" i="61" s="1"/>
  <c r="AZ34" i="61"/>
  <c r="BB33" i="61"/>
  <c r="BC33" i="61" s="1"/>
  <c r="J31" i="61"/>
  <c r="BQ32" i="61" s="1"/>
  <c r="BR32" i="61" s="1"/>
  <c r="J29" i="61"/>
  <c r="J30" i="61"/>
  <c r="AB31" i="61"/>
  <c r="AC31" i="61" s="1"/>
  <c r="AA29" i="61"/>
  <c r="AB29" i="61" s="1"/>
  <c r="AC29" i="61" s="1"/>
  <c r="AZ31" i="61"/>
  <c r="BB30" i="61"/>
  <c r="BC30" i="61" s="1"/>
  <c r="J28" i="61"/>
  <c r="BQ29" i="61" s="1"/>
  <c r="BR29" i="61" s="1"/>
  <c r="J26" i="61"/>
  <c r="AB26" i="61" s="1"/>
  <c r="AC26" i="61" s="1"/>
  <c r="J27" i="61"/>
  <c r="AZ26" i="61"/>
  <c r="BB27" i="61"/>
  <c r="BC27" i="61" s="1"/>
  <c r="AZ28" i="61"/>
  <c r="AJ21" i="61"/>
  <c r="BG53" i="65" l="1"/>
  <c r="CW140" i="65"/>
  <c r="CW56" i="65"/>
  <c r="CZ56" i="65" s="1"/>
  <c r="CV140" i="65"/>
  <c r="CW116" i="65"/>
  <c r="CZ116" i="65" s="1"/>
  <c r="CW80" i="65"/>
  <c r="CZ80" i="65" s="1"/>
  <c r="CW44" i="65"/>
  <c r="CZ44" i="65" s="1"/>
  <c r="CW92" i="65"/>
  <c r="CZ92" i="65" s="1"/>
  <c r="CP22" i="65"/>
  <c r="CQ22" i="65"/>
  <c r="BC120" i="65"/>
  <c r="BF120" i="65"/>
  <c r="BE120" i="65"/>
  <c r="BD120" i="65"/>
  <c r="BG120" i="65" s="1"/>
  <c r="BI120" i="65"/>
  <c r="BH120" i="65"/>
  <c r="BQ121" i="65"/>
  <c r="BR121" i="65" s="1"/>
  <c r="BC118" i="65"/>
  <c r="BQ119" i="65"/>
  <c r="BR119" i="65" s="1"/>
  <c r="BF118" i="65"/>
  <c r="BE118" i="65"/>
  <c r="BD118" i="65"/>
  <c r="BG118" i="65" s="1"/>
  <c r="BH118" i="65"/>
  <c r="BI118" i="65"/>
  <c r="S142" i="65"/>
  <c r="Z142" i="65"/>
  <c r="Z88" i="65"/>
  <c r="S88" i="65"/>
  <c r="S45" i="65"/>
  <c r="Z45" i="65"/>
  <c r="BC77" i="65"/>
  <c r="BQ78" i="65"/>
  <c r="BR78" i="65" s="1"/>
  <c r="BI77" i="65"/>
  <c r="BF77" i="65"/>
  <c r="BE77" i="65"/>
  <c r="BH77" i="65"/>
  <c r="BD77" i="65"/>
  <c r="BG77" i="65" s="1"/>
  <c r="S156" i="65"/>
  <c r="Z156" i="65"/>
  <c r="BC156" i="65"/>
  <c r="BD156" i="65"/>
  <c r="BG156" i="65" s="1"/>
  <c r="BF156" i="65"/>
  <c r="BI156" i="65"/>
  <c r="BE156" i="65"/>
  <c r="BQ157" i="65"/>
  <c r="BR157" i="65" s="1"/>
  <c r="BH156" i="65"/>
  <c r="S135" i="65"/>
  <c r="Z135" i="65"/>
  <c r="S96" i="65"/>
  <c r="Z96" i="65"/>
  <c r="BC158" i="65"/>
  <c r="BI158" i="65"/>
  <c r="BH158" i="65"/>
  <c r="BD158" i="65"/>
  <c r="BG158" i="65" s="1"/>
  <c r="BQ159" i="65"/>
  <c r="BR159" i="65" s="1"/>
  <c r="BF158" i="65"/>
  <c r="BE158" i="65"/>
  <c r="BC122" i="65"/>
  <c r="BH122" i="65"/>
  <c r="BD122" i="65"/>
  <c r="BG122" i="65" s="1"/>
  <c r="BF122" i="65"/>
  <c r="BI122" i="65"/>
  <c r="BE122" i="65"/>
  <c r="BQ123" i="65"/>
  <c r="BR123" i="65" s="1"/>
  <c r="BC56" i="65"/>
  <c r="BQ57" i="65"/>
  <c r="BR57" i="65" s="1"/>
  <c r="BF56" i="65"/>
  <c r="BD56" i="65"/>
  <c r="BG56" i="65" s="1"/>
  <c r="CY56" i="65" s="1"/>
  <c r="BH56" i="65"/>
  <c r="BE56" i="65"/>
  <c r="BI56" i="65"/>
  <c r="BC82" i="65"/>
  <c r="BD82" i="65"/>
  <c r="BG82" i="65" s="1"/>
  <c r="BI82" i="65"/>
  <c r="BQ83" i="65"/>
  <c r="BR83" i="65" s="1"/>
  <c r="BH82" i="65"/>
  <c r="BF82" i="65"/>
  <c r="BE82" i="65"/>
  <c r="BC28" i="65"/>
  <c r="BI28" i="65"/>
  <c r="BH28" i="65"/>
  <c r="BF28" i="65"/>
  <c r="BQ29" i="65"/>
  <c r="BR29" i="65" s="1"/>
  <c r="BE28" i="65"/>
  <c r="BC72" i="65"/>
  <c r="BH72" i="65"/>
  <c r="BQ73" i="65"/>
  <c r="BR73" i="65" s="1"/>
  <c r="BE72" i="65"/>
  <c r="BD72" i="65"/>
  <c r="BG72" i="65" s="1"/>
  <c r="BI72" i="65"/>
  <c r="BF72" i="65"/>
  <c r="BC140" i="65"/>
  <c r="BD140" i="65"/>
  <c r="BG140" i="65" s="1"/>
  <c r="CY140" i="65" s="1"/>
  <c r="BQ141" i="65"/>
  <c r="BR141" i="65" s="1"/>
  <c r="BE140" i="65"/>
  <c r="BH140" i="65"/>
  <c r="BF140" i="65"/>
  <c r="BI140" i="65"/>
  <c r="S74" i="65"/>
  <c r="Z74" i="65"/>
  <c r="BC162" i="65"/>
  <c r="BI162" i="65"/>
  <c r="BD162" i="65"/>
  <c r="BG162" i="65" s="1"/>
  <c r="BQ163" i="65"/>
  <c r="BR163" i="65" s="1"/>
  <c r="BF162" i="65"/>
  <c r="BE162" i="65"/>
  <c r="BH162" i="65"/>
  <c r="BC136" i="65"/>
  <c r="BI136" i="65"/>
  <c r="BF136" i="65"/>
  <c r="BE136" i="65"/>
  <c r="BH136" i="65"/>
  <c r="BQ137" i="65"/>
  <c r="BR137" i="65" s="1"/>
  <c r="BD136" i="65"/>
  <c r="BG136" i="65" s="1"/>
  <c r="BC39" i="65"/>
  <c r="BI39" i="65"/>
  <c r="BQ40" i="65"/>
  <c r="BR40" i="65" s="1"/>
  <c r="BH39" i="65"/>
  <c r="BF39" i="65"/>
  <c r="BE39" i="65"/>
  <c r="BD39" i="65"/>
  <c r="BC109" i="65"/>
  <c r="BE109" i="65"/>
  <c r="BD109" i="65"/>
  <c r="BG109" i="65" s="1"/>
  <c r="BI109" i="65"/>
  <c r="BQ110" i="65"/>
  <c r="BR110" i="65" s="1"/>
  <c r="BH109" i="65"/>
  <c r="BF109" i="65"/>
  <c r="CZ140" i="65"/>
  <c r="Z120" i="65"/>
  <c r="S120" i="65"/>
  <c r="BC152" i="65"/>
  <c r="BE152" i="65"/>
  <c r="BQ153" i="65"/>
  <c r="BR153" i="65" s="1"/>
  <c r="BI152" i="65"/>
  <c r="BF152" i="65"/>
  <c r="BD152" i="65"/>
  <c r="BG152" i="65" s="1"/>
  <c r="CY152" i="65" s="1"/>
  <c r="BH152" i="65"/>
  <c r="S157" i="65"/>
  <c r="Z157" i="65"/>
  <c r="Z54" i="65"/>
  <c r="S54" i="65"/>
  <c r="S21" i="65"/>
  <c r="Z21" i="65"/>
  <c r="AM21" i="65"/>
  <c r="BC23" i="65"/>
  <c r="BD23" i="65"/>
  <c r="BG23" i="65" s="1"/>
  <c r="BQ24" i="65"/>
  <c r="BR24" i="65" s="1"/>
  <c r="BE23" i="65"/>
  <c r="BH23" i="65"/>
  <c r="BI23" i="65"/>
  <c r="BF23" i="65"/>
  <c r="S121" i="65"/>
  <c r="Z121" i="65"/>
  <c r="S145" i="65"/>
  <c r="Z145" i="65"/>
  <c r="S26" i="65"/>
  <c r="AM26" i="65"/>
  <c r="Z26" i="65"/>
  <c r="BE153" i="65"/>
  <c r="BC91" i="65"/>
  <c r="BQ92" i="65"/>
  <c r="BR92" i="65" s="1"/>
  <c r="BD91" i="65"/>
  <c r="BG91" i="65" s="1"/>
  <c r="BI91" i="65"/>
  <c r="BF91" i="65"/>
  <c r="BH91" i="65"/>
  <c r="BE91" i="65"/>
  <c r="BC141" i="65"/>
  <c r="BF141" i="65"/>
  <c r="BD141" i="65"/>
  <c r="BG141" i="65" s="1"/>
  <c r="BH141" i="65"/>
  <c r="BQ142" i="65"/>
  <c r="BR142" i="65" s="1"/>
  <c r="BI141" i="65"/>
  <c r="BE141" i="65"/>
  <c r="BC119" i="65"/>
  <c r="BF119" i="65"/>
  <c r="BE119" i="65"/>
  <c r="BH119" i="65"/>
  <c r="BD119" i="65"/>
  <c r="BG119" i="65" s="1"/>
  <c r="BQ120" i="65"/>
  <c r="BR120" i="65" s="1"/>
  <c r="BI119" i="65"/>
  <c r="BC94" i="65"/>
  <c r="BD94" i="65"/>
  <c r="BG94" i="65" s="1"/>
  <c r="BE94" i="65"/>
  <c r="BH94" i="65"/>
  <c r="BQ95" i="65"/>
  <c r="BR95" i="65" s="1"/>
  <c r="BF94" i="65"/>
  <c r="BI94" i="65"/>
  <c r="Z114" i="65"/>
  <c r="S114" i="65"/>
  <c r="CW128" i="65"/>
  <c r="CZ128" i="65" s="1"/>
  <c r="S99" i="65"/>
  <c r="Z99" i="65"/>
  <c r="S67" i="65"/>
  <c r="Z67" i="65"/>
  <c r="AM33" i="65"/>
  <c r="Z33" i="65"/>
  <c r="S33" i="65"/>
  <c r="BC154" i="65"/>
  <c r="BI154" i="65"/>
  <c r="BQ155" i="65"/>
  <c r="BR155" i="65" s="1"/>
  <c r="BD154" i="65"/>
  <c r="BG154" i="65" s="1"/>
  <c r="BF154" i="65"/>
  <c r="BE154" i="65"/>
  <c r="BH154" i="65"/>
  <c r="BC71" i="65"/>
  <c r="BH71" i="65"/>
  <c r="BF71" i="65"/>
  <c r="BE71" i="65"/>
  <c r="BQ72" i="65"/>
  <c r="BR72" i="65" s="1"/>
  <c r="BI71" i="65"/>
  <c r="BD71" i="65"/>
  <c r="BG71" i="65" s="1"/>
  <c r="BE134" i="65"/>
  <c r="S123" i="65"/>
  <c r="Z123" i="65"/>
  <c r="Z100" i="65"/>
  <c r="S100" i="65"/>
  <c r="BF149" i="65"/>
  <c r="S81" i="65"/>
  <c r="Z81" i="65"/>
  <c r="S31" i="65"/>
  <c r="Z31" i="65"/>
  <c r="AM31" i="65"/>
  <c r="BC89" i="65"/>
  <c r="BD89" i="65"/>
  <c r="BG89" i="65" s="1"/>
  <c r="BQ90" i="65"/>
  <c r="BR90" i="65" s="1"/>
  <c r="BI89" i="65"/>
  <c r="BF89" i="65"/>
  <c r="BE89" i="65"/>
  <c r="BH89" i="65"/>
  <c r="BC48" i="65"/>
  <c r="BF48" i="65"/>
  <c r="BQ49" i="65"/>
  <c r="BR49" i="65" s="1"/>
  <c r="BD48" i="65"/>
  <c r="BG48" i="65" s="1"/>
  <c r="BH48" i="65"/>
  <c r="BE48" i="65"/>
  <c r="BI48" i="65"/>
  <c r="BF88" i="65"/>
  <c r="S43" i="65"/>
  <c r="Z43" i="65"/>
  <c r="BC34" i="65"/>
  <c r="BD34" i="65"/>
  <c r="BG34" i="65" s="1"/>
  <c r="BI34" i="65"/>
  <c r="BH34" i="65"/>
  <c r="BF34" i="65"/>
  <c r="BE34" i="65"/>
  <c r="BQ35" i="65"/>
  <c r="BR35" i="65" s="1"/>
  <c r="BQ111" i="65"/>
  <c r="BR111" i="65" s="1"/>
  <c r="S109" i="65"/>
  <c r="Z109" i="65"/>
  <c r="Z36" i="65"/>
  <c r="S36" i="65"/>
  <c r="AM36" i="65"/>
  <c r="S42" i="65"/>
  <c r="Z42" i="65"/>
  <c r="S151" i="65"/>
  <c r="Z151" i="65"/>
  <c r="BC32" i="65"/>
  <c r="BF32" i="65"/>
  <c r="BD32" i="65"/>
  <c r="BG32" i="65" s="1"/>
  <c r="BQ33" i="65"/>
  <c r="BR33" i="65" s="1"/>
  <c r="BE32" i="65"/>
  <c r="BH32" i="65"/>
  <c r="BI32" i="65"/>
  <c r="BI80" i="65"/>
  <c r="S132" i="65"/>
  <c r="Z132" i="65"/>
  <c r="S116" i="65"/>
  <c r="Z116" i="65"/>
  <c r="BC65" i="65"/>
  <c r="BD65" i="65"/>
  <c r="BG65" i="65" s="1"/>
  <c r="BE65" i="65"/>
  <c r="BI65" i="65"/>
  <c r="BQ66" i="65"/>
  <c r="BR66" i="65" s="1"/>
  <c r="BF65" i="65"/>
  <c r="BH65" i="65"/>
  <c r="S106" i="65"/>
  <c r="Z106" i="65"/>
  <c r="Z91" i="65"/>
  <c r="S91" i="65"/>
  <c r="BC139" i="65"/>
  <c r="BQ140" i="65"/>
  <c r="BR140" i="65" s="1"/>
  <c r="BE139" i="65"/>
  <c r="BC112" i="65"/>
  <c r="BD112" i="65"/>
  <c r="BG112" i="65" s="1"/>
  <c r="BH112" i="65"/>
  <c r="BI112" i="65"/>
  <c r="BF112" i="65"/>
  <c r="BQ113" i="65"/>
  <c r="BR113" i="65" s="1"/>
  <c r="BE112" i="65"/>
  <c r="BC83" i="65"/>
  <c r="BD83" i="65"/>
  <c r="BG83" i="65" s="1"/>
  <c r="BI83" i="65"/>
  <c r="BH83" i="65"/>
  <c r="BF83" i="65"/>
  <c r="BE83" i="65"/>
  <c r="BQ84" i="65"/>
  <c r="BR84" i="65" s="1"/>
  <c r="BC46" i="65"/>
  <c r="BI46" i="65"/>
  <c r="BH46" i="65"/>
  <c r="BE46" i="65"/>
  <c r="BF46" i="65"/>
  <c r="BD46" i="65"/>
  <c r="BG46" i="65" s="1"/>
  <c r="BQ47" i="65"/>
  <c r="BR47" i="65" s="1"/>
  <c r="BD149" i="65"/>
  <c r="BG149" i="65" s="1"/>
  <c r="S159" i="65"/>
  <c r="Z159" i="65"/>
  <c r="S105" i="65"/>
  <c r="Z105" i="65"/>
  <c r="S48" i="65"/>
  <c r="Z48" i="65"/>
  <c r="BC145" i="65"/>
  <c r="BQ146" i="65"/>
  <c r="BR146" i="65" s="1"/>
  <c r="BI145" i="65"/>
  <c r="BH145" i="65"/>
  <c r="BF145" i="65"/>
  <c r="BE145" i="65"/>
  <c r="BD145" i="65"/>
  <c r="BG145" i="65" s="1"/>
  <c r="BC111" i="65"/>
  <c r="BQ112" i="65"/>
  <c r="BR112" i="65" s="1"/>
  <c r="BF111" i="65"/>
  <c r="AW31" i="65"/>
  <c r="BC50" i="65"/>
  <c r="BE50" i="65"/>
  <c r="BF50" i="65"/>
  <c r="BQ51" i="65"/>
  <c r="BR51" i="65" s="1"/>
  <c r="BH50" i="65"/>
  <c r="BD50" i="65"/>
  <c r="BG50" i="65" s="1"/>
  <c r="BI50" i="65"/>
  <c r="S139" i="65"/>
  <c r="Z139" i="65"/>
  <c r="S138" i="65"/>
  <c r="Z138" i="65"/>
  <c r="S122" i="65"/>
  <c r="Z122" i="65"/>
  <c r="BC107" i="65"/>
  <c r="BQ108" i="65"/>
  <c r="BR108" i="65" s="1"/>
  <c r="BH107" i="65"/>
  <c r="BE107" i="65"/>
  <c r="BF107" i="65"/>
  <c r="BD107" i="65"/>
  <c r="BG107" i="65" s="1"/>
  <c r="BI107" i="65"/>
  <c r="CT20" i="65"/>
  <c r="CV20" i="65" s="1"/>
  <c r="CU20" i="65"/>
  <c r="BC106" i="65"/>
  <c r="BF106" i="65"/>
  <c r="BD106" i="65"/>
  <c r="BG106" i="65" s="1"/>
  <c r="BQ107" i="65"/>
  <c r="BR107" i="65" s="1"/>
  <c r="BE106" i="65"/>
  <c r="BI106" i="65"/>
  <c r="BH106" i="65"/>
  <c r="BE149" i="65"/>
  <c r="BH111" i="65"/>
  <c r="Z160" i="65"/>
  <c r="S160" i="65"/>
  <c r="S118" i="65"/>
  <c r="Z118" i="65"/>
  <c r="Z55" i="65"/>
  <c r="S55" i="65"/>
  <c r="S68" i="65"/>
  <c r="Z68" i="65"/>
  <c r="BC95" i="65"/>
  <c r="BF95" i="65"/>
  <c r="BE95" i="65"/>
  <c r="BD95" i="65"/>
  <c r="BG95" i="65" s="1"/>
  <c r="BH95" i="65"/>
  <c r="BI95" i="65"/>
  <c r="BQ96" i="65"/>
  <c r="BR96" i="65" s="1"/>
  <c r="BC78" i="65"/>
  <c r="BI78" i="65"/>
  <c r="BF78" i="65"/>
  <c r="BE78" i="65"/>
  <c r="BJ78" i="65" s="1"/>
  <c r="BK78" i="65" s="1"/>
  <c r="BD78" i="65"/>
  <c r="BG78" i="65" s="1"/>
  <c r="BH78" i="65"/>
  <c r="BQ79" i="65"/>
  <c r="BR79" i="65" s="1"/>
  <c r="BH149" i="65"/>
  <c r="S144" i="65"/>
  <c r="Z144" i="65"/>
  <c r="S108" i="65"/>
  <c r="Z108" i="65"/>
  <c r="Z90" i="65"/>
  <c r="S90" i="65"/>
  <c r="S63" i="65"/>
  <c r="Z63" i="65"/>
  <c r="BC144" i="65"/>
  <c r="BQ145" i="65"/>
  <c r="BR145" i="65" s="1"/>
  <c r="BF144" i="65"/>
  <c r="BE144" i="65"/>
  <c r="BH144" i="65"/>
  <c r="BD144" i="65"/>
  <c r="BG144" i="65" s="1"/>
  <c r="BI144" i="65"/>
  <c r="BE88" i="65"/>
  <c r="DC22" i="65"/>
  <c r="DD22" i="65" s="1"/>
  <c r="S128" i="65"/>
  <c r="Z128" i="65"/>
  <c r="BC143" i="65"/>
  <c r="BF143" i="65"/>
  <c r="BH143" i="65"/>
  <c r="BE143" i="65"/>
  <c r="BQ144" i="65"/>
  <c r="BR144" i="65" s="1"/>
  <c r="BI143" i="65"/>
  <c r="BD143" i="65"/>
  <c r="BG143" i="65" s="1"/>
  <c r="BC116" i="65"/>
  <c r="BH116" i="65"/>
  <c r="BQ117" i="65"/>
  <c r="BR117" i="65" s="1"/>
  <c r="BI116" i="65"/>
  <c r="BE116" i="65"/>
  <c r="BD116" i="65"/>
  <c r="BG116" i="65" s="1"/>
  <c r="CY116" i="65" s="1"/>
  <c r="BF116" i="65"/>
  <c r="BC81" i="65"/>
  <c r="BI81" i="65"/>
  <c r="BF81" i="65"/>
  <c r="BQ82" i="65"/>
  <c r="BR82" i="65" s="1"/>
  <c r="BE81" i="65"/>
  <c r="BH81" i="65"/>
  <c r="BD81" i="65"/>
  <c r="BG81" i="65" s="1"/>
  <c r="BC41" i="65"/>
  <c r="BF41" i="65"/>
  <c r="BD41" i="65"/>
  <c r="BG41" i="65" s="1"/>
  <c r="BH41" i="65"/>
  <c r="BQ42" i="65"/>
  <c r="BR42" i="65" s="1"/>
  <c r="BE41" i="65"/>
  <c r="BI41" i="65"/>
  <c r="BC101" i="65"/>
  <c r="BE101" i="65"/>
  <c r="BH101" i="65"/>
  <c r="BQ102" i="65"/>
  <c r="BR102" i="65" s="1"/>
  <c r="BF101" i="65"/>
  <c r="BI101" i="65"/>
  <c r="BD101" i="65"/>
  <c r="BG101" i="65" s="1"/>
  <c r="BC66" i="65"/>
  <c r="BH66" i="65"/>
  <c r="BD66" i="65"/>
  <c r="BG66" i="65" s="1"/>
  <c r="BI66" i="65"/>
  <c r="BQ67" i="65"/>
  <c r="BR67" i="65" s="1"/>
  <c r="BF66" i="65"/>
  <c r="BE66" i="65"/>
  <c r="DF20" i="65"/>
  <c r="BK20" i="65"/>
  <c r="BC125" i="65"/>
  <c r="BQ126" i="65"/>
  <c r="BR126" i="65" s="1"/>
  <c r="BC55" i="65"/>
  <c r="BD55" i="65"/>
  <c r="BF55" i="65"/>
  <c r="BQ56" i="65"/>
  <c r="BR56" i="65" s="1"/>
  <c r="BH55" i="65"/>
  <c r="BI55" i="65"/>
  <c r="BE55" i="65"/>
  <c r="S84" i="65"/>
  <c r="Z84" i="65"/>
  <c r="BI79" i="65"/>
  <c r="BC151" i="65"/>
  <c r="BI151" i="65"/>
  <c r="BD151" i="65"/>
  <c r="BG151" i="65" s="1"/>
  <c r="BQ152" i="65"/>
  <c r="BR152" i="65" s="1"/>
  <c r="BE151" i="65"/>
  <c r="BF151" i="65"/>
  <c r="BH151" i="65"/>
  <c r="BC33" i="65"/>
  <c r="BH33" i="65"/>
  <c r="BI33" i="65"/>
  <c r="BF33" i="65"/>
  <c r="BD33" i="65"/>
  <c r="BG33" i="65" s="1"/>
  <c r="BQ34" i="65"/>
  <c r="BR34" i="65" s="1"/>
  <c r="BE33" i="65"/>
  <c r="BC80" i="65"/>
  <c r="BQ81" i="65"/>
  <c r="BR81" i="65" s="1"/>
  <c r="S129" i="65"/>
  <c r="Z129" i="65"/>
  <c r="BC124" i="65"/>
  <c r="BF124" i="65"/>
  <c r="BQ125" i="65"/>
  <c r="BR125" i="65" s="1"/>
  <c r="BD124" i="65"/>
  <c r="BG124" i="65" s="1"/>
  <c r="BI124" i="65"/>
  <c r="BH124" i="65"/>
  <c r="BE124" i="65"/>
  <c r="BJ62" i="65"/>
  <c r="CW152" i="65"/>
  <c r="CZ152" i="65" s="1"/>
  <c r="BC113" i="65"/>
  <c r="BF113" i="65"/>
  <c r="BQ114" i="65"/>
  <c r="BR114" i="65" s="1"/>
  <c r="BI113" i="65"/>
  <c r="BE113" i="65"/>
  <c r="BJ113" i="65" s="1"/>
  <c r="BK113" i="65" s="1"/>
  <c r="BD113" i="65"/>
  <c r="BG113" i="65" s="1"/>
  <c r="BH113" i="65"/>
  <c r="CJ20" i="65"/>
  <c r="BC102" i="65"/>
  <c r="BQ103" i="65"/>
  <c r="BR103" i="65" s="1"/>
  <c r="BI102" i="65"/>
  <c r="BH102" i="65"/>
  <c r="BD102" i="65"/>
  <c r="BG102" i="65" s="1"/>
  <c r="BF102" i="65"/>
  <c r="BE102" i="65"/>
  <c r="CV80" i="65"/>
  <c r="Z60" i="65"/>
  <c r="S60" i="65"/>
  <c r="BC61" i="65"/>
  <c r="BQ62" i="65"/>
  <c r="BR62" i="65" s="1"/>
  <c r="BH61" i="65"/>
  <c r="BF61" i="65"/>
  <c r="BE61" i="65"/>
  <c r="BI61" i="65"/>
  <c r="BD61" i="65"/>
  <c r="CN21" i="65"/>
  <c r="CI21" i="65"/>
  <c r="CH21" i="65"/>
  <c r="BC69" i="65"/>
  <c r="BI69" i="65"/>
  <c r="BF69" i="65"/>
  <c r="BE69" i="65"/>
  <c r="BH69" i="65"/>
  <c r="BQ70" i="65"/>
  <c r="BR70" i="65" s="1"/>
  <c r="BD69" i="65"/>
  <c r="BG69" i="65" s="1"/>
  <c r="AM30" i="65"/>
  <c r="Z30" i="65"/>
  <c r="S30" i="65"/>
  <c r="S56" i="65"/>
  <c r="Z56" i="65"/>
  <c r="BC157" i="65"/>
  <c r="BI157" i="65"/>
  <c r="BF157" i="65"/>
  <c r="BD157" i="65"/>
  <c r="BG157" i="65" s="1"/>
  <c r="BE157" i="65"/>
  <c r="BH157" i="65"/>
  <c r="BQ158" i="65"/>
  <c r="BR158" i="65" s="1"/>
  <c r="BC117" i="65"/>
  <c r="BH117" i="65"/>
  <c r="BE117" i="65"/>
  <c r="BQ118" i="65"/>
  <c r="BR118" i="65" s="1"/>
  <c r="BI117" i="65"/>
  <c r="BF117" i="65"/>
  <c r="BD117" i="65"/>
  <c r="BG117" i="65" s="1"/>
  <c r="Z27" i="65"/>
  <c r="AM27" i="65"/>
  <c r="BD80" i="65"/>
  <c r="BG80" i="65" s="1"/>
  <c r="CY80" i="65" s="1"/>
  <c r="S150" i="65"/>
  <c r="Z150" i="65"/>
  <c r="Z141" i="65"/>
  <c r="S141" i="65"/>
  <c r="Z126" i="65"/>
  <c r="S126" i="65"/>
  <c r="S93" i="65"/>
  <c r="Z93" i="65"/>
  <c r="Z46" i="65"/>
  <c r="S46" i="65"/>
  <c r="S53" i="65"/>
  <c r="Z53" i="65"/>
  <c r="S78" i="65"/>
  <c r="Z78" i="65"/>
  <c r="BC114" i="65"/>
  <c r="BE114" i="65"/>
  <c r="BH114" i="65"/>
  <c r="BF114" i="65"/>
  <c r="BD114" i="65"/>
  <c r="BG114" i="65" s="1"/>
  <c r="BI114" i="65"/>
  <c r="BQ115" i="65"/>
  <c r="BR115" i="65" s="1"/>
  <c r="BC148" i="65"/>
  <c r="BE148" i="65"/>
  <c r="BI148" i="65"/>
  <c r="BH148" i="65"/>
  <c r="BF148" i="65"/>
  <c r="BD148" i="65"/>
  <c r="BG148" i="65" s="1"/>
  <c r="BQ149" i="65"/>
  <c r="BR149" i="65" s="1"/>
  <c r="S149" i="65"/>
  <c r="Z149" i="65"/>
  <c r="BC153" i="65"/>
  <c r="BD153" i="65"/>
  <c r="BG153" i="65" s="1"/>
  <c r="BF153" i="65"/>
  <c r="BC64" i="65"/>
  <c r="BH64" i="65"/>
  <c r="BE64" i="65"/>
  <c r="BI64" i="65"/>
  <c r="BF64" i="65"/>
  <c r="BD64" i="65"/>
  <c r="BG64" i="65" s="1"/>
  <c r="BQ65" i="65"/>
  <c r="BR65" i="65" s="1"/>
  <c r="BC103" i="65"/>
  <c r="BF103" i="65"/>
  <c r="BE103" i="65"/>
  <c r="BD103" i="65"/>
  <c r="BG103" i="65" s="1"/>
  <c r="BQ104" i="65"/>
  <c r="BR104" i="65" s="1"/>
  <c r="BI103" i="65"/>
  <c r="BH103" i="65"/>
  <c r="S147" i="65"/>
  <c r="Z147" i="65"/>
  <c r="BC87" i="65"/>
  <c r="BI87" i="65"/>
  <c r="BH87" i="65"/>
  <c r="BE87" i="65"/>
  <c r="BF87" i="65"/>
  <c r="BQ88" i="65"/>
  <c r="BR88" i="65" s="1"/>
  <c r="BD87" i="65"/>
  <c r="BG87" i="65" s="1"/>
  <c r="BJ70" i="65"/>
  <c r="S133" i="65"/>
  <c r="Z133" i="65"/>
  <c r="Z79" i="65"/>
  <c r="S79" i="65"/>
  <c r="AM20" i="65"/>
  <c r="Z20" i="65"/>
  <c r="S113" i="65"/>
  <c r="Z113" i="65"/>
  <c r="BC134" i="65"/>
  <c r="BQ135" i="65"/>
  <c r="BR135" i="65" s="1"/>
  <c r="BC93" i="65"/>
  <c r="BE93" i="65"/>
  <c r="BD93" i="65"/>
  <c r="BG93" i="65" s="1"/>
  <c r="BH93" i="65"/>
  <c r="BF93" i="65"/>
  <c r="BI93" i="65"/>
  <c r="BQ94" i="65"/>
  <c r="BR94" i="65" s="1"/>
  <c r="BC43" i="65"/>
  <c r="BE43" i="65"/>
  <c r="BH43" i="65"/>
  <c r="BD43" i="65"/>
  <c r="BG43" i="65" s="1"/>
  <c r="BI43" i="65"/>
  <c r="BF43" i="65"/>
  <c r="BQ44" i="65"/>
  <c r="BR44" i="65" s="1"/>
  <c r="S136" i="65"/>
  <c r="Z136" i="65"/>
  <c r="S101" i="65"/>
  <c r="Z101" i="65"/>
  <c r="S86" i="65"/>
  <c r="Z86" i="65"/>
  <c r="S44" i="65"/>
  <c r="Z44" i="65"/>
  <c r="BC49" i="65"/>
  <c r="BF49" i="65"/>
  <c r="BH49" i="65"/>
  <c r="BE49" i="65"/>
  <c r="BQ50" i="65"/>
  <c r="BR50" i="65" s="1"/>
  <c r="BD49" i="65"/>
  <c r="BG49" i="65" s="1"/>
  <c r="BI49" i="65"/>
  <c r="BJ79" i="65"/>
  <c r="BK79" i="65" s="1"/>
  <c r="S59" i="65"/>
  <c r="Z59" i="65"/>
  <c r="BC137" i="65"/>
  <c r="BI137" i="65"/>
  <c r="BH137" i="65"/>
  <c r="BE137" i="65"/>
  <c r="BQ138" i="65"/>
  <c r="BR138" i="65" s="1"/>
  <c r="BF137" i="65"/>
  <c r="BD137" i="65"/>
  <c r="BG137" i="65" s="1"/>
  <c r="BH134" i="65"/>
  <c r="BJ53" i="65"/>
  <c r="Z37" i="65"/>
  <c r="S37" i="65"/>
  <c r="BC62" i="65"/>
  <c r="BQ63" i="65"/>
  <c r="BR63" i="65" s="1"/>
  <c r="BC85" i="65"/>
  <c r="BI85" i="65"/>
  <c r="BE85" i="65"/>
  <c r="BQ86" i="65"/>
  <c r="BR86" i="65" s="1"/>
  <c r="BF85" i="65"/>
  <c r="BH85" i="65"/>
  <c r="BD85" i="65"/>
  <c r="BG85" i="65" s="1"/>
  <c r="BC52" i="65"/>
  <c r="BI52" i="65"/>
  <c r="BQ53" i="65"/>
  <c r="BR53" i="65" s="1"/>
  <c r="BH52" i="65"/>
  <c r="BF52" i="65"/>
  <c r="BE52" i="65"/>
  <c r="BD52" i="65"/>
  <c r="BG52" i="65" s="1"/>
  <c r="BC161" i="65"/>
  <c r="BE161" i="65"/>
  <c r="BH161" i="65"/>
  <c r="BF161" i="65"/>
  <c r="BQ162" i="65"/>
  <c r="BR162" i="65" s="1"/>
  <c r="BI161" i="65"/>
  <c r="BD161" i="65"/>
  <c r="BG161" i="65" s="1"/>
  <c r="BC138" i="65"/>
  <c r="BI138" i="65"/>
  <c r="BF138" i="65"/>
  <c r="BQ139" i="65"/>
  <c r="BR139" i="65" s="1"/>
  <c r="BH138" i="65"/>
  <c r="BE138" i="65"/>
  <c r="BD138" i="65"/>
  <c r="BG138" i="65" s="1"/>
  <c r="BC31" i="65"/>
  <c r="BE31" i="65"/>
  <c r="BF31" i="65"/>
  <c r="BH31" i="65"/>
  <c r="BI31" i="65"/>
  <c r="BD31" i="65"/>
  <c r="BG31" i="65" s="1"/>
  <c r="BQ32" i="65"/>
  <c r="BR32" i="65" s="1"/>
  <c r="S52" i="65"/>
  <c r="Z52" i="65"/>
  <c r="BH110" i="65"/>
  <c r="S111" i="65"/>
  <c r="Z111" i="65"/>
  <c r="BC147" i="65"/>
  <c r="BD147" i="65"/>
  <c r="BG147" i="65" s="1"/>
  <c r="BI147" i="65"/>
  <c r="BQ148" i="65"/>
  <c r="BR148" i="65" s="1"/>
  <c r="BE147" i="65"/>
  <c r="BH147" i="65"/>
  <c r="BF147" i="65"/>
  <c r="Z64" i="65"/>
  <c r="S64" i="65"/>
  <c r="AW28" i="65"/>
  <c r="BC149" i="65"/>
  <c r="BQ150" i="65"/>
  <c r="BR150" i="65" s="1"/>
  <c r="S131" i="65"/>
  <c r="Z131" i="65"/>
  <c r="Z102" i="65"/>
  <c r="S102" i="65"/>
  <c r="S72" i="65"/>
  <c r="Z72" i="65"/>
  <c r="BC74" i="65"/>
  <c r="BF74" i="65"/>
  <c r="BI74" i="65"/>
  <c r="BD74" i="65"/>
  <c r="BG74" i="65" s="1"/>
  <c r="BQ75" i="65"/>
  <c r="BR75" i="65" s="1"/>
  <c r="BE74" i="65"/>
  <c r="BJ74" i="65" s="1"/>
  <c r="BK74" i="65" s="1"/>
  <c r="BH74" i="65"/>
  <c r="BI153" i="65"/>
  <c r="S94" i="65"/>
  <c r="Z94" i="65"/>
  <c r="BH80" i="65"/>
  <c r="S112" i="65"/>
  <c r="Z112" i="65"/>
  <c r="CW104" i="65"/>
  <c r="CZ104" i="65" s="1"/>
  <c r="S51" i="65"/>
  <c r="Z51" i="65"/>
  <c r="BC97" i="65"/>
  <c r="BE97" i="65"/>
  <c r="BQ98" i="65"/>
  <c r="BR98" i="65" s="1"/>
  <c r="BF97" i="65"/>
  <c r="BI97" i="65"/>
  <c r="BH97" i="65"/>
  <c r="BD97" i="65"/>
  <c r="BG97" i="65" s="1"/>
  <c r="BI139" i="65"/>
  <c r="CV56" i="65"/>
  <c r="S61" i="65"/>
  <c r="Z61" i="65"/>
  <c r="BC128" i="65"/>
  <c r="BF128" i="65"/>
  <c r="BD128" i="65"/>
  <c r="BG128" i="65" s="1"/>
  <c r="CY128" i="65" s="1"/>
  <c r="BE128" i="65"/>
  <c r="BH128" i="65"/>
  <c r="BI128" i="65"/>
  <c r="BQ129" i="65"/>
  <c r="BR129" i="65" s="1"/>
  <c r="BC57" i="65"/>
  <c r="BE57" i="65"/>
  <c r="BD57" i="65"/>
  <c r="BG57" i="65" s="1"/>
  <c r="BI57" i="65"/>
  <c r="BF57" i="65"/>
  <c r="BH57" i="65"/>
  <c r="BQ58" i="65"/>
  <c r="BR58" i="65" s="1"/>
  <c r="AM23" i="65"/>
  <c r="Z23" i="65"/>
  <c r="S23" i="65"/>
  <c r="S70" i="65"/>
  <c r="Z70" i="65"/>
  <c r="S49" i="65"/>
  <c r="Z49" i="65"/>
  <c r="BC142" i="65"/>
  <c r="BI142" i="65"/>
  <c r="BQ143" i="65"/>
  <c r="BR143" i="65" s="1"/>
  <c r="BD142" i="65"/>
  <c r="BG142" i="65" s="1"/>
  <c r="BH142" i="65"/>
  <c r="BE142" i="65"/>
  <c r="BK22" i="65"/>
  <c r="DF22" i="65"/>
  <c r="S22" i="65"/>
  <c r="Z22" i="65"/>
  <c r="AM22" i="65"/>
  <c r="BJ21" i="65"/>
  <c r="S162" i="65"/>
  <c r="Z162" i="65"/>
  <c r="CW68" i="65"/>
  <c r="CZ68" i="65" s="1"/>
  <c r="BJ110" i="65"/>
  <c r="BK110" i="65" s="1"/>
  <c r="CV44" i="65"/>
  <c r="S148" i="65"/>
  <c r="Z148" i="65"/>
  <c r="S69" i="65"/>
  <c r="Z69" i="65"/>
  <c r="BC131" i="65"/>
  <c r="BD131" i="65"/>
  <c r="BG131" i="65" s="1"/>
  <c r="BI131" i="65"/>
  <c r="BF131" i="65"/>
  <c r="BE131" i="65"/>
  <c r="BQ132" i="65"/>
  <c r="BR132" i="65" s="1"/>
  <c r="BH131" i="65"/>
  <c r="CJ22" i="65"/>
  <c r="BC105" i="65"/>
  <c r="BE105" i="65"/>
  <c r="BI105" i="65"/>
  <c r="BH105" i="65"/>
  <c r="BQ106" i="65"/>
  <c r="BR106" i="65" s="1"/>
  <c r="BF105" i="65"/>
  <c r="BD105" i="65"/>
  <c r="BG105" i="65" s="1"/>
  <c r="BC70" i="65"/>
  <c r="BQ71" i="65"/>
  <c r="BR71" i="65" s="1"/>
  <c r="S155" i="65"/>
  <c r="Z155" i="65"/>
  <c r="S154" i="65"/>
  <c r="Z154" i="65"/>
  <c r="S117" i="65"/>
  <c r="Z117" i="65"/>
  <c r="S95" i="65"/>
  <c r="Z95" i="65"/>
  <c r="S85" i="65"/>
  <c r="Z85" i="65"/>
  <c r="Z80" i="65"/>
  <c r="S80" i="65"/>
  <c r="Z34" i="65"/>
  <c r="S34" i="65"/>
  <c r="AM34" i="65"/>
  <c r="S57" i="65"/>
  <c r="Z57" i="65"/>
  <c r="S41" i="65"/>
  <c r="Z41" i="65"/>
  <c r="BC92" i="65"/>
  <c r="BQ93" i="65"/>
  <c r="BR93" i="65" s="1"/>
  <c r="BC51" i="65"/>
  <c r="BF51" i="65"/>
  <c r="BE51" i="65"/>
  <c r="BQ52" i="65"/>
  <c r="BR52" i="65" s="1"/>
  <c r="BD51" i="65"/>
  <c r="BG51" i="65" s="1"/>
  <c r="BI51" i="65"/>
  <c r="BH51" i="65"/>
  <c r="BH139" i="65"/>
  <c r="BF80" i="65"/>
  <c r="BJ80" i="65" s="1"/>
  <c r="Z87" i="65"/>
  <c r="S87" i="65"/>
  <c r="S38" i="65"/>
  <c r="Z38" i="65"/>
  <c r="BC25" i="65"/>
  <c r="BI25" i="65"/>
  <c r="BF25" i="65"/>
  <c r="BD25" i="65"/>
  <c r="BG25" i="65" s="1"/>
  <c r="BQ26" i="65"/>
  <c r="BR26" i="65" s="1"/>
  <c r="BH25" i="65"/>
  <c r="BE25" i="65"/>
  <c r="AM35" i="65"/>
  <c r="Z35" i="65"/>
  <c r="S35" i="65"/>
  <c r="S66" i="65"/>
  <c r="Z66" i="65"/>
  <c r="BC127" i="65"/>
  <c r="BD127" i="65"/>
  <c r="BG127" i="65" s="1"/>
  <c r="BE127" i="65"/>
  <c r="BI127" i="65"/>
  <c r="BH127" i="65"/>
  <c r="BQ128" i="65"/>
  <c r="BR128" i="65" s="1"/>
  <c r="BF127" i="65"/>
  <c r="BC60" i="65"/>
  <c r="BD60" i="65"/>
  <c r="BG60" i="65" s="1"/>
  <c r="BE60" i="65"/>
  <c r="BH60" i="65"/>
  <c r="BI60" i="65"/>
  <c r="BF60" i="65"/>
  <c r="BQ61" i="65"/>
  <c r="BR61" i="65" s="1"/>
  <c r="S58" i="65"/>
  <c r="Z58" i="65"/>
  <c r="BF125" i="65"/>
  <c r="BJ125" i="65" s="1"/>
  <c r="S130" i="65"/>
  <c r="Z130" i="65"/>
  <c r="Z140" i="65"/>
  <c r="S140" i="65"/>
  <c r="BC68" i="65"/>
  <c r="BD68" i="65"/>
  <c r="BG68" i="65" s="1"/>
  <c r="CY68" i="65" s="1"/>
  <c r="BE68" i="65"/>
  <c r="BQ69" i="65"/>
  <c r="BR69" i="65" s="1"/>
  <c r="BH68" i="65"/>
  <c r="BI68" i="65"/>
  <c r="BF68" i="65"/>
  <c r="S77" i="65"/>
  <c r="Z77" i="65"/>
  <c r="S92" i="65"/>
  <c r="Z92" i="65"/>
  <c r="S29" i="65"/>
  <c r="Z29" i="65"/>
  <c r="AM29" i="65"/>
  <c r="BC88" i="65"/>
  <c r="BQ89" i="65"/>
  <c r="BR89" i="65" s="1"/>
  <c r="BC47" i="65"/>
  <c r="BD47" i="65"/>
  <c r="BG47" i="65" s="1"/>
  <c r="BF47" i="65"/>
  <c r="BH47" i="65"/>
  <c r="BI47" i="65"/>
  <c r="BE47" i="65"/>
  <c r="BQ48" i="65"/>
  <c r="BR48" i="65" s="1"/>
  <c r="BJ92" i="65"/>
  <c r="S152" i="65"/>
  <c r="Z152" i="65"/>
  <c r="S119" i="65"/>
  <c r="Z119" i="65"/>
  <c r="S107" i="65"/>
  <c r="Z107" i="65"/>
  <c r="Z82" i="65"/>
  <c r="S82" i="65"/>
  <c r="S62" i="65"/>
  <c r="Z62" i="65"/>
  <c r="BC135" i="65"/>
  <c r="BI135" i="65"/>
  <c r="BH135" i="65"/>
  <c r="BQ136" i="65"/>
  <c r="BR136" i="65" s="1"/>
  <c r="BD135" i="65"/>
  <c r="BG135" i="65" s="1"/>
  <c r="BF135" i="65"/>
  <c r="BE135" i="65"/>
  <c r="BC40" i="65"/>
  <c r="BF40" i="65"/>
  <c r="BD40" i="65"/>
  <c r="BG40" i="65" s="1"/>
  <c r="BI40" i="65"/>
  <c r="BH40" i="65"/>
  <c r="BE40" i="65"/>
  <c r="BQ41" i="65"/>
  <c r="BR41" i="65" s="1"/>
  <c r="BC76" i="65"/>
  <c r="BQ77" i="65"/>
  <c r="BR77" i="65" s="1"/>
  <c r="BH76" i="65"/>
  <c r="BF76" i="65"/>
  <c r="BE76" i="65"/>
  <c r="BD76" i="65"/>
  <c r="BG76" i="65" s="1"/>
  <c r="BI76" i="65"/>
  <c r="S124" i="65"/>
  <c r="Z124" i="65"/>
  <c r="S103" i="65"/>
  <c r="Z103" i="65"/>
  <c r="Z75" i="65"/>
  <c r="S75" i="65"/>
  <c r="Z39" i="65"/>
  <c r="S39" i="65"/>
  <c r="Z50" i="65"/>
  <c r="S50" i="65"/>
  <c r="BC58" i="65"/>
  <c r="BE58" i="65"/>
  <c r="BF58" i="65"/>
  <c r="BI58" i="65"/>
  <c r="BH58" i="65"/>
  <c r="BD58" i="65"/>
  <c r="BQ59" i="65"/>
  <c r="BR59" i="65" s="1"/>
  <c r="AK30" i="65"/>
  <c r="BC100" i="65"/>
  <c r="BI100" i="65"/>
  <c r="BH100" i="65"/>
  <c r="BD100" i="65"/>
  <c r="BG100" i="65" s="1"/>
  <c r="BE100" i="65"/>
  <c r="BQ101" i="65"/>
  <c r="BR101" i="65" s="1"/>
  <c r="BF100" i="65"/>
  <c r="BC75" i="65"/>
  <c r="BF75" i="65"/>
  <c r="BD75" i="65"/>
  <c r="BG75" i="65" s="1"/>
  <c r="BQ76" i="65"/>
  <c r="BR76" i="65" s="1"/>
  <c r="BE75" i="65"/>
  <c r="BH75" i="65"/>
  <c r="BI75" i="65"/>
  <c r="BJ150" i="65"/>
  <c r="BI88" i="65"/>
  <c r="S158" i="65"/>
  <c r="Z158" i="65"/>
  <c r="S125" i="65"/>
  <c r="Z125" i="65"/>
  <c r="S115" i="65"/>
  <c r="Z115" i="65"/>
  <c r="BC160" i="65"/>
  <c r="BQ161" i="65"/>
  <c r="BR161" i="65" s="1"/>
  <c r="BF160" i="65"/>
  <c r="BJ160" i="65" s="1"/>
  <c r="BC35" i="65"/>
  <c r="BD35" i="65"/>
  <c r="BG35" i="65" s="1"/>
  <c r="BI35" i="65"/>
  <c r="BQ36" i="65"/>
  <c r="BR36" i="65" s="1"/>
  <c r="BF35" i="65"/>
  <c r="BH35" i="65"/>
  <c r="BE35" i="65"/>
  <c r="BC67" i="65"/>
  <c r="BI67" i="65"/>
  <c r="BD67" i="65"/>
  <c r="BG67" i="65" s="1"/>
  <c r="BF67" i="65"/>
  <c r="BQ68" i="65"/>
  <c r="BR68" i="65" s="1"/>
  <c r="BH67" i="65"/>
  <c r="BE67" i="65"/>
  <c r="Z153" i="65"/>
  <c r="S153" i="65"/>
  <c r="S97" i="65"/>
  <c r="Z97" i="65"/>
  <c r="S76" i="65"/>
  <c r="Z76" i="65"/>
  <c r="S40" i="65"/>
  <c r="Z40" i="65"/>
  <c r="BC86" i="65"/>
  <c r="BI86" i="65"/>
  <c r="BH86" i="65"/>
  <c r="BE86" i="65"/>
  <c r="BF86" i="65"/>
  <c r="BQ87" i="65"/>
  <c r="BR87" i="65" s="1"/>
  <c r="BD86" i="65"/>
  <c r="BG86" i="65" s="1"/>
  <c r="BC45" i="65"/>
  <c r="BQ46" i="65"/>
  <c r="BR46" i="65" s="1"/>
  <c r="BF45" i="65"/>
  <c r="BH45" i="65"/>
  <c r="BE45" i="65"/>
  <c r="BJ45" i="65" s="1"/>
  <c r="BD45" i="65"/>
  <c r="BG45" i="65" s="1"/>
  <c r="BI45" i="65"/>
  <c r="BE111" i="65"/>
  <c r="Z83" i="65"/>
  <c r="S83" i="65"/>
  <c r="BC155" i="65"/>
  <c r="BE155" i="65"/>
  <c r="BI155" i="65"/>
  <c r="BQ156" i="65"/>
  <c r="BR156" i="65" s="1"/>
  <c r="BH155" i="65"/>
  <c r="BF155" i="65"/>
  <c r="BD155" i="65"/>
  <c r="BG155" i="65" s="1"/>
  <c r="BC38" i="65"/>
  <c r="BH38" i="65"/>
  <c r="BF38" i="65"/>
  <c r="BE38" i="65"/>
  <c r="BD38" i="65"/>
  <c r="BI38" i="65"/>
  <c r="BQ39" i="65"/>
  <c r="BR39" i="65" s="1"/>
  <c r="BD108" i="65"/>
  <c r="BG108" i="65" s="1"/>
  <c r="BQ154" i="65"/>
  <c r="BR154" i="65" s="1"/>
  <c r="Z98" i="65"/>
  <c r="S98" i="65"/>
  <c r="BC129" i="65"/>
  <c r="BI129" i="65"/>
  <c r="BH129" i="65"/>
  <c r="BE129" i="65"/>
  <c r="BQ130" i="65"/>
  <c r="BR130" i="65" s="1"/>
  <c r="BD129" i="65"/>
  <c r="BG129" i="65" s="1"/>
  <c r="BF129" i="65"/>
  <c r="BC37" i="65"/>
  <c r="BQ38" i="65"/>
  <c r="BR38" i="65" s="1"/>
  <c r="BE37" i="65"/>
  <c r="BD37" i="65"/>
  <c r="BG37" i="65" s="1"/>
  <c r="BI37" i="65"/>
  <c r="BH37" i="65"/>
  <c r="BF37" i="65"/>
  <c r="BC98" i="65"/>
  <c r="BE98" i="65"/>
  <c r="BI98" i="65"/>
  <c r="BH98" i="65"/>
  <c r="BQ99" i="65"/>
  <c r="BR99" i="65" s="1"/>
  <c r="BD98" i="65"/>
  <c r="BG98" i="65" s="1"/>
  <c r="BF98" i="65"/>
  <c r="BC73" i="65"/>
  <c r="BE73" i="65"/>
  <c r="BQ74" i="65"/>
  <c r="BR74" i="65" s="1"/>
  <c r="BI73" i="65"/>
  <c r="BH73" i="65"/>
  <c r="BF73" i="65"/>
  <c r="BD73" i="65"/>
  <c r="BG73" i="65" s="1"/>
  <c r="AK24" i="65"/>
  <c r="BF139" i="65"/>
  <c r="Z134" i="65"/>
  <c r="S134" i="65"/>
  <c r="Z110" i="65"/>
  <c r="S110" i="65"/>
  <c r="BC146" i="65"/>
  <c r="BD146" i="65"/>
  <c r="BG146" i="65" s="1"/>
  <c r="BI146" i="65"/>
  <c r="BH146" i="65"/>
  <c r="BE146" i="65"/>
  <c r="BQ147" i="65"/>
  <c r="BR147" i="65" s="1"/>
  <c r="BF146" i="65"/>
  <c r="BC121" i="65"/>
  <c r="BQ122" i="65"/>
  <c r="BR122" i="65" s="1"/>
  <c r="BE121" i="65"/>
  <c r="BH121" i="65"/>
  <c r="BF121" i="65"/>
  <c r="BD121" i="65"/>
  <c r="BG121" i="65" s="1"/>
  <c r="BI121" i="65"/>
  <c r="BC132" i="65"/>
  <c r="BI132" i="65"/>
  <c r="BQ133" i="65"/>
  <c r="BR133" i="65" s="1"/>
  <c r="BD132" i="65"/>
  <c r="BG132" i="65" s="1"/>
  <c r="BH132" i="65"/>
  <c r="BE132" i="65"/>
  <c r="BF132" i="65"/>
  <c r="BD134" i="65"/>
  <c r="BG134" i="65" s="1"/>
  <c r="Z127" i="65"/>
  <c r="S127" i="65"/>
  <c r="BC115" i="65"/>
  <c r="BE115" i="65"/>
  <c r="BD115" i="65"/>
  <c r="BG115" i="65" s="1"/>
  <c r="BQ116" i="65"/>
  <c r="BR116" i="65" s="1"/>
  <c r="BF115" i="65"/>
  <c r="BI115" i="65"/>
  <c r="BH115" i="65"/>
  <c r="BC104" i="65"/>
  <c r="BD104" i="65"/>
  <c r="BG104" i="65" s="1"/>
  <c r="CY104" i="65" s="1"/>
  <c r="BE104" i="65"/>
  <c r="BJ104" i="65" s="1"/>
  <c r="BK104" i="65" s="1"/>
  <c r="BI104" i="65"/>
  <c r="BF104" i="65"/>
  <c r="BH104" i="65"/>
  <c r="BQ105" i="65"/>
  <c r="BR105" i="65" s="1"/>
  <c r="S161" i="65"/>
  <c r="Z161" i="65"/>
  <c r="S104" i="65"/>
  <c r="Z104" i="65"/>
  <c r="BC84" i="65"/>
  <c r="BE84" i="65"/>
  <c r="BI84" i="65"/>
  <c r="BQ85" i="65"/>
  <c r="BR85" i="65" s="1"/>
  <c r="BF84" i="65"/>
  <c r="BD84" i="65"/>
  <c r="BG84" i="65" s="1"/>
  <c r="BH84" i="65"/>
  <c r="BC44" i="65"/>
  <c r="BF44" i="65"/>
  <c r="BE44" i="65"/>
  <c r="BQ45" i="65"/>
  <c r="BR45" i="65" s="1"/>
  <c r="BD44" i="65"/>
  <c r="BG44" i="65" s="1"/>
  <c r="CY44" i="65" s="1"/>
  <c r="BI44" i="65"/>
  <c r="BH44" i="65"/>
  <c r="BH88" i="65"/>
  <c r="S89" i="65"/>
  <c r="Z89" i="65"/>
  <c r="BC59" i="65"/>
  <c r="BI59" i="65"/>
  <c r="BD59" i="65"/>
  <c r="BG59" i="65" s="1"/>
  <c r="BH59" i="65"/>
  <c r="BF59" i="65"/>
  <c r="BQ60" i="65"/>
  <c r="BR60" i="65" s="1"/>
  <c r="BE59" i="65"/>
  <c r="S24" i="65"/>
  <c r="Z24" i="65"/>
  <c r="AM24" i="65"/>
  <c r="BC96" i="65"/>
  <c r="BQ97" i="65"/>
  <c r="BR97" i="65" s="1"/>
  <c r="BD96" i="65"/>
  <c r="BG96" i="65" s="1"/>
  <c r="BE96" i="65"/>
  <c r="BI96" i="65"/>
  <c r="BF96" i="65"/>
  <c r="BH96" i="65"/>
  <c r="S163" i="65"/>
  <c r="Z163" i="65"/>
  <c r="BC159" i="65"/>
  <c r="BF159" i="65"/>
  <c r="BQ160" i="65"/>
  <c r="BR160" i="65" s="1"/>
  <c r="BE159" i="65"/>
  <c r="BI159" i="65"/>
  <c r="BH159" i="65"/>
  <c r="BD159" i="65"/>
  <c r="BG159" i="65" s="1"/>
  <c r="BC123" i="65"/>
  <c r="BD123" i="65"/>
  <c r="BG123" i="65" s="1"/>
  <c r="BI123" i="65"/>
  <c r="BH123" i="65"/>
  <c r="BQ124" i="65"/>
  <c r="BR124" i="65" s="1"/>
  <c r="BE123" i="65"/>
  <c r="BF123" i="65"/>
  <c r="BC29" i="65"/>
  <c r="BH29" i="65"/>
  <c r="BE29" i="65"/>
  <c r="BI29" i="65"/>
  <c r="BD29" i="65"/>
  <c r="BG29" i="65" s="1"/>
  <c r="BF29" i="65"/>
  <c r="BQ30" i="65"/>
  <c r="BR30" i="65" s="1"/>
  <c r="BC99" i="65"/>
  <c r="BD99" i="65"/>
  <c r="BG99" i="65" s="1"/>
  <c r="BF99" i="65"/>
  <c r="BE99" i="65"/>
  <c r="BI99" i="65"/>
  <c r="BQ100" i="65"/>
  <c r="BR100" i="65" s="1"/>
  <c r="BH99" i="65"/>
  <c r="BC79" i="65"/>
  <c r="BQ80" i="65"/>
  <c r="BR80" i="65" s="1"/>
  <c r="BI134" i="65"/>
  <c r="S73" i="65"/>
  <c r="Z73" i="65"/>
  <c r="S32" i="65"/>
  <c r="AM32" i="65"/>
  <c r="Z32" i="65"/>
  <c r="BC54" i="65"/>
  <c r="BQ55" i="65"/>
  <c r="BR55" i="65" s="1"/>
  <c r="BF54" i="65"/>
  <c r="BD54" i="65"/>
  <c r="BG54" i="65" s="1"/>
  <c r="AM25" i="65"/>
  <c r="S25" i="65"/>
  <c r="Z25" i="65"/>
  <c r="BI111" i="65"/>
  <c r="BH54" i="65"/>
  <c r="Z143" i="65"/>
  <c r="S143" i="65"/>
  <c r="S137" i="65"/>
  <c r="Z137" i="65"/>
  <c r="BC133" i="65"/>
  <c r="BD133" i="65"/>
  <c r="BG133" i="65" s="1"/>
  <c r="BI133" i="65"/>
  <c r="BF133" i="65"/>
  <c r="BH133" i="65"/>
  <c r="BE133" i="65"/>
  <c r="BQ134" i="65"/>
  <c r="BR134" i="65" s="1"/>
  <c r="BC36" i="65"/>
  <c r="BF36" i="65"/>
  <c r="BE36" i="65"/>
  <c r="BQ37" i="65"/>
  <c r="BR37" i="65" s="1"/>
  <c r="BD36" i="65"/>
  <c r="BG36" i="65" s="1"/>
  <c r="BI36" i="65"/>
  <c r="BH36" i="65"/>
  <c r="CU22" i="65"/>
  <c r="CT22" i="65"/>
  <c r="BC90" i="65"/>
  <c r="BQ91" i="65"/>
  <c r="BR91" i="65" s="1"/>
  <c r="BD90" i="65"/>
  <c r="BG90" i="65" s="1"/>
  <c r="BI90" i="65"/>
  <c r="BH90" i="65"/>
  <c r="BF90" i="65"/>
  <c r="BE90" i="65"/>
  <c r="BC42" i="65"/>
  <c r="BF42" i="65"/>
  <c r="BQ43" i="65"/>
  <c r="BR43" i="65" s="1"/>
  <c r="BH42" i="65"/>
  <c r="BE42" i="65"/>
  <c r="BD42" i="65"/>
  <c r="BG42" i="65" s="1"/>
  <c r="BI42" i="65"/>
  <c r="BF108" i="65"/>
  <c r="BJ108" i="65" s="1"/>
  <c r="Z71" i="65"/>
  <c r="S71" i="65"/>
  <c r="S65" i="65"/>
  <c r="Z65" i="65"/>
  <c r="BC63" i="65"/>
  <c r="BI63" i="65"/>
  <c r="BE63" i="65"/>
  <c r="BH63" i="65"/>
  <c r="BQ64" i="65"/>
  <c r="BR64" i="65" s="1"/>
  <c r="BF63" i="65"/>
  <c r="BD63" i="65"/>
  <c r="BG63" i="65" s="1"/>
  <c r="S28" i="65"/>
  <c r="Z28" i="65"/>
  <c r="AM28" i="65"/>
  <c r="AK78" i="65"/>
  <c r="Z47" i="65"/>
  <c r="S47" i="65"/>
  <c r="BC126" i="65"/>
  <c r="BD126" i="65"/>
  <c r="BG126" i="65" s="1"/>
  <c r="BF126" i="65"/>
  <c r="BI126" i="65"/>
  <c r="BQ127" i="65"/>
  <c r="BR127" i="65" s="1"/>
  <c r="BH126" i="65"/>
  <c r="BE126" i="65"/>
  <c r="BJ126" i="65" s="1"/>
  <c r="BC27" i="65"/>
  <c r="BD27" i="65"/>
  <c r="BG27" i="65" s="1"/>
  <c r="BQ28" i="65"/>
  <c r="BR28" i="65" s="1"/>
  <c r="BH27" i="65"/>
  <c r="BI27" i="65"/>
  <c r="BF27" i="65"/>
  <c r="BE27" i="65"/>
  <c r="S146" i="65"/>
  <c r="Z146" i="65"/>
  <c r="CV116" i="65"/>
  <c r="BC163" i="65"/>
  <c r="BI163" i="65"/>
  <c r="BD163" i="65"/>
  <c r="BG163" i="65" s="1"/>
  <c r="BH163" i="65"/>
  <c r="BF163" i="65"/>
  <c r="BE163" i="65"/>
  <c r="BC130" i="65"/>
  <c r="BF130" i="65"/>
  <c r="BE130" i="65"/>
  <c r="BH130" i="65"/>
  <c r="BQ131" i="65"/>
  <c r="BR131" i="65" s="1"/>
  <c r="BI130" i="65"/>
  <c r="BD130" i="65"/>
  <c r="BG130" i="65" s="1"/>
  <c r="BC53" i="65"/>
  <c r="BQ54" i="65"/>
  <c r="BR54" i="65" s="1"/>
  <c r="CV92" i="65"/>
  <c r="AB34" i="61"/>
  <c r="AC34" i="61" s="1"/>
  <c r="BQ35" i="61"/>
  <c r="BR35" i="61" s="1"/>
  <c r="BM35" i="61"/>
  <c r="BE35" i="61"/>
  <c r="BL35" i="61"/>
  <c r="BD35" i="61"/>
  <c r="BG35" i="61" s="1"/>
  <c r="AV35" i="61"/>
  <c r="BI35" i="61"/>
  <c r="BF35" i="61"/>
  <c r="N35" i="61"/>
  <c r="O35" i="61" s="1"/>
  <c r="BQ36" i="61"/>
  <c r="BR36" i="61" s="1"/>
  <c r="BN35" i="61"/>
  <c r="BP35" i="61"/>
  <c r="AT35" i="61" s="1"/>
  <c r="BH35" i="61"/>
  <c r="AX35" i="61"/>
  <c r="BO35" i="61"/>
  <c r="AY35" i="61"/>
  <c r="BQ37" i="61"/>
  <c r="BR37" i="61" s="1"/>
  <c r="AB35" i="61"/>
  <c r="AC35" i="61" s="1"/>
  <c r="BI37" i="61"/>
  <c r="N37" i="61"/>
  <c r="O37" i="61" s="1"/>
  <c r="BP37" i="61"/>
  <c r="AT37" i="61" s="1"/>
  <c r="BH37" i="61"/>
  <c r="BO37" i="61"/>
  <c r="AY37" i="61"/>
  <c r="BN37" i="61"/>
  <c r="BF37" i="61"/>
  <c r="AX37" i="61"/>
  <c r="BL37" i="61"/>
  <c r="AV37" i="61"/>
  <c r="BM37" i="61"/>
  <c r="BE37" i="61"/>
  <c r="BD37" i="61"/>
  <c r="BG37" i="61" s="1"/>
  <c r="BP36" i="61"/>
  <c r="AT36" i="61" s="1"/>
  <c r="BH36" i="61"/>
  <c r="AY36" i="61"/>
  <c r="BO36" i="61"/>
  <c r="BN36" i="61"/>
  <c r="BF36" i="61"/>
  <c r="AX36" i="61"/>
  <c r="BM36" i="61"/>
  <c r="BE36" i="61"/>
  <c r="BL36" i="61"/>
  <c r="BD36" i="61"/>
  <c r="BG36" i="61" s="1"/>
  <c r="AV36" i="61"/>
  <c r="BI36" i="61"/>
  <c r="N36" i="61"/>
  <c r="O36" i="61" s="1"/>
  <c r="BP33" i="61"/>
  <c r="AT33" i="61" s="1"/>
  <c r="BH33" i="61"/>
  <c r="BO33" i="61"/>
  <c r="AY33" i="61"/>
  <c r="BN33" i="61"/>
  <c r="BF33" i="61"/>
  <c r="AX33" i="61"/>
  <c r="N33" i="61"/>
  <c r="O33" i="61" s="1"/>
  <c r="BM33" i="61"/>
  <c r="BE33" i="61"/>
  <c r="BI33" i="61"/>
  <c r="BL33" i="61"/>
  <c r="BD33" i="61"/>
  <c r="BG33" i="61" s="1"/>
  <c r="AV33" i="61"/>
  <c r="BM32" i="61"/>
  <c r="BE32" i="61"/>
  <c r="BO32" i="61"/>
  <c r="AY32" i="61"/>
  <c r="BF32" i="61"/>
  <c r="BL32" i="61"/>
  <c r="BD32" i="61"/>
  <c r="BG32" i="61" s="1"/>
  <c r="AV32" i="61"/>
  <c r="BQ33" i="61"/>
  <c r="BR33" i="61" s="1"/>
  <c r="BI32" i="61"/>
  <c r="N32" i="61"/>
  <c r="O32" i="61" s="1"/>
  <c r="AX32" i="61"/>
  <c r="BN32" i="61"/>
  <c r="BP32" i="61"/>
  <c r="AT32" i="61" s="1"/>
  <c r="BH32" i="61"/>
  <c r="AB33" i="61"/>
  <c r="AC33" i="61" s="1"/>
  <c r="BQ34" i="61"/>
  <c r="BR34" i="61" s="1"/>
  <c r="BE34" i="61"/>
  <c r="BL34" i="61"/>
  <c r="AV34" i="61"/>
  <c r="BI34" i="61"/>
  <c r="N34" i="61"/>
  <c r="O34" i="61" s="1"/>
  <c r="BP34" i="61"/>
  <c r="AT34" i="61" s="1"/>
  <c r="BH34" i="61"/>
  <c r="BO34" i="61"/>
  <c r="AY34" i="61"/>
  <c r="BD34" i="61"/>
  <c r="BG34" i="61" s="1"/>
  <c r="BN34" i="61"/>
  <c r="BF34" i="61"/>
  <c r="AX34" i="61"/>
  <c r="BM34" i="61"/>
  <c r="BP30" i="61"/>
  <c r="AT30" i="61" s="1"/>
  <c r="BH30" i="61"/>
  <c r="BO30" i="61"/>
  <c r="AY30" i="61"/>
  <c r="BN30" i="61"/>
  <c r="BF30" i="61"/>
  <c r="AX30" i="61"/>
  <c r="BM30" i="61"/>
  <c r="BE30" i="61"/>
  <c r="N30" i="61"/>
  <c r="O30" i="61" s="1"/>
  <c r="BL30" i="61"/>
  <c r="BD30" i="61"/>
  <c r="BG30" i="61" s="1"/>
  <c r="AV30" i="61"/>
  <c r="BI30" i="61"/>
  <c r="AB30" i="61"/>
  <c r="AC30" i="61" s="1"/>
  <c r="BQ31" i="61"/>
  <c r="BR31" i="61" s="1"/>
  <c r="BM29" i="61"/>
  <c r="BE29" i="61"/>
  <c r="BL29" i="61"/>
  <c r="BD29" i="61"/>
  <c r="BG29" i="61" s="1"/>
  <c r="AV29" i="61"/>
  <c r="N29" i="61"/>
  <c r="O29" i="61" s="1"/>
  <c r="BH29" i="61"/>
  <c r="BO29" i="61"/>
  <c r="BQ30" i="61"/>
  <c r="BR30" i="61" s="1"/>
  <c r="BN29" i="61"/>
  <c r="AX29" i="61"/>
  <c r="BI29" i="61"/>
  <c r="BP29" i="61"/>
  <c r="AT29" i="61" s="1"/>
  <c r="AY29" i="61"/>
  <c r="BF29" i="61"/>
  <c r="AX31" i="61"/>
  <c r="BN31" i="61"/>
  <c r="BI31" i="61"/>
  <c r="N31" i="61"/>
  <c r="O31" i="61" s="1"/>
  <c r="BE31" i="61"/>
  <c r="BL31" i="61"/>
  <c r="BP31" i="61"/>
  <c r="AT31" i="61" s="1"/>
  <c r="BH31" i="61"/>
  <c r="BF31" i="61"/>
  <c r="BM31" i="61"/>
  <c r="BO31" i="61"/>
  <c r="AY31" i="61"/>
  <c r="BD31" i="61"/>
  <c r="BG31" i="61" s="1"/>
  <c r="AV31" i="61"/>
  <c r="BP27" i="61"/>
  <c r="AT27" i="61" s="1"/>
  <c r="BH27" i="61"/>
  <c r="BO27" i="61"/>
  <c r="AY27" i="61"/>
  <c r="BN27" i="61"/>
  <c r="BF27" i="61"/>
  <c r="AX27" i="61"/>
  <c r="BI27" i="61"/>
  <c r="N27" i="61"/>
  <c r="O27" i="61" s="1"/>
  <c r="BM27" i="61"/>
  <c r="BE27" i="61"/>
  <c r="BL27" i="61"/>
  <c r="BD27" i="61"/>
  <c r="BG27" i="61" s="1"/>
  <c r="AV27" i="61"/>
  <c r="AB27" i="61"/>
  <c r="AC27" i="61" s="1"/>
  <c r="BI28" i="61"/>
  <c r="N28" i="61"/>
  <c r="O28" i="61" s="1"/>
  <c r="BP28" i="61"/>
  <c r="AT28" i="61" s="1"/>
  <c r="BH28" i="61"/>
  <c r="BO28" i="61"/>
  <c r="AY28" i="61"/>
  <c r="BD28" i="61"/>
  <c r="BG28" i="61" s="1"/>
  <c r="AV28" i="61"/>
  <c r="BN28" i="61"/>
  <c r="BF28" i="61"/>
  <c r="AX28" i="61"/>
  <c r="BM28" i="61"/>
  <c r="BE28" i="61"/>
  <c r="BL28" i="61"/>
  <c r="BQ28" i="61"/>
  <c r="BR28" i="61" s="1"/>
  <c r="AB28" i="61"/>
  <c r="AC28" i="61" s="1"/>
  <c r="BM26" i="61"/>
  <c r="BE26" i="61"/>
  <c r="BD26" i="61"/>
  <c r="BG26" i="61" s="1"/>
  <c r="N26" i="61"/>
  <c r="O26" i="61" s="1"/>
  <c r="AY26" i="61"/>
  <c r="BQ27" i="61"/>
  <c r="BR27" i="61" s="1"/>
  <c r="BN26" i="61"/>
  <c r="BI26" i="61"/>
  <c r="AX26" i="61"/>
  <c r="AV26" i="61"/>
  <c r="BP26" i="61"/>
  <c r="AT26" i="61" s="1"/>
  <c r="BH26" i="61"/>
  <c r="BO26" i="61"/>
  <c r="BF26" i="61"/>
  <c r="BL26" i="61"/>
  <c r="BY21" i="61"/>
  <c r="CL21" i="61" s="1"/>
  <c r="BZ21" i="61"/>
  <c r="CF21" i="61" s="1"/>
  <c r="CO21" i="61"/>
  <c r="BY22" i="61"/>
  <c r="CL22" i="61" s="1"/>
  <c r="BZ22" i="61"/>
  <c r="BJ54" i="65" l="1"/>
  <c r="BJ146" i="65"/>
  <c r="BJ41" i="65"/>
  <c r="BJ81" i="65"/>
  <c r="BJ147" i="65"/>
  <c r="BJ118" i="65"/>
  <c r="BJ120" i="65"/>
  <c r="BJ135" i="65"/>
  <c r="BK135" i="65" s="1"/>
  <c r="BJ64" i="65"/>
  <c r="BK64" i="65" s="1"/>
  <c r="BJ37" i="65"/>
  <c r="BJ100" i="65"/>
  <c r="BJ117" i="65"/>
  <c r="BG39" i="65"/>
  <c r="BJ36" i="65"/>
  <c r="BK36" i="65" s="1"/>
  <c r="BJ35" i="65"/>
  <c r="BK35" i="65" s="1"/>
  <c r="BJ27" i="65"/>
  <c r="BK160" i="65"/>
  <c r="AK160" i="65"/>
  <c r="BK80" i="65"/>
  <c r="AK80" i="65"/>
  <c r="BK108" i="65"/>
  <c r="AK108" i="65"/>
  <c r="BK54" i="65"/>
  <c r="AK54" i="65"/>
  <c r="BK125" i="65"/>
  <c r="AK125" i="65"/>
  <c r="BK27" i="65"/>
  <c r="AK27" i="65"/>
  <c r="AK36" i="65"/>
  <c r="BJ111" i="65"/>
  <c r="BJ123" i="65"/>
  <c r="BJ44" i="65"/>
  <c r="BJ84" i="65"/>
  <c r="BG38" i="65"/>
  <c r="BJ67" i="65"/>
  <c r="BK150" i="65"/>
  <c r="AK150" i="65"/>
  <c r="DF21" i="65"/>
  <c r="BK21" i="65"/>
  <c r="BJ57" i="65"/>
  <c r="BJ161" i="65"/>
  <c r="BJ103" i="65"/>
  <c r="CU21" i="65"/>
  <c r="CT21" i="65"/>
  <c r="BJ124" i="65"/>
  <c r="BJ66" i="65"/>
  <c r="BJ83" i="65"/>
  <c r="BJ136" i="65"/>
  <c r="BJ140" i="65"/>
  <c r="BJ122" i="65"/>
  <c r="AK74" i="65"/>
  <c r="BJ130" i="65"/>
  <c r="CV22" i="65"/>
  <c r="BJ159" i="65"/>
  <c r="BJ132" i="65"/>
  <c r="BJ98" i="65"/>
  <c r="BJ38" i="65"/>
  <c r="BG58" i="65"/>
  <c r="BJ40" i="65"/>
  <c r="BK92" i="65"/>
  <c r="AK92" i="65"/>
  <c r="BJ131" i="65"/>
  <c r="BJ137" i="65"/>
  <c r="BG61" i="65"/>
  <c r="BG55" i="65"/>
  <c r="BJ55" i="65" s="1"/>
  <c r="BJ106" i="65"/>
  <c r="BJ65" i="65"/>
  <c r="BJ71" i="65"/>
  <c r="BJ23" i="65"/>
  <c r="BJ152" i="65"/>
  <c r="BJ82" i="65"/>
  <c r="BJ56" i="65"/>
  <c r="BK146" i="65"/>
  <c r="AK146" i="65"/>
  <c r="BJ73" i="65"/>
  <c r="BJ155" i="65"/>
  <c r="BK45" i="65"/>
  <c r="AK45" i="65"/>
  <c r="BJ86" i="65"/>
  <c r="BK100" i="65"/>
  <c r="AK100" i="65"/>
  <c r="BJ97" i="65"/>
  <c r="BK147" i="65"/>
  <c r="AK147" i="65"/>
  <c r="BJ31" i="65"/>
  <c r="BK70" i="65"/>
  <c r="AK70" i="65"/>
  <c r="BJ69" i="65"/>
  <c r="AK79" i="65"/>
  <c r="BJ144" i="65"/>
  <c r="BJ95" i="65"/>
  <c r="BJ90" i="65"/>
  <c r="BJ133" i="65"/>
  <c r="BJ96" i="65"/>
  <c r="BJ75" i="65"/>
  <c r="BJ76" i="65"/>
  <c r="BJ47" i="65"/>
  <c r="BJ127" i="65"/>
  <c r="BJ25" i="65"/>
  <c r="BJ105" i="65"/>
  <c r="BJ52" i="65"/>
  <c r="BJ61" i="65"/>
  <c r="CW20" i="65"/>
  <c r="BJ33" i="65"/>
  <c r="BJ107" i="65"/>
  <c r="BJ50" i="65"/>
  <c r="BJ145" i="65"/>
  <c r="BJ46" i="65"/>
  <c r="BJ32" i="65"/>
  <c r="BJ119" i="65"/>
  <c r="BJ28" i="65"/>
  <c r="BJ156" i="65"/>
  <c r="BJ59" i="65"/>
  <c r="BJ115" i="65"/>
  <c r="BJ163" i="65"/>
  <c r="BJ99" i="65"/>
  <c r="BJ29" i="65"/>
  <c r="BJ60" i="65"/>
  <c r="BJ51" i="65"/>
  <c r="BK53" i="65"/>
  <c r="AK53" i="65"/>
  <c r="BJ49" i="65"/>
  <c r="BJ93" i="65"/>
  <c r="BJ114" i="65"/>
  <c r="BJ157" i="65"/>
  <c r="BJ102" i="65"/>
  <c r="BJ151" i="65"/>
  <c r="BJ101" i="65"/>
  <c r="BJ34" i="65"/>
  <c r="BJ94" i="65"/>
  <c r="BJ153" i="65"/>
  <c r="BJ109" i="65"/>
  <c r="BJ77" i="65"/>
  <c r="AK113" i="65"/>
  <c r="BJ63" i="65"/>
  <c r="BJ42" i="65"/>
  <c r="BJ121" i="65"/>
  <c r="BJ129" i="65"/>
  <c r="BJ58" i="65"/>
  <c r="CW22" i="65"/>
  <c r="AK64" i="65"/>
  <c r="BJ128" i="65"/>
  <c r="BJ138" i="65"/>
  <c r="BJ85" i="65"/>
  <c r="BJ43" i="65"/>
  <c r="BJ148" i="65"/>
  <c r="BJ139" i="65"/>
  <c r="BJ89" i="65"/>
  <c r="BJ134" i="65"/>
  <c r="BJ91" i="65"/>
  <c r="BJ162" i="65"/>
  <c r="AK35" i="65"/>
  <c r="AK135" i="65"/>
  <c r="BJ68" i="65"/>
  <c r="BJ142" i="65"/>
  <c r="BJ87" i="65"/>
  <c r="CJ21" i="65"/>
  <c r="CW21" i="65"/>
  <c r="BK62" i="65"/>
  <c r="AK62" i="65"/>
  <c r="BJ116" i="65"/>
  <c r="BJ143" i="65"/>
  <c r="BJ88" i="65"/>
  <c r="BJ149" i="65"/>
  <c r="BJ112" i="65"/>
  <c r="BJ48" i="65"/>
  <c r="BJ154" i="65"/>
  <c r="BJ141" i="65"/>
  <c r="BJ158" i="65"/>
  <c r="AK104" i="65"/>
  <c r="BK126" i="65"/>
  <c r="AK126" i="65"/>
  <c r="BK37" i="65"/>
  <c r="AK37" i="65"/>
  <c r="AK110" i="65"/>
  <c r="BK117" i="65"/>
  <c r="AK117" i="65"/>
  <c r="BK41" i="65"/>
  <c r="AK41" i="65"/>
  <c r="BK81" i="65"/>
  <c r="AK81" i="65"/>
  <c r="BJ39" i="65"/>
  <c r="BJ72" i="65"/>
  <c r="BJ33" i="61"/>
  <c r="BK33" i="61" s="1"/>
  <c r="BJ36" i="61"/>
  <c r="BK36" i="61" s="1"/>
  <c r="BJ26" i="61"/>
  <c r="BK26" i="61" s="1"/>
  <c r="CA22" i="61"/>
  <c r="CG22" i="61" s="1"/>
  <c r="Q35" i="61"/>
  <c r="P35" i="61"/>
  <c r="R35" i="61" s="1"/>
  <c r="Q36" i="61"/>
  <c r="P36" i="61"/>
  <c r="R36" i="61" s="1"/>
  <c r="BJ37" i="61"/>
  <c r="BK37" i="61" s="1"/>
  <c r="AW35" i="61"/>
  <c r="AW36" i="61"/>
  <c r="AW37" i="61"/>
  <c r="P37" i="61"/>
  <c r="R37" i="61" s="1"/>
  <c r="Q37" i="61"/>
  <c r="BJ35" i="61"/>
  <c r="BK35" i="61" s="1"/>
  <c r="Q32" i="61"/>
  <c r="P32" i="61"/>
  <c r="R32" i="61" s="1"/>
  <c r="BJ34" i="61"/>
  <c r="BK34" i="61" s="1"/>
  <c r="BJ32" i="61"/>
  <c r="BK32" i="61" s="1"/>
  <c r="Q33" i="61"/>
  <c r="P33" i="61"/>
  <c r="R33" i="61" s="1"/>
  <c r="AW32" i="61"/>
  <c r="AW33" i="61"/>
  <c r="P34" i="61"/>
  <c r="R34" i="61" s="1"/>
  <c r="AM34" i="61" s="1"/>
  <c r="Q34" i="61"/>
  <c r="AW34" i="61"/>
  <c r="Q29" i="61"/>
  <c r="P29" i="61"/>
  <c r="R29" i="61" s="1"/>
  <c r="AW31" i="61"/>
  <c r="AW29" i="61"/>
  <c r="AW30" i="61"/>
  <c r="BJ31" i="61"/>
  <c r="BK31" i="61" s="1"/>
  <c r="P31" i="61"/>
  <c r="R31" i="61" s="1"/>
  <c r="AM31" i="61" s="1"/>
  <c r="Q31" i="61"/>
  <c r="BJ29" i="61"/>
  <c r="BK29" i="61" s="1"/>
  <c r="P30" i="61"/>
  <c r="R30" i="61" s="1"/>
  <c r="Q30" i="61"/>
  <c r="BJ30" i="61"/>
  <c r="BK30" i="61" s="1"/>
  <c r="AW27" i="61"/>
  <c r="AW26" i="61"/>
  <c r="AW28" i="61"/>
  <c r="BJ28" i="61"/>
  <c r="BK28" i="61" s="1"/>
  <c r="P26" i="61"/>
  <c r="R26" i="61" s="1"/>
  <c r="Q26" i="61"/>
  <c r="BJ27" i="61"/>
  <c r="BK27" i="61" s="1"/>
  <c r="P28" i="61"/>
  <c r="R28" i="61" s="1"/>
  <c r="AM28" i="61" s="1"/>
  <c r="Q28" i="61"/>
  <c r="Q27" i="61"/>
  <c r="P27" i="61"/>
  <c r="R27" i="61" s="1"/>
  <c r="CF22" i="61"/>
  <c r="CK21" i="61"/>
  <c r="CK22" i="61"/>
  <c r="CA21" i="61"/>
  <c r="CO20" i="61"/>
  <c r="CO22" i="61" s="1"/>
  <c r="BK120" i="65" l="1"/>
  <c r="AK120" i="65"/>
  <c r="BK118" i="65"/>
  <c r="AK118" i="65"/>
  <c r="BK55" i="65"/>
  <c r="AK55" i="65"/>
  <c r="BK141" i="65"/>
  <c r="AK141" i="65"/>
  <c r="BK42" i="65"/>
  <c r="AK42" i="65"/>
  <c r="BK39" i="65"/>
  <c r="AK39" i="65"/>
  <c r="BK48" i="65"/>
  <c r="AK48" i="65"/>
  <c r="CY21" i="65"/>
  <c r="CZ21" i="65" s="1"/>
  <c r="DE21" i="65"/>
  <c r="DG21" i="65" s="1"/>
  <c r="DH21" i="65" s="1"/>
  <c r="BK91" i="65"/>
  <c r="AK91" i="65"/>
  <c r="BK128" i="65"/>
  <c r="AK128" i="65"/>
  <c r="BK151" i="65"/>
  <c r="AK151" i="65"/>
  <c r="BK51" i="65"/>
  <c r="AK51" i="65"/>
  <c r="BK28" i="65"/>
  <c r="AK28" i="65"/>
  <c r="CY20" i="65"/>
  <c r="CZ20" i="65" s="1"/>
  <c r="DE20" i="65"/>
  <c r="DG20" i="65" s="1"/>
  <c r="DH20" i="65" s="1"/>
  <c r="BK75" i="65"/>
  <c r="AK75" i="65"/>
  <c r="BK86" i="65"/>
  <c r="AK86" i="65"/>
  <c r="BK82" i="65"/>
  <c r="AK82" i="65"/>
  <c r="BK137" i="65"/>
  <c r="AK137" i="65"/>
  <c r="BK132" i="65"/>
  <c r="AK132" i="65"/>
  <c r="BK83" i="65"/>
  <c r="AK83" i="65"/>
  <c r="BK123" i="65"/>
  <c r="AK123" i="65"/>
  <c r="BK112" i="65"/>
  <c r="AK112" i="65"/>
  <c r="BK134" i="65"/>
  <c r="AK134" i="65"/>
  <c r="BK77" i="65"/>
  <c r="AK77" i="65"/>
  <c r="BK102" i="65"/>
  <c r="AK102" i="65"/>
  <c r="BK60" i="65"/>
  <c r="AK60" i="65"/>
  <c r="BK119" i="65"/>
  <c r="AK119" i="65"/>
  <c r="BK61" i="65"/>
  <c r="AK61" i="65"/>
  <c r="BK96" i="65"/>
  <c r="AK96" i="65"/>
  <c r="BK152" i="65"/>
  <c r="AK152" i="65"/>
  <c r="BK131" i="65"/>
  <c r="AK131" i="65"/>
  <c r="BK159" i="65"/>
  <c r="AK159" i="65"/>
  <c r="BK66" i="65"/>
  <c r="AK66" i="65"/>
  <c r="BK111" i="65"/>
  <c r="AK111" i="65"/>
  <c r="BK149" i="65"/>
  <c r="AK149" i="65"/>
  <c r="BK87" i="65"/>
  <c r="AK87" i="65"/>
  <c r="BK89" i="65"/>
  <c r="AK89" i="65"/>
  <c r="CY22" i="65"/>
  <c r="CZ22" i="65" s="1"/>
  <c r="DE22" i="65"/>
  <c r="DG22" i="65" s="1"/>
  <c r="DH22" i="65" s="1"/>
  <c r="BK109" i="65"/>
  <c r="AK109" i="65"/>
  <c r="BK157" i="65"/>
  <c r="AK157" i="65"/>
  <c r="BK29" i="65"/>
  <c r="AK29" i="65"/>
  <c r="BK32" i="65"/>
  <c r="AK32" i="65"/>
  <c r="BK52" i="65"/>
  <c r="AK52" i="65"/>
  <c r="BK133" i="65"/>
  <c r="AK133" i="65"/>
  <c r="BK31" i="65"/>
  <c r="AK31" i="65"/>
  <c r="BK23" i="65"/>
  <c r="AK23" i="65"/>
  <c r="BK124" i="65"/>
  <c r="AK124" i="65"/>
  <c r="BK88" i="65"/>
  <c r="AK88" i="65"/>
  <c r="BK142" i="65"/>
  <c r="AK142" i="65"/>
  <c r="BK139" i="65"/>
  <c r="AK139" i="65"/>
  <c r="BK58" i="65"/>
  <c r="AK58" i="65"/>
  <c r="BK153" i="65"/>
  <c r="AK153" i="65"/>
  <c r="BK114" i="65"/>
  <c r="AK114" i="65"/>
  <c r="BK99" i="65"/>
  <c r="AK99" i="65"/>
  <c r="BK46" i="65"/>
  <c r="AK46" i="65"/>
  <c r="BK105" i="65"/>
  <c r="AK105" i="65"/>
  <c r="BK90" i="65"/>
  <c r="AK90" i="65"/>
  <c r="BK155" i="65"/>
  <c r="AK155" i="65"/>
  <c r="BK71" i="65"/>
  <c r="AK71" i="65"/>
  <c r="BK130" i="65"/>
  <c r="AK130" i="65"/>
  <c r="CV21" i="65"/>
  <c r="BK143" i="65"/>
  <c r="AK143" i="65"/>
  <c r="BK148" i="65"/>
  <c r="AK148" i="65"/>
  <c r="BK94" i="65"/>
  <c r="AK94" i="65"/>
  <c r="BK163" i="65"/>
  <c r="AK163" i="65"/>
  <c r="BK145" i="65"/>
  <c r="AK145" i="65"/>
  <c r="BK25" i="65"/>
  <c r="AK25" i="65"/>
  <c r="BK73" i="65"/>
  <c r="AK73" i="65"/>
  <c r="BK65" i="65"/>
  <c r="AK65" i="65"/>
  <c r="BK40" i="65"/>
  <c r="AK40" i="65"/>
  <c r="BK67" i="65"/>
  <c r="AK67" i="65"/>
  <c r="BK68" i="65"/>
  <c r="AK68" i="65"/>
  <c r="BK129" i="65"/>
  <c r="AK129" i="65"/>
  <c r="BK93" i="65"/>
  <c r="AK93" i="65"/>
  <c r="BK95" i="65"/>
  <c r="AK95" i="65"/>
  <c r="BK158" i="65"/>
  <c r="AK158" i="65"/>
  <c r="BK116" i="65"/>
  <c r="AK116" i="65"/>
  <c r="BK43" i="65"/>
  <c r="AK43" i="65"/>
  <c r="BK121" i="65"/>
  <c r="AK121" i="65"/>
  <c r="BK34" i="65"/>
  <c r="AK34" i="65"/>
  <c r="BK49" i="65"/>
  <c r="AK49" i="65"/>
  <c r="BK115" i="65"/>
  <c r="AK115" i="65"/>
  <c r="BK50" i="65"/>
  <c r="AK50" i="65"/>
  <c r="BK127" i="65"/>
  <c r="AK127" i="65"/>
  <c r="BK144" i="65"/>
  <c r="AK144" i="65"/>
  <c r="BK97" i="65"/>
  <c r="AK97" i="65"/>
  <c r="BK106" i="65"/>
  <c r="AK106" i="65"/>
  <c r="BK122" i="65"/>
  <c r="AK122" i="65"/>
  <c r="BK103" i="65"/>
  <c r="AK103" i="65"/>
  <c r="BK85" i="65"/>
  <c r="AK85" i="65"/>
  <c r="BK101" i="65"/>
  <c r="AK101" i="65"/>
  <c r="BK59" i="65"/>
  <c r="AK59" i="65"/>
  <c r="BK107" i="65"/>
  <c r="AK107" i="65"/>
  <c r="BK38" i="65"/>
  <c r="AK38" i="65"/>
  <c r="BK140" i="65"/>
  <c r="AK140" i="65"/>
  <c r="BK161" i="65"/>
  <c r="AK161" i="65"/>
  <c r="BK84" i="65"/>
  <c r="AK84" i="65"/>
  <c r="BK47" i="65"/>
  <c r="AK47" i="65"/>
  <c r="BK72" i="65"/>
  <c r="AK72" i="65"/>
  <c r="BK154" i="65"/>
  <c r="AK154" i="65"/>
  <c r="BK162" i="65"/>
  <c r="AK162" i="65"/>
  <c r="BK138" i="65"/>
  <c r="AK138" i="65"/>
  <c r="BK63" i="65"/>
  <c r="AK63" i="65"/>
  <c r="BK156" i="65"/>
  <c r="AK156" i="65"/>
  <c r="BK33" i="65"/>
  <c r="AK33" i="65"/>
  <c r="BK76" i="65"/>
  <c r="AK76" i="65"/>
  <c r="BK69" i="65"/>
  <c r="AK69" i="65"/>
  <c r="BK56" i="65"/>
  <c r="AK56" i="65"/>
  <c r="BK98" i="65"/>
  <c r="AK98" i="65"/>
  <c r="BK136" i="65"/>
  <c r="AK136" i="65"/>
  <c r="BK57" i="65"/>
  <c r="AK57" i="65"/>
  <c r="BK44" i="65"/>
  <c r="AK44" i="65"/>
  <c r="AK33" i="61"/>
  <c r="AK36" i="61"/>
  <c r="AK32" i="61"/>
  <c r="AK26" i="61"/>
  <c r="AK35" i="61"/>
  <c r="AK30" i="61"/>
  <c r="AK29" i="61"/>
  <c r="CE22" i="61"/>
  <c r="S36" i="61"/>
  <c r="Z36" i="61"/>
  <c r="S37" i="61"/>
  <c r="Z37" i="61"/>
  <c r="AK37" i="61"/>
  <c r="Z35" i="61"/>
  <c r="S35" i="61"/>
  <c r="Z32" i="61"/>
  <c r="S32" i="61"/>
  <c r="S33" i="61"/>
  <c r="Z33" i="61"/>
  <c r="AK34" i="61"/>
  <c r="S34" i="61"/>
  <c r="Z34" i="61"/>
  <c r="S30" i="61"/>
  <c r="Z30" i="61"/>
  <c r="AK31" i="61"/>
  <c r="Z31" i="61"/>
  <c r="S31" i="61"/>
  <c r="S29" i="61"/>
  <c r="Z29" i="61"/>
  <c r="S26" i="61"/>
  <c r="Z26" i="61"/>
  <c r="S27" i="61"/>
  <c r="Z27" i="61"/>
  <c r="AK28" i="61"/>
  <c r="S28" i="61"/>
  <c r="Z28" i="61"/>
  <c r="AK27" i="61"/>
  <c r="CR22" i="61"/>
  <c r="CM22" i="61"/>
  <c r="CS22" i="61" s="1"/>
  <c r="CD22" i="61"/>
  <c r="CG21" i="61"/>
  <c r="CM21" i="61"/>
  <c r="CS21" i="61" s="1"/>
  <c r="CR21" i="61"/>
  <c r="AJ20" i="61"/>
  <c r="AP22" i="61"/>
  <c r="CP21" i="61" l="1"/>
  <c r="CQ21" i="61"/>
  <c r="CP22" i="61"/>
  <c r="CQ22" i="61"/>
  <c r="CE21" i="61"/>
  <c r="CD21" i="61"/>
  <c r="O8" i="61"/>
  <c r="AL58" i="61" s="1"/>
  <c r="K8" i="61"/>
  <c r="H8" i="61"/>
  <c r="BB58" i="61" l="1"/>
  <c r="AL25" i="61"/>
  <c r="AL153" i="61"/>
  <c r="AL137" i="61"/>
  <c r="AL121" i="61"/>
  <c r="AL57" i="61"/>
  <c r="AL56" i="61"/>
  <c r="AL38" i="61"/>
  <c r="BB38" i="61" s="1"/>
  <c r="AL150" i="61"/>
  <c r="AL134" i="61"/>
  <c r="BB134" i="61" s="1"/>
  <c r="AL118" i="61"/>
  <c r="BB118" i="61" s="1"/>
  <c r="AL54" i="61"/>
  <c r="BB54" i="61" s="1"/>
  <c r="AL136" i="61"/>
  <c r="AL39" i="61"/>
  <c r="AL149" i="61"/>
  <c r="BB149" i="61" s="1"/>
  <c r="AL148" i="61"/>
  <c r="BB148" i="61" s="1"/>
  <c r="AL132" i="61"/>
  <c r="BB132" i="61" s="1"/>
  <c r="AL116" i="61"/>
  <c r="BB116" i="61" s="1"/>
  <c r="AL24" i="61"/>
  <c r="AL151" i="61"/>
  <c r="BB151" i="61" s="1"/>
  <c r="AL163" i="61"/>
  <c r="BB163" i="61" s="1"/>
  <c r="AL147" i="61"/>
  <c r="BB147" i="61" s="1"/>
  <c r="AL131" i="61"/>
  <c r="AL115" i="61"/>
  <c r="AL155" i="61"/>
  <c r="AL23" i="61"/>
  <c r="AL133" i="61"/>
  <c r="BB133" i="61" s="1"/>
  <c r="AL162" i="61"/>
  <c r="BB162" i="61" s="1"/>
  <c r="AL146" i="61"/>
  <c r="BB146" i="61" s="1"/>
  <c r="AL130" i="61"/>
  <c r="AL114" i="61"/>
  <c r="AL152" i="61"/>
  <c r="AL55" i="61"/>
  <c r="AL161" i="61"/>
  <c r="BB161" i="61" s="1"/>
  <c r="AL145" i="61"/>
  <c r="BB145" i="61" s="1"/>
  <c r="AL129" i="61"/>
  <c r="AL113" i="61"/>
  <c r="AL119" i="61"/>
  <c r="AL117" i="61"/>
  <c r="AL160" i="61"/>
  <c r="BB160" i="61" s="1"/>
  <c r="AL144" i="61"/>
  <c r="BB144" i="61" s="1"/>
  <c r="AL128" i="61"/>
  <c r="BB128" i="61" s="1"/>
  <c r="AL112" i="61"/>
  <c r="BB112" i="61" s="1"/>
  <c r="AL120" i="61"/>
  <c r="BB120" i="61" s="1"/>
  <c r="AL135" i="61"/>
  <c r="AL159" i="61"/>
  <c r="AL143" i="61"/>
  <c r="AL127" i="61"/>
  <c r="AL111" i="61"/>
  <c r="AL158" i="61"/>
  <c r="AL142" i="61"/>
  <c r="AL126" i="61"/>
  <c r="AL110" i="61"/>
  <c r="AL53" i="61"/>
  <c r="AL157" i="61"/>
  <c r="AL141" i="61"/>
  <c r="BB141" i="61" s="1"/>
  <c r="AL125" i="61"/>
  <c r="BB125" i="61" s="1"/>
  <c r="AL109" i="61"/>
  <c r="BB109" i="61" s="1"/>
  <c r="AL61" i="61"/>
  <c r="BB61" i="61" s="1"/>
  <c r="AL40" i="61"/>
  <c r="AL156" i="61"/>
  <c r="AL140" i="61"/>
  <c r="BB140" i="61" s="1"/>
  <c r="AL124" i="61"/>
  <c r="BB124" i="61" s="1"/>
  <c r="AL108" i="61"/>
  <c r="BB108" i="61" s="1"/>
  <c r="AL60" i="61"/>
  <c r="AL139" i="61"/>
  <c r="AL123" i="61"/>
  <c r="BB123" i="61" s="1"/>
  <c r="AL107" i="61"/>
  <c r="AL59" i="61"/>
  <c r="AL154" i="61"/>
  <c r="AL138" i="61"/>
  <c r="AL122" i="61"/>
  <c r="AJ163" i="61"/>
  <c r="Y163" i="61"/>
  <c r="V163" i="61"/>
  <c r="AJ162" i="61"/>
  <c r="Y162" i="61"/>
  <c r="AD162" i="61" s="1"/>
  <c r="V162" i="61"/>
  <c r="AJ161" i="61"/>
  <c r="Y161" i="61"/>
  <c r="AD161" i="61" s="1"/>
  <c r="V161" i="61"/>
  <c r="AJ160" i="61"/>
  <c r="Y160" i="61"/>
  <c r="AD160" i="61" s="1"/>
  <c r="V160" i="61"/>
  <c r="AJ159" i="61"/>
  <c r="Y159" i="61"/>
  <c r="AD159" i="61" s="1"/>
  <c r="V159" i="61"/>
  <c r="AJ158" i="61"/>
  <c r="Y158" i="61"/>
  <c r="AD158" i="61" s="1"/>
  <c r="V158" i="61"/>
  <c r="AJ157" i="61"/>
  <c r="Y157" i="61"/>
  <c r="AD157" i="61" s="1"/>
  <c r="V157" i="61"/>
  <c r="AJ156" i="61"/>
  <c r="Y156" i="61"/>
  <c r="AD156" i="61" s="1"/>
  <c r="V156" i="61"/>
  <c r="AJ155" i="61"/>
  <c r="Y155" i="61"/>
  <c r="AD155" i="61" s="1"/>
  <c r="V155" i="61"/>
  <c r="AJ154" i="61"/>
  <c r="Y154" i="61"/>
  <c r="V154" i="61"/>
  <c r="AJ153" i="61"/>
  <c r="Y153" i="61"/>
  <c r="AD153" i="61" s="1"/>
  <c r="V153" i="61"/>
  <c r="CQ152" i="61"/>
  <c r="CH152" i="61"/>
  <c r="BZ152" i="61"/>
  <c r="CK152" i="61" s="1"/>
  <c r="BY152" i="61"/>
  <c r="AJ152" i="61"/>
  <c r="Y152" i="61"/>
  <c r="AD152" i="61" s="1"/>
  <c r="V152" i="61"/>
  <c r="AJ151" i="61"/>
  <c r="Y151" i="61"/>
  <c r="V151" i="61"/>
  <c r="AJ150" i="61"/>
  <c r="Y150" i="61"/>
  <c r="AD150" i="61" s="1"/>
  <c r="V150" i="61"/>
  <c r="AJ149" i="61"/>
  <c r="Y149" i="61"/>
  <c r="AD149" i="61" s="1"/>
  <c r="V149" i="61"/>
  <c r="AJ148" i="61"/>
  <c r="Y148" i="61"/>
  <c r="AD148" i="61" s="1"/>
  <c r="V148" i="61"/>
  <c r="AJ147" i="61"/>
  <c r="Y147" i="61"/>
  <c r="V147" i="61"/>
  <c r="AJ146" i="61"/>
  <c r="Y146" i="61"/>
  <c r="AD146" i="61" s="1"/>
  <c r="V146" i="61"/>
  <c r="AJ145" i="61"/>
  <c r="Y145" i="61"/>
  <c r="AD145" i="61" s="1"/>
  <c r="V145" i="61"/>
  <c r="AJ144" i="61"/>
  <c r="Y144" i="61"/>
  <c r="AD144" i="61" s="1"/>
  <c r="V144" i="61"/>
  <c r="AJ143" i="61"/>
  <c r="Y143" i="61"/>
  <c r="AD143" i="61" s="1"/>
  <c r="V143" i="61"/>
  <c r="AJ142" i="61"/>
  <c r="Y142" i="61"/>
  <c r="AD142" i="61" s="1"/>
  <c r="V142" i="61"/>
  <c r="AJ141" i="61"/>
  <c r="Y141" i="61"/>
  <c r="AD141" i="61" s="1"/>
  <c r="V141" i="61"/>
  <c r="CQ140" i="61"/>
  <c r="CH140" i="61"/>
  <c r="BZ140" i="61"/>
  <c r="BY140" i="61"/>
  <c r="CL140" i="61" s="1"/>
  <c r="AJ140" i="61"/>
  <c r="Y140" i="61"/>
  <c r="AD140" i="61" s="1"/>
  <c r="V140" i="61"/>
  <c r="AJ139" i="61"/>
  <c r="Y139" i="61"/>
  <c r="V139" i="61"/>
  <c r="AJ138" i="61"/>
  <c r="Y138" i="61"/>
  <c r="AD138" i="61" s="1"/>
  <c r="V138" i="61"/>
  <c r="AJ137" i="61"/>
  <c r="Y137" i="61"/>
  <c r="AD137" i="61" s="1"/>
  <c r="V137" i="61"/>
  <c r="AJ136" i="61"/>
  <c r="Y136" i="61"/>
  <c r="AD136" i="61" s="1"/>
  <c r="V136" i="61"/>
  <c r="AJ135" i="61"/>
  <c r="Y135" i="61"/>
  <c r="V135" i="61"/>
  <c r="AJ134" i="61"/>
  <c r="Y134" i="61"/>
  <c r="AD134" i="61" s="1"/>
  <c r="V134" i="61"/>
  <c r="AJ133" i="61"/>
  <c r="Y133" i="61"/>
  <c r="AD133" i="61" s="1"/>
  <c r="V133" i="61"/>
  <c r="AJ132" i="61"/>
  <c r="Y132" i="61"/>
  <c r="AD132" i="61" s="1"/>
  <c r="V132" i="61"/>
  <c r="AJ131" i="61"/>
  <c r="Y131" i="61"/>
  <c r="AD131" i="61" s="1"/>
  <c r="V131" i="61"/>
  <c r="AJ130" i="61"/>
  <c r="Y130" i="61"/>
  <c r="AD130" i="61" s="1"/>
  <c r="V130" i="61"/>
  <c r="AJ129" i="61"/>
  <c r="Y129" i="61"/>
  <c r="AD129" i="61" s="1"/>
  <c r="V129" i="61"/>
  <c r="CQ128" i="61"/>
  <c r="CH128" i="61"/>
  <c r="BZ128" i="61"/>
  <c r="CK128" i="61" s="1"/>
  <c r="BY128" i="61"/>
  <c r="AJ128" i="61"/>
  <c r="Y128" i="61"/>
  <c r="AD128" i="61" s="1"/>
  <c r="V128" i="61"/>
  <c r="AJ127" i="61"/>
  <c r="Y127" i="61"/>
  <c r="AD127" i="61" s="1"/>
  <c r="V127" i="61"/>
  <c r="AJ126" i="61"/>
  <c r="Y126" i="61"/>
  <c r="AD126" i="61" s="1"/>
  <c r="V126" i="61"/>
  <c r="AJ125" i="61"/>
  <c r="Y125" i="61"/>
  <c r="V125" i="61"/>
  <c r="AJ124" i="61"/>
  <c r="Y124" i="61"/>
  <c r="AD124" i="61" s="1"/>
  <c r="V124" i="61"/>
  <c r="AJ123" i="61"/>
  <c r="Y123" i="61"/>
  <c r="V123" i="61"/>
  <c r="AJ122" i="61"/>
  <c r="Y122" i="61"/>
  <c r="AD122" i="61" s="1"/>
  <c r="V122" i="61"/>
  <c r="AJ121" i="61"/>
  <c r="Y121" i="61"/>
  <c r="AD121" i="61" s="1"/>
  <c r="V121" i="61"/>
  <c r="AJ120" i="61"/>
  <c r="Y120" i="61"/>
  <c r="AD120" i="61" s="1"/>
  <c r="V120" i="61"/>
  <c r="AJ119" i="61"/>
  <c r="Y119" i="61"/>
  <c r="AD119" i="61" s="1"/>
  <c r="V119" i="61"/>
  <c r="AJ118" i="61"/>
  <c r="Y118" i="61"/>
  <c r="AD118" i="61" s="1"/>
  <c r="V118" i="61"/>
  <c r="AJ117" i="61"/>
  <c r="Y117" i="61"/>
  <c r="AD117" i="61" s="1"/>
  <c r="V117" i="61"/>
  <c r="CQ116" i="61"/>
  <c r="CH116" i="61"/>
  <c r="BZ116" i="61"/>
  <c r="CK116" i="61" s="1"/>
  <c r="BY116" i="61"/>
  <c r="AJ116" i="61"/>
  <c r="Y116" i="61"/>
  <c r="AD116" i="61" s="1"/>
  <c r="V116" i="61"/>
  <c r="AJ115" i="61"/>
  <c r="Y115" i="61"/>
  <c r="V115" i="61"/>
  <c r="AJ114" i="61"/>
  <c r="Y114" i="61"/>
  <c r="AD114" i="61" s="1"/>
  <c r="V114" i="61"/>
  <c r="AJ113" i="61"/>
  <c r="Y113" i="61"/>
  <c r="AD113" i="61" s="1"/>
  <c r="V113" i="61"/>
  <c r="AJ112" i="61"/>
  <c r="Y112" i="61"/>
  <c r="AD112" i="61" s="1"/>
  <c r="V112" i="61"/>
  <c r="AJ111" i="61"/>
  <c r="Y111" i="61"/>
  <c r="V111" i="61"/>
  <c r="AJ110" i="61"/>
  <c r="Y110" i="61"/>
  <c r="AD110" i="61" s="1"/>
  <c r="V110" i="61"/>
  <c r="AJ109" i="61"/>
  <c r="Y109" i="61"/>
  <c r="AD109" i="61" s="1"/>
  <c r="V109" i="61"/>
  <c r="AJ108" i="61"/>
  <c r="Y108" i="61"/>
  <c r="V108" i="61"/>
  <c r="AJ107" i="61"/>
  <c r="Y107" i="61"/>
  <c r="AD107" i="61" s="1"/>
  <c r="V107" i="61"/>
  <c r="AJ106" i="61"/>
  <c r="Y106" i="61"/>
  <c r="AD106" i="61" s="1"/>
  <c r="V106" i="61"/>
  <c r="AJ105" i="61"/>
  <c r="Y105" i="61"/>
  <c r="AD105" i="61" s="1"/>
  <c r="V105" i="61"/>
  <c r="CQ104" i="61"/>
  <c r="CH104" i="61"/>
  <c r="BZ104" i="61"/>
  <c r="CK104" i="61" s="1"/>
  <c r="BY104" i="61"/>
  <c r="CL104" i="61" s="1"/>
  <c r="AJ104" i="61"/>
  <c r="Y104" i="61"/>
  <c r="AD104" i="61" s="1"/>
  <c r="V104" i="61"/>
  <c r="AJ103" i="61"/>
  <c r="Y103" i="61"/>
  <c r="V103" i="61"/>
  <c r="AJ102" i="61"/>
  <c r="Y102" i="61"/>
  <c r="AD102" i="61" s="1"/>
  <c r="V102" i="61"/>
  <c r="AJ101" i="61"/>
  <c r="Y101" i="61"/>
  <c r="V101" i="61"/>
  <c r="AJ100" i="61"/>
  <c r="Y100" i="61"/>
  <c r="AD100" i="61" s="1"/>
  <c r="V100" i="61"/>
  <c r="AJ99" i="61"/>
  <c r="Y99" i="61"/>
  <c r="V99" i="61"/>
  <c r="AJ98" i="61"/>
  <c r="Y98" i="61"/>
  <c r="AD98" i="61" s="1"/>
  <c r="V98" i="61"/>
  <c r="AJ97" i="61"/>
  <c r="Y97" i="61"/>
  <c r="AD97" i="61" s="1"/>
  <c r="V97" i="61"/>
  <c r="AJ96" i="61"/>
  <c r="Y96" i="61"/>
  <c r="V96" i="61"/>
  <c r="AJ95" i="61"/>
  <c r="Y95" i="61"/>
  <c r="AD95" i="61" s="1"/>
  <c r="V95" i="61"/>
  <c r="AJ94" i="61"/>
  <c r="Y94" i="61"/>
  <c r="AD94" i="61" s="1"/>
  <c r="V94" i="61"/>
  <c r="AJ93" i="61"/>
  <c r="Y93" i="61"/>
  <c r="AD93" i="61" s="1"/>
  <c r="V93" i="61"/>
  <c r="CQ92" i="61"/>
  <c r="CH92" i="61"/>
  <c r="BZ92" i="61"/>
  <c r="CK92" i="61" s="1"/>
  <c r="BY92" i="61"/>
  <c r="CL92" i="61" s="1"/>
  <c r="AJ92" i="61"/>
  <c r="Y92" i="61"/>
  <c r="AD92" i="61" s="1"/>
  <c r="V92" i="61"/>
  <c r="AJ91" i="61"/>
  <c r="Y91" i="61"/>
  <c r="V91" i="61"/>
  <c r="AJ90" i="61"/>
  <c r="Y90" i="61"/>
  <c r="AD90" i="61" s="1"/>
  <c r="V90" i="61"/>
  <c r="AJ89" i="61"/>
  <c r="Y89" i="61"/>
  <c r="V89" i="61"/>
  <c r="AJ88" i="61"/>
  <c r="Y88" i="61"/>
  <c r="AD88" i="61" s="1"/>
  <c r="V88" i="61"/>
  <c r="AJ87" i="61"/>
  <c r="Y87" i="61"/>
  <c r="V87" i="61"/>
  <c r="AJ86" i="61"/>
  <c r="Y86" i="61"/>
  <c r="AD86" i="61" s="1"/>
  <c r="V86" i="61"/>
  <c r="AJ85" i="61"/>
  <c r="Y85" i="61"/>
  <c r="AD85" i="61" s="1"/>
  <c r="V85" i="61"/>
  <c r="AJ84" i="61"/>
  <c r="Y84" i="61"/>
  <c r="AD84" i="61" s="1"/>
  <c r="V84" i="61"/>
  <c r="AJ83" i="61"/>
  <c r="Y83" i="61"/>
  <c r="AD83" i="61" s="1"/>
  <c r="V83" i="61"/>
  <c r="AJ82" i="61"/>
  <c r="Y82" i="61"/>
  <c r="AD82" i="61" s="1"/>
  <c r="V82" i="61"/>
  <c r="AJ81" i="61"/>
  <c r="Y81" i="61"/>
  <c r="AD81" i="61" s="1"/>
  <c r="V81" i="61"/>
  <c r="CQ80" i="61"/>
  <c r="CH80" i="61"/>
  <c r="BZ80" i="61"/>
  <c r="BY80" i="61"/>
  <c r="CL80" i="61" s="1"/>
  <c r="AJ80" i="61"/>
  <c r="Y80" i="61"/>
  <c r="AD80" i="61" s="1"/>
  <c r="V80" i="61"/>
  <c r="AJ79" i="61"/>
  <c r="Y79" i="61"/>
  <c r="V79" i="61"/>
  <c r="AJ78" i="61"/>
  <c r="Y78" i="61"/>
  <c r="AD78" i="61" s="1"/>
  <c r="V78" i="61"/>
  <c r="AJ77" i="61"/>
  <c r="Y77" i="61"/>
  <c r="AD77" i="61" s="1"/>
  <c r="V77" i="61"/>
  <c r="AJ76" i="61"/>
  <c r="Y76" i="61"/>
  <c r="AD76" i="61" s="1"/>
  <c r="V76" i="61"/>
  <c r="AJ75" i="61"/>
  <c r="Y75" i="61"/>
  <c r="V75" i="61"/>
  <c r="AJ74" i="61"/>
  <c r="Y74" i="61"/>
  <c r="AD74" i="61" s="1"/>
  <c r="V74" i="61"/>
  <c r="AJ73" i="61"/>
  <c r="Y73" i="61"/>
  <c r="AD73" i="61" s="1"/>
  <c r="V73" i="61"/>
  <c r="AJ72" i="61"/>
  <c r="Y72" i="61"/>
  <c r="AD72" i="61" s="1"/>
  <c r="V72" i="61"/>
  <c r="AJ71" i="61"/>
  <c r="Y71" i="61"/>
  <c r="AD71" i="61" s="1"/>
  <c r="V71" i="61"/>
  <c r="AJ70" i="61"/>
  <c r="Y70" i="61"/>
  <c r="AD70" i="61" s="1"/>
  <c r="V70" i="61"/>
  <c r="AJ69" i="61"/>
  <c r="Y69" i="61"/>
  <c r="AD69" i="61" s="1"/>
  <c r="V69" i="61"/>
  <c r="CQ68" i="61"/>
  <c r="CH68" i="61"/>
  <c r="BZ68" i="61"/>
  <c r="BY68" i="61"/>
  <c r="CL68" i="61" s="1"/>
  <c r="AJ68" i="61"/>
  <c r="Y68" i="61"/>
  <c r="AD68" i="61" s="1"/>
  <c r="V68" i="61"/>
  <c r="AJ67" i="61"/>
  <c r="Y67" i="61"/>
  <c r="AD67" i="61" s="1"/>
  <c r="V67" i="61"/>
  <c r="AJ66" i="61"/>
  <c r="Y66" i="61"/>
  <c r="AD66" i="61" s="1"/>
  <c r="V66" i="61"/>
  <c r="AJ65" i="61"/>
  <c r="Y65" i="61"/>
  <c r="AD65" i="61" s="1"/>
  <c r="V65" i="61"/>
  <c r="AJ64" i="61"/>
  <c r="Y64" i="61"/>
  <c r="AD64" i="61" s="1"/>
  <c r="V64" i="61"/>
  <c r="AJ63" i="61"/>
  <c r="Y63" i="61"/>
  <c r="AD63" i="61" s="1"/>
  <c r="V63" i="61"/>
  <c r="AJ62" i="61"/>
  <c r="Y62" i="61"/>
  <c r="AD62" i="61" s="1"/>
  <c r="V62" i="61"/>
  <c r="AJ61" i="61"/>
  <c r="Y61" i="61"/>
  <c r="AD61" i="61" s="1"/>
  <c r="V61" i="61"/>
  <c r="AJ60" i="61"/>
  <c r="Y60" i="61"/>
  <c r="AD60" i="61" s="1"/>
  <c r="V60" i="61"/>
  <c r="AJ59" i="61"/>
  <c r="Y59" i="61"/>
  <c r="AD59" i="61" s="1"/>
  <c r="V59" i="61"/>
  <c r="AJ58" i="61"/>
  <c r="Y58" i="61"/>
  <c r="AD58" i="61" s="1"/>
  <c r="V58" i="61"/>
  <c r="AJ57" i="61"/>
  <c r="Y57" i="61"/>
  <c r="AD57" i="61" s="1"/>
  <c r="V57" i="61"/>
  <c r="CQ56" i="61"/>
  <c r="CH56" i="61"/>
  <c r="BZ56" i="61"/>
  <c r="BY56" i="61"/>
  <c r="CL56" i="61" s="1"/>
  <c r="AJ56" i="61"/>
  <c r="Y56" i="61"/>
  <c r="AD56" i="61" s="1"/>
  <c r="V56" i="61"/>
  <c r="AJ55" i="61"/>
  <c r="Y55" i="61"/>
  <c r="V55" i="61"/>
  <c r="AJ54" i="61"/>
  <c r="Y54" i="61"/>
  <c r="AD54" i="61" s="1"/>
  <c r="V54" i="61"/>
  <c r="AJ53" i="61"/>
  <c r="Y53" i="61"/>
  <c r="V53" i="61"/>
  <c r="AJ52" i="61"/>
  <c r="Y52" i="61"/>
  <c r="AD52" i="61" s="1"/>
  <c r="V52" i="61"/>
  <c r="AJ51" i="61"/>
  <c r="Y51" i="61"/>
  <c r="AD51" i="61" s="1"/>
  <c r="V51" i="61"/>
  <c r="AJ50" i="61"/>
  <c r="Y50" i="61"/>
  <c r="AD50" i="61" s="1"/>
  <c r="V50" i="61"/>
  <c r="AJ49" i="61"/>
  <c r="Y49" i="61"/>
  <c r="AD49" i="61" s="1"/>
  <c r="V49" i="61"/>
  <c r="AJ48" i="61"/>
  <c r="Y48" i="61"/>
  <c r="V48" i="61"/>
  <c r="AJ47" i="61"/>
  <c r="Y47" i="61"/>
  <c r="AD47" i="61" s="1"/>
  <c r="V47" i="61"/>
  <c r="AJ46" i="61"/>
  <c r="Y46" i="61"/>
  <c r="AD46" i="61" s="1"/>
  <c r="V46" i="61"/>
  <c r="AJ45" i="61"/>
  <c r="Y45" i="61"/>
  <c r="AD45" i="61" s="1"/>
  <c r="V45" i="61"/>
  <c r="CQ44" i="61"/>
  <c r="CH44" i="61"/>
  <c r="BZ44" i="61"/>
  <c r="CK44" i="61" s="1"/>
  <c r="BY44" i="61"/>
  <c r="CL44" i="61" s="1"/>
  <c r="AJ44" i="61"/>
  <c r="Y44" i="61"/>
  <c r="AD44" i="61" s="1"/>
  <c r="V44" i="61"/>
  <c r="AJ43" i="61"/>
  <c r="Y43" i="61"/>
  <c r="AD43" i="61" s="1"/>
  <c r="V43" i="61"/>
  <c r="AJ42" i="61"/>
  <c r="Y42" i="61"/>
  <c r="AD42" i="61" s="1"/>
  <c r="V42" i="61"/>
  <c r="AJ41" i="61"/>
  <c r="Y41" i="61"/>
  <c r="AD41" i="61" s="1"/>
  <c r="V41" i="61"/>
  <c r="AJ40" i="61"/>
  <c r="Y40" i="61"/>
  <c r="V40" i="61"/>
  <c r="AJ39" i="61"/>
  <c r="Y39" i="61"/>
  <c r="V39" i="61"/>
  <c r="AJ38" i="61"/>
  <c r="Y38" i="61"/>
  <c r="AD38" i="61" s="1"/>
  <c r="V38" i="61"/>
  <c r="I148" i="61"/>
  <c r="I46" i="61"/>
  <c r="I54" i="61"/>
  <c r="I74" i="61"/>
  <c r="I56" i="61"/>
  <c r="I112" i="61"/>
  <c r="I40" i="61"/>
  <c r="I149" i="61"/>
  <c r="I162" i="61"/>
  <c r="I44" i="61"/>
  <c r="I82" i="61"/>
  <c r="I129" i="61"/>
  <c r="I101" i="61"/>
  <c r="I140" i="61"/>
  <c r="I144" i="61"/>
  <c r="I131" i="61"/>
  <c r="I132" i="61"/>
  <c r="I66" i="61"/>
  <c r="I159" i="61"/>
  <c r="I39" i="61"/>
  <c r="I135" i="61"/>
  <c r="I114" i="61"/>
  <c r="I53" i="61"/>
  <c r="I137" i="61"/>
  <c r="I87" i="61"/>
  <c r="I121" i="61"/>
  <c r="I120" i="61"/>
  <c r="I100" i="61"/>
  <c r="I75" i="61"/>
  <c r="I152" i="61"/>
  <c r="I113" i="61"/>
  <c r="I90" i="61"/>
  <c r="I65" i="61"/>
  <c r="I43" i="61"/>
  <c r="I89" i="61"/>
  <c r="I95" i="61"/>
  <c r="I64" i="61"/>
  <c r="I38" i="61"/>
  <c r="I80" i="61"/>
  <c r="I108" i="61"/>
  <c r="I133" i="61"/>
  <c r="I153" i="61"/>
  <c r="I57" i="61"/>
  <c r="I141" i="61"/>
  <c r="I138" i="61"/>
  <c r="I62" i="61"/>
  <c r="I156" i="61"/>
  <c r="I151" i="61"/>
  <c r="I72" i="61"/>
  <c r="I59" i="61"/>
  <c r="I84" i="61"/>
  <c r="I91" i="61"/>
  <c r="I143" i="61"/>
  <c r="I158" i="61"/>
  <c r="I88" i="61"/>
  <c r="I78" i="61"/>
  <c r="I142" i="61"/>
  <c r="I102" i="61"/>
  <c r="I58" i="61"/>
  <c r="I118" i="61"/>
  <c r="I150" i="61"/>
  <c r="I103" i="61"/>
  <c r="I107" i="61"/>
  <c r="I154" i="61"/>
  <c r="I79" i="61"/>
  <c r="I155" i="61"/>
  <c r="I73" i="61"/>
  <c r="I92" i="61"/>
  <c r="I41" i="61"/>
  <c r="I61" i="61"/>
  <c r="I69" i="61"/>
  <c r="I71" i="61"/>
  <c r="I55" i="61"/>
  <c r="I147" i="61"/>
  <c r="I163" i="61"/>
  <c r="I96" i="61"/>
  <c r="I117" i="61"/>
  <c r="I106" i="61"/>
  <c r="I97" i="61"/>
  <c r="I104" i="61"/>
  <c r="I109" i="61"/>
  <c r="I157" i="61"/>
  <c r="I48" i="61"/>
  <c r="I130" i="61"/>
  <c r="I49" i="61"/>
  <c r="I63" i="61"/>
  <c r="I68" i="61"/>
  <c r="I98" i="61"/>
  <c r="I116" i="61"/>
  <c r="I94" i="61"/>
  <c r="I99" i="61"/>
  <c r="I122" i="61"/>
  <c r="I146" i="61"/>
  <c r="I83" i="61"/>
  <c r="I77" i="61"/>
  <c r="I145" i="61"/>
  <c r="I86" i="61"/>
  <c r="I51" i="61"/>
  <c r="I136" i="61"/>
  <c r="I76" i="61"/>
  <c r="I45" i="61"/>
  <c r="I160" i="61"/>
  <c r="I123" i="61"/>
  <c r="I50" i="61"/>
  <c r="I125" i="61"/>
  <c r="I127" i="61"/>
  <c r="I124" i="61"/>
  <c r="I115" i="61"/>
  <c r="I52" i="61"/>
  <c r="I139" i="61"/>
  <c r="I70" i="61"/>
  <c r="I119" i="61"/>
  <c r="I128" i="61"/>
  <c r="I111" i="61"/>
  <c r="I67" i="61"/>
  <c r="I47" i="61"/>
  <c r="I134" i="61"/>
  <c r="I105" i="61"/>
  <c r="I42" i="61"/>
  <c r="I81" i="61"/>
  <c r="I110" i="61"/>
  <c r="I161" i="61"/>
  <c r="I93" i="61"/>
  <c r="I60" i="61"/>
  <c r="I126" i="61"/>
  <c r="I85" i="61"/>
  <c r="AB37" i="61" l="1"/>
  <c r="AC37" i="61" s="1"/>
  <c r="BB110" i="61"/>
  <c r="BB159" i="61"/>
  <c r="BB107" i="61"/>
  <c r="BB53" i="61"/>
  <c r="BB143" i="61"/>
  <c r="BB39" i="61"/>
  <c r="BB57" i="61"/>
  <c r="BB139" i="61"/>
  <c r="BB126" i="61"/>
  <c r="BB117" i="61"/>
  <c r="BB152" i="61"/>
  <c r="BB155" i="61"/>
  <c r="BB24" i="61"/>
  <c r="BB121" i="61"/>
  <c r="BB136" i="61"/>
  <c r="BB122" i="61"/>
  <c r="BB60" i="61"/>
  <c r="BB142" i="61"/>
  <c r="BB135" i="61"/>
  <c r="BB119" i="61"/>
  <c r="BB114" i="61"/>
  <c r="BB115" i="61"/>
  <c r="BB137" i="61"/>
  <c r="BB138" i="61"/>
  <c r="BB158" i="61"/>
  <c r="BB113" i="61"/>
  <c r="BB130" i="61"/>
  <c r="BB131" i="61"/>
  <c r="BB153" i="61"/>
  <c r="BB55" i="61"/>
  <c r="BB154" i="61"/>
  <c r="BB129" i="61"/>
  <c r="BB150" i="61"/>
  <c r="BB25" i="61"/>
  <c r="BB23" i="61"/>
  <c r="BB157" i="61"/>
  <c r="BB111" i="61"/>
  <c r="BB40" i="61"/>
  <c r="BB59" i="61"/>
  <c r="BB156" i="61"/>
  <c r="BB127" i="61"/>
  <c r="BB56" i="61"/>
  <c r="CA56" i="61"/>
  <c r="CA152" i="61"/>
  <c r="CM44" i="61"/>
  <c r="CL152" i="61"/>
  <c r="CM152" i="61" s="1"/>
  <c r="CA116" i="61"/>
  <c r="CM92" i="61"/>
  <c r="CA68" i="61"/>
  <c r="CA80" i="61"/>
  <c r="CA44" i="61"/>
  <c r="CA128" i="61"/>
  <c r="CA104" i="61"/>
  <c r="CL128" i="61"/>
  <c r="CM128" i="61" s="1"/>
  <c r="CM104" i="61"/>
  <c r="CA140" i="61"/>
  <c r="CA92" i="61"/>
  <c r="CK56" i="61"/>
  <c r="CM56" i="61" s="1"/>
  <c r="CL116" i="61"/>
  <c r="CM116" i="61" s="1"/>
  <c r="J157" i="61"/>
  <c r="J161" i="61"/>
  <c r="J154" i="61"/>
  <c r="J163" i="61"/>
  <c r="J156" i="61"/>
  <c r="J159" i="61"/>
  <c r="J158" i="61"/>
  <c r="J160" i="61"/>
  <c r="J153" i="61"/>
  <c r="J152" i="61"/>
  <c r="J162" i="61"/>
  <c r="J155" i="61"/>
  <c r="AD154" i="61"/>
  <c r="AD163" i="61"/>
  <c r="J145" i="61"/>
  <c r="J147" i="61"/>
  <c r="J149" i="61"/>
  <c r="J142" i="61"/>
  <c r="J151" i="61"/>
  <c r="J144" i="61"/>
  <c r="J146" i="61"/>
  <c r="J148" i="61"/>
  <c r="J141" i="61"/>
  <c r="J140" i="61"/>
  <c r="J150" i="61"/>
  <c r="J143" i="61"/>
  <c r="CK140" i="61"/>
  <c r="CM140" i="61" s="1"/>
  <c r="AD147" i="61"/>
  <c r="AD151" i="61"/>
  <c r="J133" i="61"/>
  <c r="J137" i="61"/>
  <c r="J130" i="61"/>
  <c r="J139" i="61"/>
  <c r="J132" i="61"/>
  <c r="J134" i="61"/>
  <c r="J136" i="61"/>
  <c r="J129" i="61"/>
  <c r="J128" i="61"/>
  <c r="J138" i="61"/>
  <c r="J135" i="61"/>
  <c r="J131" i="61"/>
  <c r="AD135" i="61"/>
  <c r="AD139" i="61"/>
  <c r="J121" i="61"/>
  <c r="J123" i="61"/>
  <c r="J125" i="61"/>
  <c r="J118" i="61"/>
  <c r="J127" i="61"/>
  <c r="J120" i="61"/>
  <c r="J122" i="61"/>
  <c r="J124" i="61"/>
  <c r="J117" i="61"/>
  <c r="J116" i="61"/>
  <c r="J126" i="61"/>
  <c r="J119" i="61"/>
  <c r="AD123" i="61"/>
  <c r="AD125" i="61"/>
  <c r="J109" i="61"/>
  <c r="J111" i="61"/>
  <c r="J113" i="61"/>
  <c r="J106" i="61"/>
  <c r="J115" i="61"/>
  <c r="J108" i="61"/>
  <c r="J110" i="61"/>
  <c r="J112" i="61"/>
  <c r="J105" i="61"/>
  <c r="J104" i="61"/>
  <c r="J114" i="61"/>
  <c r="J107" i="61"/>
  <c r="AD111" i="61"/>
  <c r="AD115" i="61"/>
  <c r="AD108" i="61"/>
  <c r="J97" i="61"/>
  <c r="J99" i="61"/>
  <c r="J101" i="61"/>
  <c r="J94" i="61"/>
  <c r="J103" i="61"/>
  <c r="J96" i="61"/>
  <c r="J98" i="61"/>
  <c r="J100" i="61"/>
  <c r="J93" i="61"/>
  <c r="J92" i="61"/>
  <c r="J102" i="61"/>
  <c r="J95" i="61"/>
  <c r="AD99" i="61"/>
  <c r="AD101" i="61"/>
  <c r="AD103" i="61"/>
  <c r="AD96" i="61"/>
  <c r="J85" i="61"/>
  <c r="J87" i="61"/>
  <c r="J89" i="61"/>
  <c r="J82" i="61"/>
  <c r="J91" i="61"/>
  <c r="J84" i="61"/>
  <c r="J86" i="61"/>
  <c r="J88" i="61"/>
  <c r="J81" i="61"/>
  <c r="J80" i="61"/>
  <c r="J90" i="61"/>
  <c r="J83" i="61"/>
  <c r="CK80" i="61"/>
  <c r="CM80" i="61" s="1"/>
  <c r="AD87" i="61"/>
  <c r="AD89" i="61"/>
  <c r="AD91" i="61"/>
  <c r="J63" i="61"/>
  <c r="J73" i="61"/>
  <c r="J65" i="61"/>
  <c r="J75" i="61"/>
  <c r="J58" i="61"/>
  <c r="J67" i="61"/>
  <c r="J77" i="61"/>
  <c r="J60" i="61"/>
  <c r="J70" i="61"/>
  <c r="J79" i="61"/>
  <c r="J62" i="61"/>
  <c r="J72" i="61"/>
  <c r="J64" i="61"/>
  <c r="J74" i="61"/>
  <c r="J57" i="61"/>
  <c r="J66" i="61"/>
  <c r="J76" i="61"/>
  <c r="J59" i="61"/>
  <c r="J69" i="61"/>
  <c r="J68" i="61"/>
  <c r="J78" i="61"/>
  <c r="J56" i="61"/>
  <c r="J61" i="61"/>
  <c r="J71" i="61"/>
  <c r="CK68" i="61"/>
  <c r="CM68" i="61" s="1"/>
  <c r="AD75" i="61"/>
  <c r="AD79" i="61"/>
  <c r="J51" i="61"/>
  <c r="J49" i="61"/>
  <c r="J53" i="61"/>
  <c r="J46" i="61"/>
  <c r="J55" i="61"/>
  <c r="J48" i="61"/>
  <c r="J50" i="61"/>
  <c r="J52" i="61"/>
  <c r="J45" i="61"/>
  <c r="J44" i="61"/>
  <c r="J54" i="61"/>
  <c r="J47" i="61"/>
  <c r="AD53" i="61"/>
  <c r="AD55" i="61"/>
  <c r="AD48" i="61"/>
  <c r="J43" i="61"/>
  <c r="J41" i="61"/>
  <c r="J38" i="61"/>
  <c r="J42" i="61"/>
  <c r="J40" i="61"/>
  <c r="J39" i="61"/>
  <c r="AD39" i="61"/>
  <c r="AD40" i="61"/>
  <c r="BO159" i="61" l="1"/>
  <c r="AY159" i="61"/>
  <c r="BN159" i="61"/>
  <c r="BM159" i="61"/>
  <c r="BL159" i="61"/>
  <c r="AY49" i="61"/>
  <c r="BN49" i="61"/>
  <c r="BO49" i="61"/>
  <c r="BL49" i="61"/>
  <c r="BM49" i="61"/>
  <c r="AY146" i="61"/>
  <c r="BN146" i="61"/>
  <c r="BL146" i="61"/>
  <c r="BM146" i="61"/>
  <c r="BO146" i="61"/>
  <c r="BL51" i="61"/>
  <c r="AY51" i="61"/>
  <c r="BM51" i="61"/>
  <c r="BN51" i="61"/>
  <c r="BO51" i="61"/>
  <c r="AY39" i="61"/>
  <c r="BN39" i="61"/>
  <c r="BO39" i="61"/>
  <c r="BM39" i="61"/>
  <c r="BL39" i="61"/>
  <c r="BL54" i="61"/>
  <c r="BN54" i="61"/>
  <c r="AY54" i="61"/>
  <c r="BO54" i="61"/>
  <c r="BM54" i="61"/>
  <c r="BL56" i="61"/>
  <c r="BM56" i="61"/>
  <c r="AY56" i="61"/>
  <c r="BO56" i="61"/>
  <c r="BN56" i="61"/>
  <c r="BL67" i="61"/>
  <c r="AY67" i="61"/>
  <c r="BM67" i="61"/>
  <c r="BO67" i="61"/>
  <c r="BN67" i="61"/>
  <c r="AY84" i="61"/>
  <c r="BO84" i="61"/>
  <c r="BN84" i="61"/>
  <c r="BL84" i="61"/>
  <c r="BM84" i="61"/>
  <c r="BO96" i="61"/>
  <c r="AY96" i="61"/>
  <c r="BN96" i="61"/>
  <c r="BL96" i="61"/>
  <c r="BM96" i="61"/>
  <c r="AY115" i="61"/>
  <c r="BN115" i="61"/>
  <c r="BL115" i="61"/>
  <c r="BO115" i="61"/>
  <c r="BM115" i="61"/>
  <c r="BL125" i="61"/>
  <c r="AY125" i="61"/>
  <c r="BO125" i="61"/>
  <c r="BN125" i="61"/>
  <c r="BM125" i="61"/>
  <c r="BL133" i="61"/>
  <c r="AY133" i="61"/>
  <c r="BN133" i="61"/>
  <c r="BO133" i="61"/>
  <c r="BM133" i="61"/>
  <c r="BN91" i="61"/>
  <c r="AY91" i="61"/>
  <c r="BL91" i="61"/>
  <c r="BO91" i="61"/>
  <c r="BM91" i="61"/>
  <c r="BN75" i="61"/>
  <c r="AY75" i="61"/>
  <c r="BL75" i="61"/>
  <c r="BO75" i="61"/>
  <c r="BM75" i="61"/>
  <c r="AY113" i="61"/>
  <c r="BL113" i="61"/>
  <c r="BO113" i="61"/>
  <c r="BN113" i="61"/>
  <c r="BM113" i="61"/>
  <c r="BL40" i="61"/>
  <c r="BM40" i="61"/>
  <c r="BN40" i="61"/>
  <c r="AY40" i="61"/>
  <c r="BO40" i="61"/>
  <c r="BO52" i="61"/>
  <c r="AY52" i="61"/>
  <c r="BL52" i="61"/>
  <c r="BM52" i="61"/>
  <c r="BN52" i="61"/>
  <c r="AY69" i="61"/>
  <c r="BN69" i="61"/>
  <c r="BO69" i="61"/>
  <c r="BM69" i="61"/>
  <c r="BL69" i="61"/>
  <c r="AY65" i="61"/>
  <c r="BO65" i="61"/>
  <c r="BL65" i="61"/>
  <c r="BM65" i="61"/>
  <c r="BN65" i="61"/>
  <c r="BL89" i="61"/>
  <c r="BN89" i="61"/>
  <c r="BO89" i="61"/>
  <c r="BM89" i="61"/>
  <c r="AY89" i="61"/>
  <c r="AY101" i="61"/>
  <c r="BL101" i="61"/>
  <c r="BM101" i="61"/>
  <c r="BN101" i="61"/>
  <c r="BO101" i="61"/>
  <c r="BN111" i="61"/>
  <c r="BM111" i="61"/>
  <c r="BO111" i="61"/>
  <c r="BL111" i="61"/>
  <c r="AY111" i="61"/>
  <c r="AY162" i="61"/>
  <c r="BM162" i="61"/>
  <c r="BO162" i="61"/>
  <c r="BL162" i="61"/>
  <c r="BN162" i="61"/>
  <c r="BL78" i="61"/>
  <c r="BM78" i="61"/>
  <c r="BO78" i="61"/>
  <c r="BN78" i="61"/>
  <c r="AY78" i="61"/>
  <c r="BL123" i="61"/>
  <c r="BM123" i="61"/>
  <c r="AY123" i="61"/>
  <c r="BO123" i="61"/>
  <c r="BN123" i="61"/>
  <c r="BN45" i="61"/>
  <c r="BL45" i="61"/>
  <c r="BM45" i="61"/>
  <c r="AY45" i="61"/>
  <c r="BO45" i="61"/>
  <c r="BL155" i="61"/>
  <c r="AY155" i="61"/>
  <c r="BM155" i="61"/>
  <c r="BO155" i="61"/>
  <c r="BN155" i="61"/>
  <c r="BN87" i="61"/>
  <c r="BO87" i="61"/>
  <c r="BL87" i="61"/>
  <c r="AY87" i="61"/>
  <c r="BM87" i="61"/>
  <c r="AY42" i="61"/>
  <c r="BL42" i="61"/>
  <c r="BM42" i="61"/>
  <c r="BN42" i="61"/>
  <c r="BO42" i="61"/>
  <c r="BL85" i="61"/>
  <c r="AY85" i="61"/>
  <c r="BM85" i="61"/>
  <c r="BN85" i="61"/>
  <c r="BO85" i="61"/>
  <c r="BO131" i="61"/>
  <c r="BL131" i="61"/>
  <c r="BM131" i="61"/>
  <c r="BN131" i="61"/>
  <c r="AY131" i="61"/>
  <c r="BO150" i="61"/>
  <c r="BL150" i="61"/>
  <c r="BN150" i="61"/>
  <c r="BM150" i="61"/>
  <c r="AY150" i="61"/>
  <c r="BO153" i="61"/>
  <c r="AY153" i="61"/>
  <c r="BN153" i="61"/>
  <c r="BL153" i="61"/>
  <c r="BM153" i="61"/>
  <c r="BL74" i="61"/>
  <c r="AY74" i="61"/>
  <c r="BO74" i="61"/>
  <c r="BM74" i="61"/>
  <c r="BN74" i="61"/>
  <c r="BO44" i="61"/>
  <c r="BM44" i="61"/>
  <c r="AY44" i="61"/>
  <c r="BL44" i="61"/>
  <c r="BN44" i="61"/>
  <c r="BL103" i="61"/>
  <c r="BO103" i="61"/>
  <c r="BM103" i="61"/>
  <c r="BN103" i="61"/>
  <c r="AY103" i="61"/>
  <c r="AY68" i="61"/>
  <c r="BO68" i="61"/>
  <c r="BN68" i="61"/>
  <c r="BM68" i="61"/>
  <c r="BL68" i="61"/>
  <c r="BL94" i="61"/>
  <c r="BM94" i="61"/>
  <c r="BO94" i="61"/>
  <c r="AY94" i="61"/>
  <c r="BN94" i="61"/>
  <c r="BN59" i="61"/>
  <c r="BO59" i="61"/>
  <c r="BM59" i="61"/>
  <c r="BL59" i="61"/>
  <c r="AY59" i="61"/>
  <c r="BN99" i="61"/>
  <c r="BO99" i="61"/>
  <c r="AY99" i="61"/>
  <c r="BM99" i="61"/>
  <c r="BL99" i="61"/>
  <c r="AY152" i="61"/>
  <c r="BO152" i="61"/>
  <c r="BN152" i="61"/>
  <c r="BL152" i="61"/>
  <c r="BM152" i="61"/>
  <c r="AY48" i="61"/>
  <c r="BN48" i="61"/>
  <c r="BM48" i="61"/>
  <c r="BO48" i="61"/>
  <c r="BL48" i="61"/>
  <c r="BM63" i="61"/>
  <c r="BN63" i="61"/>
  <c r="BL63" i="61"/>
  <c r="BO63" i="61"/>
  <c r="AY63" i="61"/>
  <c r="AY55" i="61"/>
  <c r="BN55" i="61"/>
  <c r="BO55" i="61"/>
  <c r="BL55" i="61"/>
  <c r="BM55" i="61"/>
  <c r="AY66" i="61"/>
  <c r="BL66" i="61"/>
  <c r="BO66" i="61"/>
  <c r="BN66" i="61"/>
  <c r="BM66" i="61"/>
  <c r="BO135" i="61"/>
  <c r="BL135" i="61"/>
  <c r="AY135" i="61"/>
  <c r="BM135" i="61"/>
  <c r="BN135" i="61"/>
  <c r="BL140" i="61"/>
  <c r="BN140" i="61"/>
  <c r="AY140" i="61"/>
  <c r="BM140" i="61"/>
  <c r="BO140" i="61"/>
  <c r="AY160" i="61"/>
  <c r="BL160" i="61"/>
  <c r="BO160" i="61"/>
  <c r="BM160" i="61"/>
  <c r="BN160" i="61"/>
  <c r="BM148" i="61"/>
  <c r="BL148" i="61"/>
  <c r="BN148" i="61"/>
  <c r="BO148" i="61"/>
  <c r="AY148" i="61"/>
  <c r="BL58" i="61"/>
  <c r="BM58" i="61"/>
  <c r="AY58" i="61"/>
  <c r="BO58" i="61"/>
  <c r="BN58" i="61"/>
  <c r="BN106" i="61"/>
  <c r="BO106" i="61"/>
  <c r="BL106" i="61"/>
  <c r="BM106" i="61"/>
  <c r="AY106" i="61"/>
  <c r="BL82" i="61"/>
  <c r="BM82" i="61"/>
  <c r="AY82" i="61"/>
  <c r="BO82" i="61"/>
  <c r="BN82" i="61"/>
  <c r="BL121" i="61"/>
  <c r="BM121" i="61"/>
  <c r="BN121" i="61"/>
  <c r="AY121" i="61"/>
  <c r="BO121" i="61"/>
  <c r="BO50" i="61"/>
  <c r="AY50" i="61"/>
  <c r="BN50" i="61"/>
  <c r="BL50" i="61"/>
  <c r="BM50" i="61"/>
  <c r="BM73" i="61"/>
  <c r="AY73" i="61"/>
  <c r="BL73" i="61"/>
  <c r="BN73" i="61"/>
  <c r="BO73" i="61"/>
  <c r="BM109" i="61"/>
  <c r="AY109" i="61"/>
  <c r="BO109" i="61"/>
  <c r="BN109" i="61"/>
  <c r="BL109" i="61"/>
  <c r="BL143" i="61"/>
  <c r="BM143" i="61"/>
  <c r="AY143" i="61"/>
  <c r="BN143" i="61"/>
  <c r="BO143" i="61"/>
  <c r="BN76" i="61"/>
  <c r="BO76" i="61"/>
  <c r="BL76" i="61"/>
  <c r="BM76" i="61"/>
  <c r="AY76" i="61"/>
  <c r="BM97" i="61"/>
  <c r="AY97" i="61"/>
  <c r="BL97" i="61"/>
  <c r="BN97" i="61"/>
  <c r="BO97" i="61"/>
  <c r="BL38" i="61"/>
  <c r="BO38" i="61"/>
  <c r="BM38" i="61"/>
  <c r="BN38" i="61"/>
  <c r="AY38" i="61"/>
  <c r="BM46" i="61"/>
  <c r="BN46" i="61"/>
  <c r="BO46" i="61"/>
  <c r="BL46" i="61"/>
  <c r="AY46" i="61"/>
  <c r="AY57" i="61"/>
  <c r="BM57" i="61"/>
  <c r="BN57" i="61"/>
  <c r="BO57" i="61"/>
  <c r="BL57" i="61"/>
  <c r="BL119" i="61"/>
  <c r="BN119" i="61"/>
  <c r="AY119" i="61"/>
  <c r="BM119" i="61"/>
  <c r="BO119" i="61"/>
  <c r="BO138" i="61"/>
  <c r="BL138" i="61"/>
  <c r="BN138" i="61"/>
  <c r="BM138" i="61"/>
  <c r="AY138" i="61"/>
  <c r="BN141" i="61"/>
  <c r="BO141" i="61"/>
  <c r="BL141" i="61"/>
  <c r="BM141" i="61"/>
  <c r="AY141" i="61"/>
  <c r="AY158" i="61"/>
  <c r="BL158" i="61"/>
  <c r="BO158" i="61"/>
  <c r="BM158" i="61"/>
  <c r="BN158" i="61"/>
  <c r="BO126" i="61"/>
  <c r="BM126" i="61"/>
  <c r="BL126" i="61"/>
  <c r="BN126" i="61"/>
  <c r="AY126" i="61"/>
  <c r="BM107" i="61"/>
  <c r="AY107" i="61"/>
  <c r="BL107" i="61"/>
  <c r="BN107" i="61"/>
  <c r="BO107" i="61"/>
  <c r="AY156" i="61"/>
  <c r="BN156" i="61"/>
  <c r="BO156" i="61"/>
  <c r="BL156" i="61"/>
  <c r="BM156" i="61"/>
  <c r="BM72" i="61"/>
  <c r="BN72" i="61"/>
  <c r="AY72" i="61"/>
  <c r="BL72" i="61"/>
  <c r="BO72" i="61"/>
  <c r="BM114" i="61"/>
  <c r="BN114" i="61"/>
  <c r="AY114" i="61"/>
  <c r="BL114" i="61"/>
  <c r="BO114" i="61"/>
  <c r="BL144" i="61"/>
  <c r="AY144" i="61"/>
  <c r="BM144" i="61"/>
  <c r="BN144" i="61"/>
  <c r="BO144" i="61"/>
  <c r="AY90" i="61"/>
  <c r="BO90" i="61"/>
  <c r="BN90" i="61"/>
  <c r="BL90" i="61"/>
  <c r="BM90" i="61"/>
  <c r="AY124" i="61"/>
  <c r="BM124" i="61"/>
  <c r="BN124" i="61"/>
  <c r="BL124" i="61"/>
  <c r="BO124" i="61"/>
  <c r="BO154" i="61"/>
  <c r="BN154" i="61"/>
  <c r="AY154" i="61"/>
  <c r="BL154" i="61"/>
  <c r="BM154" i="61"/>
  <c r="AY79" i="61"/>
  <c r="BM79" i="61"/>
  <c r="BO79" i="61"/>
  <c r="BL79" i="61"/>
  <c r="BN79" i="61"/>
  <c r="AY105" i="61"/>
  <c r="BL105" i="61"/>
  <c r="BN105" i="61"/>
  <c r="BO105" i="61"/>
  <c r="BM105" i="61"/>
  <c r="BO161" i="61"/>
  <c r="AY161" i="61"/>
  <c r="BL161" i="61"/>
  <c r="BM161" i="61"/>
  <c r="BN161" i="61"/>
  <c r="BL70" i="61"/>
  <c r="BM70" i="61"/>
  <c r="BN70" i="61"/>
  <c r="BO70" i="61"/>
  <c r="AY70" i="61"/>
  <c r="BN81" i="61"/>
  <c r="BL81" i="61"/>
  <c r="AY81" i="61"/>
  <c r="BM81" i="61"/>
  <c r="BO81" i="61"/>
  <c r="BN93" i="61"/>
  <c r="BL93" i="61"/>
  <c r="BM93" i="61"/>
  <c r="BO93" i="61"/>
  <c r="AY93" i="61"/>
  <c r="BM112" i="61"/>
  <c r="BN112" i="61"/>
  <c r="AY112" i="61"/>
  <c r="BL112" i="61"/>
  <c r="BO112" i="61"/>
  <c r="BO120" i="61"/>
  <c r="BL120" i="61"/>
  <c r="AY120" i="61"/>
  <c r="BN120" i="61"/>
  <c r="BM120" i="61"/>
  <c r="BN139" i="61"/>
  <c r="AY139" i="61"/>
  <c r="BM139" i="61"/>
  <c r="BO139" i="61"/>
  <c r="BL139" i="61"/>
  <c r="BM149" i="61"/>
  <c r="BL149" i="61"/>
  <c r="BN149" i="61"/>
  <c r="AY149" i="61"/>
  <c r="BO149" i="61"/>
  <c r="BL157" i="61"/>
  <c r="AY157" i="61"/>
  <c r="BO157" i="61"/>
  <c r="BM157" i="61"/>
  <c r="BN157" i="61"/>
  <c r="BM128" i="61"/>
  <c r="BL128" i="61"/>
  <c r="BO128" i="61"/>
  <c r="AY128" i="61"/>
  <c r="BN128" i="61"/>
  <c r="BN64" i="61"/>
  <c r="BO64" i="61"/>
  <c r="AY64" i="61"/>
  <c r="BL64" i="61"/>
  <c r="BM64" i="61"/>
  <c r="BM116" i="61"/>
  <c r="BL116" i="61"/>
  <c r="BN116" i="61"/>
  <c r="AY116" i="61"/>
  <c r="BO116" i="61"/>
  <c r="BL83" i="61"/>
  <c r="AY83" i="61"/>
  <c r="BM83" i="61"/>
  <c r="BO83" i="61"/>
  <c r="BN83" i="61"/>
  <c r="BM117" i="61"/>
  <c r="BO117" i="61"/>
  <c r="BN117" i="61"/>
  <c r="AY117" i="61"/>
  <c r="BL117" i="61"/>
  <c r="BN136" i="61"/>
  <c r="BL136" i="61"/>
  <c r="BM136" i="61"/>
  <c r="BO136" i="61"/>
  <c r="AY136" i="61"/>
  <c r="BN43" i="61"/>
  <c r="AY43" i="61"/>
  <c r="BL43" i="61"/>
  <c r="BM43" i="61"/>
  <c r="BO43" i="61"/>
  <c r="AY62" i="61"/>
  <c r="BN62" i="61"/>
  <c r="BM62" i="61"/>
  <c r="BO62" i="61"/>
  <c r="BL62" i="61"/>
  <c r="BM104" i="61"/>
  <c r="BN104" i="61"/>
  <c r="BL104" i="61"/>
  <c r="BO104" i="61"/>
  <c r="AY104" i="61"/>
  <c r="BM134" i="61"/>
  <c r="AY134" i="61"/>
  <c r="BO134" i="61"/>
  <c r="BL134" i="61"/>
  <c r="BN134" i="61"/>
  <c r="BM80" i="61"/>
  <c r="AY80" i="61"/>
  <c r="BL80" i="61"/>
  <c r="BN80" i="61"/>
  <c r="BO80" i="61"/>
  <c r="BO122" i="61"/>
  <c r="BM122" i="61"/>
  <c r="AY122" i="61"/>
  <c r="BL122" i="61"/>
  <c r="BN122" i="61"/>
  <c r="AY132" i="61"/>
  <c r="BN132" i="61"/>
  <c r="BO132" i="61"/>
  <c r="BM132" i="61"/>
  <c r="BL132" i="61"/>
  <c r="BO71" i="61"/>
  <c r="BM71" i="61"/>
  <c r="BN71" i="61"/>
  <c r="BL71" i="61"/>
  <c r="AY71" i="61"/>
  <c r="AY60" i="61"/>
  <c r="BN60" i="61"/>
  <c r="BL60" i="61"/>
  <c r="BM60" i="61"/>
  <c r="BO60" i="61"/>
  <c r="AY88" i="61"/>
  <c r="BO88" i="61"/>
  <c r="BM88" i="61"/>
  <c r="BN88" i="61"/>
  <c r="BL88" i="61"/>
  <c r="AY100" i="61"/>
  <c r="BL100" i="61"/>
  <c r="BO100" i="61"/>
  <c r="BM100" i="61"/>
  <c r="BN100" i="61"/>
  <c r="BN110" i="61"/>
  <c r="AY110" i="61"/>
  <c r="BL110" i="61"/>
  <c r="BM110" i="61"/>
  <c r="BO110" i="61"/>
  <c r="BL127" i="61"/>
  <c r="BN127" i="61"/>
  <c r="BO127" i="61"/>
  <c r="AY127" i="61"/>
  <c r="BM127" i="61"/>
  <c r="BO130" i="61"/>
  <c r="AY130" i="61"/>
  <c r="BL130" i="61"/>
  <c r="BM130" i="61"/>
  <c r="BN130" i="61"/>
  <c r="BN147" i="61"/>
  <c r="BO147" i="61"/>
  <c r="AY147" i="61"/>
  <c r="BL147" i="61"/>
  <c r="BM147" i="61"/>
  <c r="BN53" i="61"/>
  <c r="AY53" i="61"/>
  <c r="BM53" i="61"/>
  <c r="BO53" i="61"/>
  <c r="BL53" i="61"/>
  <c r="AY129" i="61"/>
  <c r="BO129" i="61"/>
  <c r="BN129" i="61"/>
  <c r="BL129" i="61"/>
  <c r="BM129" i="61"/>
  <c r="BM41" i="61"/>
  <c r="AY41" i="61"/>
  <c r="BN41" i="61"/>
  <c r="BO41" i="61"/>
  <c r="BL41" i="61"/>
  <c r="BN95" i="61"/>
  <c r="BO95" i="61"/>
  <c r="BM95" i="61"/>
  <c r="BL95" i="61"/>
  <c r="AY95" i="61"/>
  <c r="BM163" i="61"/>
  <c r="BN163" i="61"/>
  <c r="AY163" i="61"/>
  <c r="BL163" i="61"/>
  <c r="BO163" i="61"/>
  <c r="BN102" i="61"/>
  <c r="AY102" i="61"/>
  <c r="BL102" i="61"/>
  <c r="BO102" i="61"/>
  <c r="BM102" i="61"/>
  <c r="BO151" i="61"/>
  <c r="AY151" i="61"/>
  <c r="BL151" i="61"/>
  <c r="BM151" i="61"/>
  <c r="BN151" i="61"/>
  <c r="BN92" i="61"/>
  <c r="BL92" i="61"/>
  <c r="BM92" i="61"/>
  <c r="BO92" i="61"/>
  <c r="AY92" i="61"/>
  <c r="BN142" i="61"/>
  <c r="AY142" i="61"/>
  <c r="BL142" i="61"/>
  <c r="BM142" i="61"/>
  <c r="BO142" i="61"/>
  <c r="BL47" i="61"/>
  <c r="BM47" i="61"/>
  <c r="BO47" i="61"/>
  <c r="BN47" i="61"/>
  <c r="AY47" i="61"/>
  <c r="BL61" i="61"/>
  <c r="BO61" i="61"/>
  <c r="BN61" i="61"/>
  <c r="BM61" i="61"/>
  <c r="AY61" i="61"/>
  <c r="BN77" i="61"/>
  <c r="BM77" i="61"/>
  <c r="BO77" i="61"/>
  <c r="AY77" i="61"/>
  <c r="BL77" i="61"/>
  <c r="BL86" i="61"/>
  <c r="BM86" i="61"/>
  <c r="BN86" i="61"/>
  <c r="BO86" i="61"/>
  <c r="AY86" i="61"/>
  <c r="BM98" i="61"/>
  <c r="BN98" i="61"/>
  <c r="BL98" i="61"/>
  <c r="AY98" i="61"/>
  <c r="BO98" i="61"/>
  <c r="BO108" i="61"/>
  <c r="BL108" i="61"/>
  <c r="BM108" i="61"/>
  <c r="BN108" i="61"/>
  <c r="AY108" i="61"/>
  <c r="BO118" i="61"/>
  <c r="BM118" i="61"/>
  <c r="BN118" i="61"/>
  <c r="BL118" i="61"/>
  <c r="AY118" i="61"/>
  <c r="BO137" i="61"/>
  <c r="BM137" i="61"/>
  <c r="BN137" i="61"/>
  <c r="AY137" i="61"/>
  <c r="BL137" i="61"/>
  <c r="BO145" i="61"/>
  <c r="AY145" i="61"/>
  <c r="BM145" i="61"/>
  <c r="BN145" i="61"/>
  <c r="BL145" i="61"/>
  <c r="I25" i="61"/>
  <c r="I22" i="61"/>
  <c r="J20" i="61" l="1"/>
  <c r="BZ20" i="61"/>
  <c r="CK20" i="61" s="1"/>
  <c r="BY20" i="61"/>
  <c r="CL20" i="61" l="1"/>
  <c r="CF20" i="61"/>
  <c r="AY20" i="61"/>
  <c r="BN20" i="61"/>
  <c r="BO20" i="61"/>
  <c r="BL20" i="61"/>
  <c r="BM20" i="61"/>
  <c r="CA20" i="61"/>
  <c r="CG20" i="61" s="1"/>
  <c r="CE20" i="61" s="1"/>
  <c r="CD20" i="61" l="1"/>
  <c r="CR20" i="61"/>
  <c r="CM20" i="61"/>
  <c r="CS20" i="61" s="1"/>
  <c r="CP20" i="61" s="1"/>
  <c r="AJ22" i="61"/>
  <c r="AJ23" i="61"/>
  <c r="AJ24" i="61"/>
  <c r="AJ25" i="61"/>
  <c r="Y22" i="61"/>
  <c r="AD24" i="61"/>
  <c r="Y25" i="61"/>
  <c r="AD25" i="61" s="1"/>
  <c r="AD23" i="61" l="1"/>
  <c r="CC22" i="61"/>
  <c r="AD22" i="61"/>
  <c r="CC21" i="61"/>
  <c r="AD21" i="61"/>
  <c r="CC20" i="61"/>
  <c r="CQ20" i="61"/>
  <c r="J25" i="61"/>
  <c r="BQ26" i="61" s="1"/>
  <c r="BR26" i="61" s="1"/>
  <c r="J24" i="61"/>
  <c r="J23" i="61"/>
  <c r="J22" i="61"/>
  <c r="J21" i="61"/>
  <c r="AD20" i="61" l="1"/>
  <c r="BL21" i="61"/>
  <c r="BM21" i="61"/>
  <c r="BN21" i="61"/>
  <c r="BO21" i="61"/>
  <c r="AY21" i="61"/>
  <c r="BL25" i="61"/>
  <c r="BM25" i="61"/>
  <c r="AY25" i="61"/>
  <c r="BN25" i="61"/>
  <c r="BO25" i="61"/>
  <c r="AY22" i="61"/>
  <c r="BO22" i="61"/>
  <c r="BL22" i="61"/>
  <c r="BM22" i="61"/>
  <c r="BN22" i="61"/>
  <c r="BN23" i="61"/>
  <c r="BL23" i="61"/>
  <c r="AY23" i="61"/>
  <c r="BM23" i="61"/>
  <c r="BO23" i="61"/>
  <c r="BO24" i="61"/>
  <c r="BL24" i="61"/>
  <c r="BM24" i="61"/>
  <c r="BN24" i="61"/>
  <c r="AY24" i="61"/>
  <c r="V25" i="61" l="1"/>
  <c r="V24" i="61"/>
  <c r="V23" i="61"/>
  <c r="V21" i="61" l="1"/>
  <c r="V22" i="61"/>
  <c r="V20" i="61"/>
  <c r="O7" i="61" l="1"/>
  <c r="K7" i="61"/>
  <c r="H7" i="61"/>
  <c r="S6" i="61"/>
  <c r="O6" i="61"/>
  <c r="K6" i="61"/>
  <c r="H6" i="61"/>
  <c r="K5" i="61"/>
  <c r="O4" i="61"/>
  <c r="K4" i="61"/>
  <c r="BA21" i="61" s="1"/>
  <c r="H4" i="61"/>
  <c r="AA22" i="61" l="1"/>
  <c r="AB22" i="61" s="1"/>
  <c r="AC22" i="61" s="1"/>
  <c r="AA21" i="61"/>
  <c r="AB21" i="61" s="1"/>
  <c r="AC21" i="61" s="1"/>
  <c r="AA20" i="61"/>
  <c r="AB20" i="61" s="1"/>
  <c r="AC20" i="61" s="1"/>
  <c r="AV20" i="61"/>
  <c r="DB20" i="61" s="1"/>
  <c r="BW21" i="61"/>
  <c r="BW22" i="61"/>
  <c r="BQ61" i="61"/>
  <c r="BR61" i="61" s="1"/>
  <c r="BQ148" i="61"/>
  <c r="BR148" i="61" s="1"/>
  <c r="BQ120" i="61"/>
  <c r="BR120" i="61" s="1"/>
  <c r="BQ149" i="61"/>
  <c r="BR149" i="61" s="1"/>
  <c r="BQ115" i="61"/>
  <c r="BR115" i="61" s="1"/>
  <c r="BQ154" i="61"/>
  <c r="BR154" i="61" s="1"/>
  <c r="BQ119" i="61"/>
  <c r="BR119" i="61" s="1"/>
  <c r="BQ161" i="61"/>
  <c r="BR161" i="61" s="1"/>
  <c r="BQ142" i="61"/>
  <c r="BR142" i="61" s="1"/>
  <c r="BQ160" i="61"/>
  <c r="BR160" i="61" s="1"/>
  <c r="BQ108" i="61"/>
  <c r="BR108" i="61" s="1"/>
  <c r="BQ109" i="61"/>
  <c r="BR109" i="61" s="1"/>
  <c r="BQ114" i="61"/>
  <c r="BR114" i="61" s="1"/>
  <c r="BQ60" i="61"/>
  <c r="BR60" i="61" s="1"/>
  <c r="BQ110" i="61"/>
  <c r="BR110" i="61" s="1"/>
  <c r="BQ158" i="61"/>
  <c r="BR158" i="61" s="1"/>
  <c r="BQ40" i="61"/>
  <c r="BR40" i="61" s="1"/>
  <c r="BQ159" i="61"/>
  <c r="BR159" i="61" s="1"/>
  <c r="BQ118" i="61"/>
  <c r="BR118" i="61" s="1"/>
  <c r="BQ112" i="61"/>
  <c r="BR112" i="61" s="1"/>
  <c r="BQ123" i="61"/>
  <c r="BR123" i="61" s="1"/>
  <c r="BQ113" i="61"/>
  <c r="BR113" i="61" s="1"/>
  <c r="BQ111" i="61"/>
  <c r="BR111" i="61" s="1"/>
  <c r="BQ116" i="61"/>
  <c r="BR116" i="61" s="1"/>
  <c r="BQ117" i="61"/>
  <c r="BR117" i="61" s="1"/>
  <c r="BQ122" i="61"/>
  <c r="BR122" i="61" s="1"/>
  <c r="BQ125" i="61"/>
  <c r="BR125" i="61" s="1"/>
  <c r="BQ133" i="61"/>
  <c r="BR133" i="61" s="1"/>
  <c r="BQ121" i="61"/>
  <c r="BR121" i="61" s="1"/>
  <c r="BQ128" i="61"/>
  <c r="BR128" i="61" s="1"/>
  <c r="BQ55" i="61"/>
  <c r="BR55" i="61" s="1"/>
  <c r="BQ127" i="61"/>
  <c r="BR127" i="61" s="1"/>
  <c r="BQ124" i="61"/>
  <c r="BR124" i="61" s="1"/>
  <c r="BQ38" i="61"/>
  <c r="BR38" i="61" s="1"/>
  <c r="BQ137" i="61"/>
  <c r="BR137" i="61" s="1"/>
  <c r="BQ58" i="61"/>
  <c r="BR58" i="61" s="1"/>
  <c r="BQ135" i="61"/>
  <c r="BR135" i="61" s="1"/>
  <c r="BQ62" i="61"/>
  <c r="BR62" i="61" s="1"/>
  <c r="BQ144" i="61"/>
  <c r="BR144" i="61" s="1"/>
  <c r="BQ132" i="61"/>
  <c r="BR132" i="61" s="1"/>
  <c r="BQ56" i="61"/>
  <c r="BR56" i="61" s="1"/>
  <c r="BQ136" i="61"/>
  <c r="BR136" i="61" s="1"/>
  <c r="BQ54" i="61"/>
  <c r="BR54" i="61" s="1"/>
  <c r="BQ126" i="61"/>
  <c r="BR126" i="61" s="1"/>
  <c r="BQ39" i="61"/>
  <c r="BR39" i="61" s="1"/>
  <c r="BQ130" i="61"/>
  <c r="BR130" i="61" s="1"/>
  <c r="BQ145" i="61"/>
  <c r="BR145" i="61" s="1"/>
  <c r="BQ139" i="61"/>
  <c r="BR139" i="61" s="1"/>
  <c r="BQ152" i="61"/>
  <c r="BR152" i="61" s="1"/>
  <c r="BQ138" i="61"/>
  <c r="BR138" i="61" s="1"/>
  <c r="BQ143" i="61"/>
  <c r="BR143" i="61" s="1"/>
  <c r="BQ140" i="61"/>
  <c r="BR140" i="61" s="1"/>
  <c r="BQ141" i="61"/>
  <c r="BR141" i="61" s="1"/>
  <c r="BQ134" i="61"/>
  <c r="BR134" i="61" s="1"/>
  <c r="BQ146" i="61"/>
  <c r="BR146" i="61" s="1"/>
  <c r="BQ157" i="61"/>
  <c r="BR157" i="61" s="1"/>
  <c r="BQ41" i="61"/>
  <c r="BR41" i="61" s="1"/>
  <c r="BQ155" i="61"/>
  <c r="BR155" i="61" s="1"/>
  <c r="BQ162" i="61"/>
  <c r="BR162" i="61" s="1"/>
  <c r="BQ150" i="61"/>
  <c r="BR150" i="61" s="1"/>
  <c r="BQ131" i="61"/>
  <c r="BR131" i="61" s="1"/>
  <c r="BQ153" i="61"/>
  <c r="BR153" i="61" s="1"/>
  <c r="BQ57" i="61"/>
  <c r="BR57" i="61" s="1"/>
  <c r="BQ156" i="61"/>
  <c r="BR156" i="61" s="1"/>
  <c r="BQ129" i="61"/>
  <c r="BR129" i="61" s="1"/>
  <c r="BQ151" i="61"/>
  <c r="BR151" i="61" s="1"/>
  <c r="BQ59" i="61"/>
  <c r="BR59" i="61" s="1"/>
  <c r="BQ163" i="61"/>
  <c r="BR163" i="61" s="1"/>
  <c r="BQ147" i="61"/>
  <c r="BR147" i="61" s="1"/>
  <c r="BQ25" i="61"/>
  <c r="BR25" i="61" s="1"/>
  <c r="BQ24" i="61"/>
  <c r="BR24" i="61" s="1"/>
  <c r="BA40" i="61"/>
  <c r="BA46" i="61"/>
  <c r="BA49" i="61"/>
  <c r="BA57" i="61"/>
  <c r="BA63" i="61"/>
  <c r="BA66" i="61"/>
  <c r="BA90" i="61"/>
  <c r="BA93" i="61"/>
  <c r="BA101" i="61"/>
  <c r="BA115" i="61"/>
  <c r="BA121" i="61"/>
  <c r="BA129" i="61"/>
  <c r="BA143" i="61"/>
  <c r="BA150" i="61"/>
  <c r="BA157" i="61"/>
  <c r="BA163" i="61"/>
  <c r="BA56" i="61"/>
  <c r="BA89" i="61"/>
  <c r="BA103" i="61"/>
  <c r="BA120" i="61"/>
  <c r="BA73" i="61"/>
  <c r="BA24" i="61"/>
  <c r="BA38" i="61"/>
  <c r="BA60" i="61"/>
  <c r="BA74" i="61"/>
  <c r="BA77" i="61"/>
  <c r="BA80" i="61"/>
  <c r="BA85" i="61"/>
  <c r="BA107" i="61"/>
  <c r="BA110" i="61"/>
  <c r="BA113" i="61"/>
  <c r="BA124" i="61"/>
  <c r="BA132" i="61"/>
  <c r="BA140" i="61"/>
  <c r="BA147" i="61"/>
  <c r="BA160" i="61"/>
  <c r="BA53" i="61"/>
  <c r="BA92" i="61"/>
  <c r="BA45" i="61"/>
  <c r="BA84" i="61"/>
  <c r="BA43" i="61"/>
  <c r="BA52" i="61"/>
  <c r="BA55" i="61"/>
  <c r="BA64" i="61"/>
  <c r="BA69" i="61"/>
  <c r="BA88" i="61"/>
  <c r="BA94" i="61"/>
  <c r="BA97" i="61"/>
  <c r="BA99" i="61"/>
  <c r="BA102" i="61"/>
  <c r="BA105" i="61"/>
  <c r="BA116" i="61"/>
  <c r="BA119" i="61"/>
  <c r="BA135" i="61"/>
  <c r="BA138" i="61"/>
  <c r="BA144" i="61"/>
  <c r="BA155" i="61"/>
  <c r="BA65" i="61"/>
  <c r="BA95" i="61"/>
  <c r="BA111" i="61"/>
  <c r="BA149" i="61"/>
  <c r="BA109" i="61"/>
  <c r="BA22" i="61"/>
  <c r="BA41" i="61"/>
  <c r="BA47" i="61"/>
  <c r="BA50" i="61"/>
  <c r="BA58" i="61"/>
  <c r="BA61" i="61"/>
  <c r="BA72" i="61"/>
  <c r="BA83" i="61"/>
  <c r="BA86" i="61"/>
  <c r="BA91" i="61"/>
  <c r="BA108" i="61"/>
  <c r="BA122" i="61"/>
  <c r="BA127" i="61"/>
  <c r="BA130" i="61"/>
  <c r="BA141" i="61"/>
  <c r="BA148" i="61"/>
  <c r="BA151" i="61"/>
  <c r="BA153" i="61"/>
  <c r="BA161" i="61"/>
  <c r="BA62" i="61"/>
  <c r="BA106" i="61"/>
  <c r="BA142" i="61"/>
  <c r="BA48" i="61"/>
  <c r="BA98" i="61"/>
  <c r="BA123" i="61"/>
  <c r="BA25" i="61"/>
  <c r="BA39" i="61"/>
  <c r="BA44" i="61"/>
  <c r="BA67" i="61"/>
  <c r="BA70" i="61"/>
  <c r="BA78" i="61"/>
  <c r="BA81" i="61"/>
  <c r="BA114" i="61"/>
  <c r="BA125" i="61"/>
  <c r="BA133" i="61"/>
  <c r="BA136" i="61"/>
  <c r="BA145" i="61"/>
  <c r="BA158" i="61"/>
  <c r="BA117" i="61"/>
  <c r="BA139" i="61"/>
  <c r="BA162" i="61"/>
  <c r="BA51" i="61"/>
  <c r="BA54" i="61"/>
  <c r="BA59" i="61"/>
  <c r="BA68" i="61"/>
  <c r="BA71" i="61"/>
  <c r="BA76" i="61"/>
  <c r="BA79" i="61"/>
  <c r="BA82" i="61"/>
  <c r="BA96" i="61"/>
  <c r="BA104" i="61"/>
  <c r="BA112" i="61"/>
  <c r="BA118" i="61"/>
  <c r="BA126" i="61"/>
  <c r="BA131" i="61"/>
  <c r="BA137" i="61"/>
  <c r="BA146" i="61"/>
  <c r="BA152" i="61"/>
  <c r="BA154" i="61"/>
  <c r="BA159" i="61"/>
  <c r="BA75" i="61"/>
  <c r="BA100" i="61"/>
  <c r="BA128" i="61"/>
  <c r="BA156" i="61"/>
  <c r="BA23" i="61"/>
  <c r="BA42" i="61"/>
  <c r="BA87" i="61"/>
  <c r="BA134" i="61"/>
  <c r="AX146" i="61"/>
  <c r="BP39" i="61"/>
  <c r="AT39" i="61" s="1"/>
  <c r="BH39" i="61"/>
  <c r="BI56" i="61"/>
  <c r="BP67" i="61"/>
  <c r="AT67" i="61" s="1"/>
  <c r="BP84" i="61"/>
  <c r="AT84" i="61" s="1"/>
  <c r="BH133" i="61"/>
  <c r="BE113" i="61"/>
  <c r="AX52" i="61"/>
  <c r="BP69" i="61"/>
  <c r="AT69" i="61" s="1"/>
  <c r="AX69" i="61"/>
  <c r="BE162" i="61"/>
  <c r="BP78" i="61"/>
  <c r="AT78" i="61" s="1"/>
  <c r="BF123" i="61"/>
  <c r="AX123" i="61"/>
  <c r="BF153" i="61"/>
  <c r="BP74" i="61"/>
  <c r="AT74" i="61" s="1"/>
  <c r="AX44" i="61"/>
  <c r="BP94" i="61"/>
  <c r="AT94" i="61" s="1"/>
  <c r="BF59" i="61"/>
  <c r="BP152" i="61"/>
  <c r="AT152" i="61" s="1"/>
  <c r="BD152" i="61"/>
  <c r="BG152" i="61" s="1"/>
  <c r="AX135" i="61"/>
  <c r="BE58" i="61"/>
  <c r="AX106" i="61"/>
  <c r="BF159" i="61"/>
  <c r="AX51" i="61"/>
  <c r="BI39" i="61"/>
  <c r="BH56" i="61"/>
  <c r="BP115" i="61"/>
  <c r="AT115" i="61" s="1"/>
  <c r="BP125" i="61"/>
  <c r="AT125" i="61" s="1"/>
  <c r="BF133" i="61"/>
  <c r="BE133" i="61"/>
  <c r="BP91" i="61"/>
  <c r="AT91" i="61" s="1"/>
  <c r="BF113" i="61"/>
  <c r="AX40" i="61"/>
  <c r="AX89" i="61"/>
  <c r="BP111" i="61"/>
  <c r="AT111" i="61" s="1"/>
  <c r="BF162" i="61"/>
  <c r="BH123" i="61"/>
  <c r="AX155" i="61"/>
  <c r="BP85" i="61"/>
  <c r="AT85" i="61" s="1"/>
  <c r="BD150" i="61"/>
  <c r="BG150" i="61" s="1"/>
  <c r="BE153" i="61"/>
  <c r="AX74" i="61"/>
  <c r="BF152" i="61"/>
  <c r="AX63" i="61"/>
  <c r="BP55" i="61"/>
  <c r="AT55" i="61" s="1"/>
  <c r="AX55" i="61"/>
  <c r="BD140" i="61"/>
  <c r="BG140" i="61" s="1"/>
  <c r="BF140" i="61"/>
  <c r="BE160" i="61"/>
  <c r="BF148" i="61"/>
  <c r="BH58" i="61"/>
  <c r="BI159" i="61"/>
  <c r="BI54" i="61"/>
  <c r="BF56" i="61"/>
  <c r="AX115" i="61"/>
  <c r="BH125" i="61"/>
  <c r="BI133" i="61"/>
  <c r="BI113" i="61"/>
  <c r="BP52" i="61"/>
  <c r="AT52" i="61" s="1"/>
  <c r="BF111" i="61"/>
  <c r="BD162" i="61"/>
  <c r="BG162" i="61" s="1"/>
  <c r="AX78" i="61"/>
  <c r="BD123" i="61"/>
  <c r="BG123" i="61" s="1"/>
  <c r="BD155" i="61"/>
  <c r="BG155" i="61" s="1"/>
  <c r="BE150" i="61"/>
  <c r="BP153" i="61"/>
  <c r="AT153" i="61" s="1"/>
  <c r="AX94" i="61"/>
  <c r="BP99" i="61"/>
  <c r="AT99" i="61" s="1"/>
  <c r="BP48" i="61"/>
  <c r="AT48" i="61" s="1"/>
  <c r="BI55" i="61"/>
  <c r="BI140" i="61"/>
  <c r="BH148" i="61"/>
  <c r="BH159" i="61"/>
  <c r="BI146" i="61"/>
  <c r="AX56" i="61"/>
  <c r="BD56" i="61"/>
  <c r="BD115" i="61"/>
  <c r="BG115" i="61" s="1"/>
  <c r="BI125" i="61"/>
  <c r="BE125" i="61"/>
  <c r="BP133" i="61"/>
  <c r="AT133" i="61" s="1"/>
  <c r="BE40" i="61"/>
  <c r="BD111" i="61"/>
  <c r="BG111" i="61" s="1"/>
  <c r="BH111" i="61"/>
  <c r="BP123" i="61"/>
  <c r="AT123" i="61" s="1"/>
  <c r="BE123" i="61"/>
  <c r="BI155" i="61"/>
  <c r="BP42" i="61"/>
  <c r="AT42" i="61" s="1"/>
  <c r="BI131" i="61"/>
  <c r="AX150" i="61"/>
  <c r="BF150" i="61"/>
  <c r="AX153" i="61"/>
  <c r="BP44" i="61"/>
  <c r="AT44" i="61" s="1"/>
  <c r="AX68" i="61"/>
  <c r="AX48" i="61"/>
  <c r="BE55" i="61"/>
  <c r="BD135" i="61"/>
  <c r="BG135" i="61" s="1"/>
  <c r="BD160" i="61"/>
  <c r="BG160" i="61" s="1"/>
  <c r="BP148" i="61"/>
  <c r="AT148" i="61" s="1"/>
  <c r="BF58" i="61"/>
  <c r="BP159" i="61"/>
  <c r="AT159" i="61" s="1"/>
  <c r="BE159" i="61"/>
  <c r="BH146" i="61"/>
  <c r="BP51" i="61"/>
  <c r="AT51" i="61" s="1"/>
  <c r="AX39" i="61"/>
  <c r="AX54" i="61"/>
  <c r="BP54" i="61"/>
  <c r="AT54" i="61" s="1"/>
  <c r="BE115" i="61"/>
  <c r="BD113" i="61"/>
  <c r="BG113" i="61" s="1"/>
  <c r="BP40" i="61"/>
  <c r="AT40" i="61" s="1"/>
  <c r="BI40" i="61"/>
  <c r="BI111" i="61"/>
  <c r="BI123" i="61"/>
  <c r="BE155" i="61"/>
  <c r="AX42" i="61"/>
  <c r="BD131" i="61"/>
  <c r="BG131" i="61" s="1"/>
  <c r="BI150" i="61"/>
  <c r="AX152" i="61"/>
  <c r="BF55" i="61"/>
  <c r="BP66" i="61"/>
  <c r="AT66" i="61" s="1"/>
  <c r="BP140" i="61"/>
  <c r="AT140" i="61" s="1"/>
  <c r="BH140" i="61"/>
  <c r="AX148" i="61"/>
  <c r="BD159" i="61"/>
  <c r="BG159" i="61" s="1"/>
  <c r="BP146" i="61"/>
  <c r="AT146" i="61" s="1"/>
  <c r="BD146" i="61"/>
  <c r="BG146" i="61" s="1"/>
  <c r="BF39" i="61"/>
  <c r="BH54" i="61"/>
  <c r="BF54" i="61"/>
  <c r="BF115" i="61"/>
  <c r="BD125" i="61"/>
  <c r="BG125" i="61" s="1"/>
  <c r="AX91" i="61"/>
  <c r="BH113" i="61"/>
  <c r="BH40" i="61"/>
  <c r="AX65" i="61"/>
  <c r="AX101" i="61"/>
  <c r="AX111" i="61"/>
  <c r="BE111" i="61"/>
  <c r="BP45" i="61"/>
  <c r="AT45" i="61" s="1"/>
  <c r="BP155" i="61"/>
  <c r="AT155" i="61" s="1"/>
  <c r="BP87" i="61"/>
  <c r="AT87" i="61" s="1"/>
  <c r="AX85" i="61"/>
  <c r="AX131" i="61"/>
  <c r="BE131" i="61"/>
  <c r="BH150" i="61"/>
  <c r="BH153" i="61"/>
  <c r="BP103" i="61"/>
  <c r="AT103" i="61" s="1"/>
  <c r="BP59" i="61"/>
  <c r="AT59" i="61" s="1"/>
  <c r="BD59" i="61"/>
  <c r="BH152" i="61"/>
  <c r="BP63" i="61"/>
  <c r="AT63" i="61" s="1"/>
  <c r="BD55" i="61"/>
  <c r="BH55" i="61"/>
  <c r="BF135" i="61"/>
  <c r="BI135" i="61"/>
  <c r="BI160" i="61"/>
  <c r="BE148" i="61"/>
  <c r="BP58" i="61"/>
  <c r="AT58" i="61" s="1"/>
  <c r="BP106" i="61"/>
  <c r="AT106" i="61" s="1"/>
  <c r="AX159" i="61"/>
  <c r="AX49" i="61"/>
  <c r="BE146" i="61"/>
  <c r="BE39" i="61"/>
  <c r="BD54" i="61"/>
  <c r="BE56" i="61"/>
  <c r="BP56" i="61"/>
  <c r="AT56" i="61" s="1"/>
  <c r="AX84" i="61"/>
  <c r="BP96" i="61"/>
  <c r="AT96" i="61" s="1"/>
  <c r="BH115" i="61"/>
  <c r="AX125" i="61"/>
  <c r="BD133" i="61"/>
  <c r="BG133" i="61" s="1"/>
  <c r="AX75" i="61"/>
  <c r="AX113" i="61"/>
  <c r="BD40" i="61"/>
  <c r="BP89" i="61"/>
  <c r="AT89" i="61" s="1"/>
  <c r="AX162" i="61"/>
  <c r="BH162" i="61"/>
  <c r="BF155" i="61"/>
  <c r="BP131" i="61"/>
  <c r="AT131" i="61" s="1"/>
  <c r="BF131" i="61"/>
  <c r="BP150" i="61"/>
  <c r="AT150" i="61" s="1"/>
  <c r="BD153" i="61"/>
  <c r="BG153" i="61" s="1"/>
  <c r="BH59" i="61"/>
  <c r="BI59" i="61"/>
  <c r="AX99" i="61"/>
  <c r="BE152" i="61"/>
  <c r="AX66" i="61"/>
  <c r="BP135" i="61"/>
  <c r="AT135" i="61" s="1"/>
  <c r="BH135" i="61"/>
  <c r="BE140" i="61"/>
  <c r="AX160" i="61"/>
  <c r="BH160" i="61"/>
  <c r="BD148" i="61"/>
  <c r="BG148" i="61" s="1"/>
  <c r="BI58" i="61"/>
  <c r="AX58" i="61"/>
  <c r="BF146" i="61"/>
  <c r="AX96" i="61"/>
  <c r="AX103" i="61"/>
  <c r="BE135" i="61"/>
  <c r="BH109" i="61"/>
  <c r="BD143" i="61"/>
  <c r="BG143" i="61" s="1"/>
  <c r="AX97" i="61"/>
  <c r="BF38" i="61"/>
  <c r="AX46" i="61"/>
  <c r="BE57" i="61"/>
  <c r="BP119" i="61"/>
  <c r="AT119" i="61" s="1"/>
  <c r="BD138" i="61"/>
  <c r="BG138" i="61" s="1"/>
  <c r="BF141" i="61"/>
  <c r="BE126" i="61"/>
  <c r="BF156" i="61"/>
  <c r="BE114" i="61"/>
  <c r="AX124" i="61"/>
  <c r="BD124" i="61"/>
  <c r="BG124" i="61" s="1"/>
  <c r="BD154" i="61"/>
  <c r="BG154" i="61" s="1"/>
  <c r="BE154" i="61"/>
  <c r="BD161" i="61"/>
  <c r="BG161" i="61" s="1"/>
  <c r="AX70" i="61"/>
  <c r="BH112" i="61"/>
  <c r="BD120" i="61"/>
  <c r="BG120" i="61" s="1"/>
  <c r="BD149" i="61"/>
  <c r="BG149" i="61" s="1"/>
  <c r="AX157" i="61"/>
  <c r="AX128" i="61"/>
  <c r="BF128" i="61"/>
  <c r="BP117" i="61"/>
  <c r="AT117" i="61" s="1"/>
  <c r="BE117" i="61"/>
  <c r="BP136" i="61"/>
  <c r="AT136" i="61" s="1"/>
  <c r="AX134" i="61"/>
  <c r="BF134" i="61"/>
  <c r="BH132" i="61"/>
  <c r="BH110" i="61"/>
  <c r="AX127" i="61"/>
  <c r="AX130" i="61"/>
  <c r="BE130" i="61"/>
  <c r="BF147" i="61"/>
  <c r="BI129" i="61"/>
  <c r="AX95" i="61"/>
  <c r="BE163" i="61"/>
  <c r="BP77" i="61"/>
  <c r="AT77" i="61" s="1"/>
  <c r="BE54" i="61"/>
  <c r="BF125" i="61"/>
  <c r="BH131" i="61"/>
  <c r="BE59" i="61"/>
  <c r="BD58" i="61"/>
  <c r="BE121" i="61"/>
  <c r="BF109" i="61"/>
  <c r="BI143" i="61"/>
  <c r="AX38" i="61"/>
  <c r="BF57" i="61"/>
  <c r="BE138" i="61"/>
  <c r="BI141" i="61"/>
  <c r="BF126" i="61"/>
  <c r="BI156" i="61"/>
  <c r="BH114" i="61"/>
  <c r="AX144" i="61"/>
  <c r="BP90" i="61"/>
  <c r="AT90" i="61" s="1"/>
  <c r="AX79" i="61"/>
  <c r="BP105" i="61"/>
  <c r="AT105" i="61" s="1"/>
  <c r="BI161" i="61"/>
  <c r="BF112" i="61"/>
  <c r="BD139" i="61"/>
  <c r="BG139" i="61" s="1"/>
  <c r="BF149" i="61"/>
  <c r="BI157" i="61"/>
  <c r="BP128" i="61"/>
  <c r="AT128" i="61" s="1"/>
  <c r="BE128" i="61"/>
  <c r="BD117" i="61"/>
  <c r="BG117" i="61" s="1"/>
  <c r="BH134" i="61"/>
  <c r="BE134" i="61"/>
  <c r="BP80" i="61"/>
  <c r="AT80" i="61" s="1"/>
  <c r="BE122" i="61"/>
  <c r="BF132" i="61"/>
  <c r="BD60" i="61"/>
  <c r="BP88" i="61"/>
  <c r="AT88" i="61" s="1"/>
  <c r="BP110" i="61"/>
  <c r="AT110" i="61" s="1"/>
  <c r="BE110" i="61"/>
  <c r="BD53" i="61"/>
  <c r="BH129" i="61"/>
  <c r="BD129" i="61"/>
  <c r="BG129" i="61" s="1"/>
  <c r="BP41" i="61"/>
  <c r="AT41" i="61" s="1"/>
  <c r="BI163" i="61"/>
  <c r="BD163" i="61"/>
  <c r="BG163" i="61" s="1"/>
  <c r="BP102" i="61"/>
  <c r="AT102" i="61" s="1"/>
  <c r="BE151" i="61"/>
  <c r="BP142" i="61"/>
  <c r="AT142" i="61" s="1"/>
  <c r="BP47" i="61"/>
  <c r="AT47" i="61" s="1"/>
  <c r="BP61" i="61"/>
  <c r="AT61" i="61" s="1"/>
  <c r="BP75" i="61"/>
  <c r="AT75" i="61" s="1"/>
  <c r="BI162" i="61"/>
  <c r="AX45" i="61"/>
  <c r="BH155" i="61"/>
  <c r="BI121" i="61"/>
  <c r="BP73" i="61"/>
  <c r="AT73" i="61" s="1"/>
  <c r="AX109" i="61"/>
  <c r="BP76" i="61"/>
  <c r="AT76" i="61" s="1"/>
  <c r="BD38" i="61"/>
  <c r="BD57" i="61"/>
  <c r="AX119" i="61"/>
  <c r="BF138" i="61"/>
  <c r="BH126" i="61"/>
  <c r="BP107" i="61"/>
  <c r="AT107" i="61" s="1"/>
  <c r="BF107" i="61"/>
  <c r="BH156" i="61"/>
  <c r="BP72" i="61"/>
  <c r="AT72" i="61" s="1"/>
  <c r="BE124" i="61"/>
  <c r="BP154" i="61"/>
  <c r="AT154" i="61" s="1"/>
  <c r="BP70" i="61"/>
  <c r="AT70" i="61" s="1"/>
  <c r="BD112" i="61"/>
  <c r="BG112" i="61" s="1"/>
  <c r="BI139" i="61"/>
  <c r="BP149" i="61"/>
  <c r="AT149" i="61" s="1"/>
  <c r="BE149" i="61"/>
  <c r="BI128" i="61"/>
  <c r="BF117" i="61"/>
  <c r="AX136" i="61"/>
  <c r="BD136" i="61"/>
  <c r="BG136" i="61" s="1"/>
  <c r="BP43" i="61"/>
  <c r="AT43" i="61" s="1"/>
  <c r="BP122" i="61"/>
  <c r="AT122" i="61" s="1"/>
  <c r="BF122" i="61"/>
  <c r="BP71" i="61"/>
  <c r="AT71" i="61" s="1"/>
  <c r="BF60" i="61"/>
  <c r="BH60" i="61"/>
  <c r="BI127" i="61"/>
  <c r="AX147" i="61"/>
  <c r="BP53" i="61"/>
  <c r="AT53" i="61" s="1"/>
  <c r="AX53" i="61"/>
  <c r="BF129" i="61"/>
  <c r="BP151" i="61"/>
  <c r="AT151" i="61" s="1"/>
  <c r="AX142" i="61"/>
  <c r="AX47" i="61"/>
  <c r="BD61" i="61"/>
  <c r="BP49" i="61"/>
  <c r="AT49" i="61" s="1"/>
  <c r="BD39" i="61"/>
  <c r="AX87" i="61"/>
  <c r="BP68" i="61"/>
  <c r="AT68" i="61" s="1"/>
  <c r="AX140" i="61"/>
  <c r="BF160" i="61"/>
  <c r="BP121" i="61"/>
  <c r="AT121" i="61" s="1"/>
  <c r="BE109" i="61"/>
  <c r="BI109" i="61"/>
  <c r="AX143" i="61"/>
  <c r="BH57" i="61"/>
  <c r="BF119" i="61"/>
  <c r="BI158" i="61"/>
  <c r="BI126" i="61"/>
  <c r="AX107" i="61"/>
  <c r="BD107" i="61"/>
  <c r="BG107" i="61" s="1"/>
  <c r="BP156" i="61"/>
  <c r="AT156" i="61" s="1"/>
  <c r="BD114" i="61"/>
  <c r="BG114" i="61" s="1"/>
  <c r="BF114" i="61"/>
  <c r="BD144" i="61"/>
  <c r="BG144" i="61" s="1"/>
  <c r="BH124" i="61"/>
  <c r="BH161" i="61"/>
  <c r="BP112" i="61"/>
  <c r="AT112" i="61" s="1"/>
  <c r="BE112" i="61"/>
  <c r="BP139" i="61"/>
  <c r="AT139" i="61" s="1"/>
  <c r="BH139" i="61"/>
  <c r="AX149" i="61"/>
  <c r="BD128" i="61"/>
  <c r="BG128" i="61" s="1"/>
  <c r="AX116" i="61"/>
  <c r="BP116" i="61"/>
  <c r="AT116" i="61" s="1"/>
  <c r="BP83" i="61"/>
  <c r="AT83" i="61" s="1"/>
  <c r="BE136" i="61"/>
  <c r="BF136" i="61"/>
  <c r="BP62" i="61"/>
  <c r="AT62" i="61" s="1"/>
  <c r="BP134" i="61"/>
  <c r="AT134" i="61" s="1"/>
  <c r="BI122" i="61"/>
  <c r="AX71" i="61"/>
  <c r="BP100" i="61"/>
  <c r="AT100" i="61" s="1"/>
  <c r="BF127" i="61"/>
  <c r="BP130" i="61"/>
  <c r="AT130" i="61" s="1"/>
  <c r="AX102" i="61"/>
  <c r="BD151" i="61"/>
  <c r="BG151" i="61" s="1"/>
  <c r="BP92" i="61"/>
  <c r="AT92" i="61" s="1"/>
  <c r="BD142" i="61"/>
  <c r="BG142" i="61" s="1"/>
  <c r="BH142" i="61"/>
  <c r="BH61" i="61"/>
  <c r="BF61" i="61"/>
  <c r="BP113" i="61"/>
  <c r="AT113" i="61" s="1"/>
  <c r="BP162" i="61"/>
  <c r="AT162" i="61" s="1"/>
  <c r="BI152" i="61"/>
  <c r="BI148" i="61"/>
  <c r="BP82" i="61"/>
  <c r="AT82" i="61" s="1"/>
  <c r="AX121" i="61"/>
  <c r="BF121" i="61"/>
  <c r="BP50" i="61"/>
  <c r="AT50" i="61" s="1"/>
  <c r="AX73" i="61"/>
  <c r="BP109" i="61"/>
  <c r="AT109" i="61" s="1"/>
  <c r="BH38" i="61"/>
  <c r="BI57" i="61"/>
  <c r="BD119" i="61"/>
  <c r="BG119" i="61" s="1"/>
  <c r="AX138" i="61"/>
  <c r="BH158" i="61"/>
  <c r="BP126" i="61"/>
  <c r="AT126" i="61" s="1"/>
  <c r="BE107" i="61"/>
  <c r="AX156" i="61"/>
  <c r="BI114" i="61"/>
  <c r="BE144" i="61"/>
  <c r="BP124" i="61"/>
  <c r="AT124" i="61" s="1"/>
  <c r="AX154" i="61"/>
  <c r="BF154" i="61"/>
  <c r="BP79" i="61"/>
  <c r="AT79" i="61" s="1"/>
  <c r="AX161" i="61"/>
  <c r="BP81" i="61"/>
  <c r="AT81" i="61" s="1"/>
  <c r="BP93" i="61"/>
  <c r="AT93" i="61" s="1"/>
  <c r="AX120" i="61"/>
  <c r="BI120" i="61"/>
  <c r="BF139" i="61"/>
  <c r="BH128" i="61"/>
  <c r="BE116" i="61"/>
  <c r="BI116" i="61"/>
  <c r="BH136" i="61"/>
  <c r="AX122" i="61"/>
  <c r="BI132" i="61"/>
  <c r="BD132" i="61"/>
  <c r="BG132" i="61" s="1"/>
  <c r="BI60" i="61"/>
  <c r="AX88" i="61"/>
  <c r="BH127" i="61"/>
  <c r="BD130" i="61"/>
  <c r="BG130" i="61" s="1"/>
  <c r="BP147" i="61"/>
  <c r="AT147" i="61" s="1"/>
  <c r="BH53" i="61"/>
  <c r="AX151" i="61"/>
  <c r="BF142" i="61"/>
  <c r="BI61" i="61"/>
  <c r="AX67" i="61"/>
  <c r="AX59" i="61"/>
  <c r="BH121" i="61"/>
  <c r="BD121" i="61"/>
  <c r="BG121" i="61" s="1"/>
  <c r="AX50" i="61"/>
  <c r="BD109" i="61"/>
  <c r="BG109" i="61" s="1"/>
  <c r="BF143" i="61"/>
  <c r="BE143" i="61"/>
  <c r="BP97" i="61"/>
  <c r="AT97" i="61" s="1"/>
  <c r="BI38" i="61"/>
  <c r="BH119" i="61"/>
  <c r="BH138" i="61"/>
  <c r="AX141" i="61"/>
  <c r="BP141" i="61"/>
  <c r="AT141" i="61" s="1"/>
  <c r="BP158" i="61"/>
  <c r="AT158" i="61" s="1"/>
  <c r="BF158" i="61"/>
  <c r="AX126" i="61"/>
  <c r="BI107" i="61"/>
  <c r="BD156" i="61"/>
  <c r="BG156" i="61" s="1"/>
  <c r="BP114" i="61"/>
  <c r="AT114" i="61" s="1"/>
  <c r="BP144" i="61"/>
  <c r="AT144" i="61" s="1"/>
  <c r="BF124" i="61"/>
  <c r="BH154" i="61"/>
  <c r="AX105" i="61"/>
  <c r="AX112" i="61"/>
  <c r="BE120" i="61"/>
  <c r="AX139" i="61"/>
  <c r="BE139" i="61"/>
  <c r="BP157" i="61"/>
  <c r="AT157" i="61" s="1"/>
  <c r="BH157" i="61"/>
  <c r="BF116" i="61"/>
  <c r="BI117" i="61"/>
  <c r="BI136" i="61"/>
  <c r="AX62" i="61"/>
  <c r="BP104" i="61"/>
  <c r="AT104" i="61" s="1"/>
  <c r="BH122" i="61"/>
  <c r="AX132" i="61"/>
  <c r="BI110" i="61"/>
  <c r="BD127" i="61"/>
  <c r="BG127" i="61" s="1"/>
  <c r="BI147" i="61"/>
  <c r="BD147" i="61"/>
  <c r="BG147" i="61" s="1"/>
  <c r="BE53" i="61"/>
  <c r="AX41" i="61"/>
  <c r="BP95" i="61"/>
  <c r="AT95" i="61" s="1"/>
  <c r="BP163" i="61"/>
  <c r="AT163" i="61" s="1"/>
  <c r="BF151" i="61"/>
  <c r="BE142" i="61"/>
  <c r="BI142" i="61"/>
  <c r="AX61" i="61"/>
  <c r="BI115" i="61"/>
  <c r="AX133" i="61"/>
  <c r="BP101" i="61"/>
  <c r="AT101" i="61" s="1"/>
  <c r="BP143" i="61"/>
  <c r="AT143" i="61" s="1"/>
  <c r="AX76" i="61"/>
  <c r="BP38" i="61"/>
  <c r="AT38" i="61" s="1"/>
  <c r="BP46" i="61"/>
  <c r="AT46" i="61" s="1"/>
  <c r="BP57" i="61"/>
  <c r="AT57" i="61" s="1"/>
  <c r="BI119" i="61"/>
  <c r="BI138" i="61"/>
  <c r="BH141" i="61"/>
  <c r="BE141" i="61"/>
  <c r="AX158" i="61"/>
  <c r="BD158" i="61"/>
  <c r="BG158" i="61" s="1"/>
  <c r="BD126" i="61"/>
  <c r="BG126" i="61" s="1"/>
  <c r="BH107" i="61"/>
  <c r="AX72" i="61"/>
  <c r="AX114" i="61"/>
  <c r="BH144" i="61"/>
  <c r="AX90" i="61"/>
  <c r="BI154" i="61"/>
  <c r="BE161" i="61"/>
  <c r="AX81" i="61"/>
  <c r="BP120" i="61"/>
  <c r="AT120" i="61" s="1"/>
  <c r="BH120" i="61"/>
  <c r="BI149" i="61"/>
  <c r="BE157" i="61"/>
  <c r="BD157" i="61"/>
  <c r="BG157" i="61" s="1"/>
  <c r="BH116" i="61"/>
  <c r="AX83" i="61"/>
  <c r="BH117" i="61"/>
  <c r="AX117" i="61"/>
  <c r="AX104" i="61"/>
  <c r="BD134" i="61"/>
  <c r="BG134" i="61" s="1"/>
  <c r="AX80" i="61"/>
  <c r="BP132" i="61"/>
  <c r="AT132" i="61" s="1"/>
  <c r="BE60" i="61"/>
  <c r="AX60" i="61"/>
  <c r="AX100" i="61"/>
  <c r="AX110" i="61"/>
  <c r="BD110" i="61"/>
  <c r="BG110" i="61" s="1"/>
  <c r="BE127" i="61"/>
  <c r="BH130" i="61"/>
  <c r="BE147" i="61"/>
  <c r="BF53" i="61"/>
  <c r="BE129" i="61"/>
  <c r="BD141" i="61"/>
  <c r="BG141" i="61" s="1"/>
  <c r="BE156" i="61"/>
  <c r="BP64" i="61"/>
  <c r="AT64" i="61" s="1"/>
  <c r="BI130" i="61"/>
  <c r="BH147" i="61"/>
  <c r="BH151" i="61"/>
  <c r="AX77" i="61"/>
  <c r="BP98" i="61"/>
  <c r="AT98" i="61" s="1"/>
  <c r="BI108" i="61"/>
  <c r="AX118" i="61"/>
  <c r="AX137" i="61"/>
  <c r="BI137" i="61"/>
  <c r="BF145" i="61"/>
  <c r="BH145" i="61"/>
  <c r="BF40" i="61"/>
  <c r="BI153" i="61"/>
  <c r="BH143" i="61"/>
  <c r="BF120" i="61"/>
  <c r="AX43" i="61"/>
  <c r="BI151" i="61"/>
  <c r="AX98" i="61"/>
  <c r="BP108" i="61"/>
  <c r="AT108" i="61" s="1"/>
  <c r="BI118" i="61"/>
  <c r="BF137" i="61"/>
  <c r="AX57" i="61"/>
  <c r="BE108" i="61"/>
  <c r="BP160" i="61"/>
  <c r="AT160" i="61" s="1"/>
  <c r="BE38" i="61"/>
  <c r="BF144" i="61"/>
  <c r="AX93" i="61"/>
  <c r="BI112" i="61"/>
  <c r="BP127" i="61"/>
  <c r="AT127" i="61" s="1"/>
  <c r="AX108" i="61"/>
  <c r="BH108" i="61"/>
  <c r="BD137" i="61"/>
  <c r="BG137" i="61" s="1"/>
  <c r="AX145" i="61"/>
  <c r="BF161" i="61"/>
  <c r="BI134" i="61"/>
  <c r="BI53" i="61"/>
  <c r="BH163" i="61"/>
  <c r="BH137" i="61"/>
  <c r="BP60" i="61"/>
  <c r="AT60" i="61" s="1"/>
  <c r="AX129" i="61"/>
  <c r="BH118" i="61"/>
  <c r="BE119" i="61"/>
  <c r="BE158" i="61"/>
  <c r="BF157" i="61"/>
  <c r="AX64" i="61"/>
  <c r="BD116" i="61"/>
  <c r="BG116" i="61" s="1"/>
  <c r="BE132" i="61"/>
  <c r="BF130" i="61"/>
  <c r="BF163" i="61"/>
  <c r="AX86" i="61"/>
  <c r="BP86" i="61"/>
  <c r="AT86" i="61" s="1"/>
  <c r="BF108" i="61"/>
  <c r="BD118" i="61"/>
  <c r="BG118" i="61" s="1"/>
  <c r="BP118" i="61"/>
  <c r="AT118" i="61" s="1"/>
  <c r="BE137" i="61"/>
  <c r="BI144" i="61"/>
  <c r="BI124" i="61"/>
  <c r="BH149" i="61"/>
  <c r="BD122" i="61"/>
  <c r="BG122" i="61" s="1"/>
  <c r="BF110" i="61"/>
  <c r="BP129" i="61"/>
  <c r="AT129" i="61" s="1"/>
  <c r="AX92" i="61"/>
  <c r="BI145" i="61"/>
  <c r="BD145" i="61"/>
  <c r="BG145" i="61" s="1"/>
  <c r="AX82" i="61"/>
  <c r="BP138" i="61"/>
  <c r="AT138" i="61" s="1"/>
  <c r="BP161" i="61"/>
  <c r="AT161" i="61" s="1"/>
  <c r="AX163" i="61"/>
  <c r="BE61" i="61"/>
  <c r="BD108" i="61"/>
  <c r="BG108" i="61" s="1"/>
  <c r="BE118" i="61"/>
  <c r="BP137" i="61"/>
  <c r="AT137" i="61" s="1"/>
  <c r="BP145" i="61"/>
  <c r="AT145" i="61" s="1"/>
  <c r="BE145" i="61"/>
  <c r="BP65" i="61"/>
  <c r="AT65" i="61" s="1"/>
  <c r="BF118" i="61"/>
  <c r="BP20" i="61"/>
  <c r="AT20" i="61" s="1"/>
  <c r="BH25" i="61"/>
  <c r="BI23" i="61"/>
  <c r="BI24" i="61"/>
  <c r="BI25" i="61"/>
  <c r="BE25" i="61"/>
  <c r="AX21" i="61"/>
  <c r="BF24" i="61"/>
  <c r="BE24" i="61"/>
  <c r="AX25" i="61"/>
  <c r="AX22" i="61"/>
  <c r="AX24" i="61"/>
  <c r="BD24" i="61"/>
  <c r="BP25" i="61"/>
  <c r="AT25" i="61" s="1"/>
  <c r="BP23" i="61"/>
  <c r="AT23" i="61" s="1"/>
  <c r="BF25" i="61"/>
  <c r="BD23" i="61"/>
  <c r="BP24" i="61"/>
  <c r="AT24" i="61" s="1"/>
  <c r="AX23" i="61"/>
  <c r="BD25" i="61"/>
  <c r="BF23" i="61"/>
  <c r="BP21" i="61"/>
  <c r="AT21" i="61" s="1"/>
  <c r="BE23" i="61"/>
  <c r="BP22" i="61"/>
  <c r="AT22" i="61" s="1"/>
  <c r="BH23" i="61"/>
  <c r="BH24" i="61"/>
  <c r="AV51" i="61"/>
  <c r="AW51" i="61" s="1"/>
  <c r="AV89" i="61"/>
  <c r="AW89" i="61" s="1"/>
  <c r="AV87" i="61"/>
  <c r="AW87" i="61" s="1"/>
  <c r="AV99" i="61"/>
  <c r="AW99" i="61" s="1"/>
  <c r="AV140" i="61"/>
  <c r="AW140" i="61" s="1"/>
  <c r="AV39" i="61"/>
  <c r="AW39" i="61" s="1"/>
  <c r="AV67" i="61"/>
  <c r="AW67" i="61" s="1"/>
  <c r="AV94" i="61"/>
  <c r="AW94" i="61" s="1"/>
  <c r="AV49" i="61"/>
  <c r="AW49" i="61" s="1"/>
  <c r="AV56" i="61"/>
  <c r="AW56" i="61" s="1"/>
  <c r="AV162" i="61"/>
  <c r="AW162" i="61" s="1"/>
  <c r="AV150" i="61"/>
  <c r="AW150" i="61" s="1"/>
  <c r="AV44" i="61"/>
  <c r="AW44" i="61" s="1"/>
  <c r="AV135" i="61"/>
  <c r="AW135" i="61" s="1"/>
  <c r="AV54" i="61"/>
  <c r="AW54" i="61" s="1"/>
  <c r="AV91" i="61"/>
  <c r="AW91" i="61" s="1"/>
  <c r="AV113" i="61"/>
  <c r="AW113" i="61" s="1"/>
  <c r="AV101" i="61"/>
  <c r="AW101" i="61" s="1"/>
  <c r="AV155" i="61"/>
  <c r="AW155" i="61" s="1"/>
  <c r="AV59" i="61"/>
  <c r="AW59" i="61" s="1"/>
  <c r="AV152" i="61"/>
  <c r="AW152" i="61" s="1"/>
  <c r="AV63" i="61"/>
  <c r="AW63" i="61" s="1"/>
  <c r="AV58" i="61"/>
  <c r="AW58" i="61" s="1"/>
  <c r="AV84" i="61"/>
  <c r="AW84" i="61" s="1"/>
  <c r="AV125" i="61"/>
  <c r="AW125" i="61" s="1"/>
  <c r="AV75" i="61"/>
  <c r="AW75" i="61" s="1"/>
  <c r="AV65" i="61"/>
  <c r="AW65" i="61" s="1"/>
  <c r="AV111" i="61"/>
  <c r="AW111" i="61" s="1"/>
  <c r="AV153" i="61"/>
  <c r="AW153" i="61" s="1"/>
  <c r="AV103" i="61"/>
  <c r="AW103" i="61" s="1"/>
  <c r="AV55" i="61"/>
  <c r="AW55" i="61" s="1"/>
  <c r="AV159" i="61"/>
  <c r="AW159" i="61" s="1"/>
  <c r="AV96" i="61"/>
  <c r="AW96" i="61" s="1"/>
  <c r="AV115" i="61"/>
  <c r="AW115" i="61" s="1"/>
  <c r="AV40" i="61"/>
  <c r="AW40" i="61" s="1"/>
  <c r="AV69" i="61"/>
  <c r="AW69" i="61" s="1"/>
  <c r="AV78" i="61"/>
  <c r="AW78" i="61" s="1"/>
  <c r="AV123" i="61"/>
  <c r="AW123" i="61" s="1"/>
  <c r="AV45" i="61"/>
  <c r="AW45" i="61" s="1"/>
  <c r="AV42" i="61"/>
  <c r="AW42" i="61" s="1"/>
  <c r="AV74" i="61"/>
  <c r="AW74" i="61" s="1"/>
  <c r="AV160" i="61"/>
  <c r="AW160" i="61" s="1"/>
  <c r="AV106" i="61"/>
  <c r="AW106" i="61" s="1"/>
  <c r="AV68" i="61"/>
  <c r="AW68" i="61" s="1"/>
  <c r="AV48" i="61"/>
  <c r="AW48" i="61" s="1"/>
  <c r="AV148" i="61"/>
  <c r="AW148" i="61" s="1"/>
  <c r="AV38" i="61"/>
  <c r="AW38" i="61" s="1"/>
  <c r="AV144" i="61"/>
  <c r="AW144" i="61" s="1"/>
  <c r="AV116" i="61"/>
  <c r="AW116" i="61" s="1"/>
  <c r="AV122" i="61"/>
  <c r="AW122" i="61" s="1"/>
  <c r="AV100" i="61"/>
  <c r="AW100" i="61" s="1"/>
  <c r="AV66" i="61"/>
  <c r="AW66" i="61" s="1"/>
  <c r="AV109" i="61"/>
  <c r="AW109" i="61" s="1"/>
  <c r="AV76" i="61"/>
  <c r="AW76" i="61" s="1"/>
  <c r="AV126" i="61"/>
  <c r="AW126" i="61" s="1"/>
  <c r="AV114" i="61"/>
  <c r="AW114" i="61" s="1"/>
  <c r="AV112" i="61"/>
  <c r="AW112" i="61" s="1"/>
  <c r="AV64" i="61"/>
  <c r="AW64" i="61" s="1"/>
  <c r="AV151" i="61"/>
  <c r="AW151" i="61" s="1"/>
  <c r="AV133" i="61"/>
  <c r="AW133" i="61" s="1"/>
  <c r="AV57" i="61"/>
  <c r="AW57" i="61" s="1"/>
  <c r="AV158" i="61"/>
  <c r="AW158" i="61" s="1"/>
  <c r="AV156" i="61"/>
  <c r="AW156" i="61" s="1"/>
  <c r="AV124" i="61"/>
  <c r="AW124" i="61" s="1"/>
  <c r="AV81" i="61"/>
  <c r="AW81" i="61" s="1"/>
  <c r="AV128" i="61"/>
  <c r="AW128" i="61" s="1"/>
  <c r="AV110" i="61"/>
  <c r="AW110" i="61" s="1"/>
  <c r="AV130" i="61"/>
  <c r="AW130" i="61" s="1"/>
  <c r="AV142" i="61"/>
  <c r="AW142" i="61" s="1"/>
  <c r="AV121" i="61"/>
  <c r="AW121" i="61" s="1"/>
  <c r="AV73" i="61"/>
  <c r="AW73" i="61" s="1"/>
  <c r="AV141" i="61"/>
  <c r="AW141" i="61" s="1"/>
  <c r="AV72" i="61"/>
  <c r="AW72" i="61" s="1"/>
  <c r="AV161" i="61"/>
  <c r="AW161" i="61" s="1"/>
  <c r="AV43" i="61"/>
  <c r="AW43" i="61" s="1"/>
  <c r="AV104" i="61"/>
  <c r="AW104" i="61" s="1"/>
  <c r="AV80" i="61"/>
  <c r="AW80" i="61" s="1"/>
  <c r="AV132" i="61"/>
  <c r="AW132" i="61" s="1"/>
  <c r="AV88" i="61"/>
  <c r="AW88" i="61" s="1"/>
  <c r="AV127" i="61"/>
  <c r="AW127" i="61" s="1"/>
  <c r="AV53" i="61"/>
  <c r="AW53" i="61" s="1"/>
  <c r="AV95" i="61"/>
  <c r="AW95" i="61" s="1"/>
  <c r="AV163" i="61"/>
  <c r="AW163" i="61" s="1"/>
  <c r="AV47" i="61"/>
  <c r="AW47" i="61" s="1"/>
  <c r="AV146" i="61"/>
  <c r="AW146" i="61" s="1"/>
  <c r="AV52" i="61"/>
  <c r="AW52" i="61" s="1"/>
  <c r="AV131" i="61"/>
  <c r="AW131" i="61" s="1"/>
  <c r="AV119" i="61"/>
  <c r="AW119" i="61" s="1"/>
  <c r="AV138" i="61"/>
  <c r="AW138" i="61" s="1"/>
  <c r="AV107" i="61"/>
  <c r="AW107" i="61" s="1"/>
  <c r="AV105" i="61"/>
  <c r="AW105" i="61" s="1"/>
  <c r="AV139" i="61"/>
  <c r="AW139" i="61" s="1"/>
  <c r="AV83" i="61"/>
  <c r="AW83" i="61" s="1"/>
  <c r="AV136" i="61"/>
  <c r="AW136" i="61" s="1"/>
  <c r="AV62" i="61"/>
  <c r="AW62" i="61" s="1"/>
  <c r="AV71" i="61"/>
  <c r="AW71" i="61" s="1"/>
  <c r="AV147" i="61"/>
  <c r="AW147" i="61" s="1"/>
  <c r="AV41" i="61"/>
  <c r="AW41" i="61" s="1"/>
  <c r="AV61" i="61"/>
  <c r="AW61" i="61" s="1"/>
  <c r="AV77" i="61"/>
  <c r="AW77" i="61" s="1"/>
  <c r="AV85" i="61"/>
  <c r="AW85" i="61" s="1"/>
  <c r="AV82" i="61"/>
  <c r="AW82" i="61" s="1"/>
  <c r="AV93" i="61"/>
  <c r="AW93" i="61" s="1"/>
  <c r="AV134" i="61"/>
  <c r="AW134" i="61" s="1"/>
  <c r="AV60" i="61"/>
  <c r="AW60" i="61" s="1"/>
  <c r="AV102" i="61"/>
  <c r="AW102" i="61" s="1"/>
  <c r="AV92" i="61"/>
  <c r="AW92" i="61" s="1"/>
  <c r="AV50" i="61"/>
  <c r="AW50" i="61" s="1"/>
  <c r="AV97" i="61"/>
  <c r="AW97" i="61" s="1"/>
  <c r="AV79" i="61"/>
  <c r="AW79" i="61" s="1"/>
  <c r="AV70" i="61"/>
  <c r="AW70" i="61" s="1"/>
  <c r="AV46" i="61"/>
  <c r="AW46" i="61" s="1"/>
  <c r="AV154" i="61"/>
  <c r="AW154" i="61" s="1"/>
  <c r="AV149" i="61"/>
  <c r="AW149" i="61" s="1"/>
  <c r="AV157" i="61"/>
  <c r="AW157" i="61" s="1"/>
  <c r="AV86" i="61"/>
  <c r="AW86" i="61" s="1"/>
  <c r="AV145" i="61"/>
  <c r="AW145" i="61" s="1"/>
  <c r="AV90" i="61"/>
  <c r="AW90" i="61" s="1"/>
  <c r="AV117" i="61"/>
  <c r="AW117" i="61" s="1"/>
  <c r="AV98" i="61"/>
  <c r="AW98" i="61" s="1"/>
  <c r="AV143" i="61"/>
  <c r="AW143" i="61" s="1"/>
  <c r="AV120" i="61"/>
  <c r="AW120" i="61" s="1"/>
  <c r="AV137" i="61"/>
  <c r="AW137" i="61" s="1"/>
  <c r="AV129" i="61"/>
  <c r="AW129" i="61" s="1"/>
  <c r="AV108" i="61"/>
  <c r="AW108" i="61" s="1"/>
  <c r="AV118" i="61"/>
  <c r="AW118" i="61" s="1"/>
  <c r="AV21" i="61"/>
  <c r="AV22" i="61"/>
  <c r="AV24" i="61"/>
  <c r="AW24" i="61" s="1"/>
  <c r="AV25" i="61"/>
  <c r="AW25" i="61" s="1"/>
  <c r="AV23" i="61"/>
  <c r="AW23" i="61" s="1"/>
  <c r="AL21" i="61"/>
  <c r="BB21" i="61" s="1"/>
  <c r="AL22" i="61"/>
  <c r="BB22" i="61" s="1"/>
  <c r="BA20" i="61"/>
  <c r="AL1" i="61"/>
  <c r="AL20" i="61"/>
  <c r="BB20" i="61" s="1"/>
  <c r="CB20" i="61" s="1"/>
  <c r="CN20" i="61" s="1"/>
  <c r="AX20" i="61"/>
  <c r="AL42" i="61"/>
  <c r="AL74" i="61"/>
  <c r="AL90" i="61"/>
  <c r="AL106" i="61"/>
  <c r="AL43" i="61"/>
  <c r="AL91" i="61"/>
  <c r="BB91" i="61" s="1"/>
  <c r="BH91" i="61" s="1"/>
  <c r="AL75" i="61"/>
  <c r="AL44" i="61"/>
  <c r="BB44" i="61" s="1"/>
  <c r="AL76" i="61"/>
  <c r="BB76" i="61" s="1"/>
  <c r="BC76" i="61" s="1"/>
  <c r="AL92" i="61"/>
  <c r="BB92" i="61" s="1"/>
  <c r="AL87" i="61"/>
  <c r="AL45" i="61"/>
  <c r="BB45" i="61" s="1"/>
  <c r="AL77" i="61"/>
  <c r="BB77" i="61" s="1"/>
  <c r="AL93" i="61"/>
  <c r="BB93" i="61" s="1"/>
  <c r="BH93" i="61" s="1"/>
  <c r="AL103" i="61"/>
  <c r="AL72" i="61"/>
  <c r="AL46" i="61"/>
  <c r="BB46" i="61" s="1"/>
  <c r="BH46" i="61" s="1"/>
  <c r="AL62" i="61"/>
  <c r="BB62" i="61" s="1"/>
  <c r="BD62" i="61" s="1"/>
  <c r="BG62" i="61" s="1"/>
  <c r="AL78" i="61"/>
  <c r="AL94" i="61"/>
  <c r="BB94" i="61" s="1"/>
  <c r="AL69" i="61"/>
  <c r="AL47" i="61"/>
  <c r="AL63" i="61"/>
  <c r="AL79" i="61"/>
  <c r="AL95" i="61"/>
  <c r="AL85" i="61"/>
  <c r="AL48" i="61"/>
  <c r="AL64" i="61"/>
  <c r="BB64" i="61" s="1"/>
  <c r="AL80" i="61"/>
  <c r="BB80" i="61" s="1"/>
  <c r="AL96" i="61"/>
  <c r="BB96" i="61" s="1"/>
  <c r="BC96" i="61" s="1"/>
  <c r="AL88" i="61"/>
  <c r="AL49" i="61"/>
  <c r="BB49" i="61" s="1"/>
  <c r="AL65" i="61"/>
  <c r="AL81" i="61"/>
  <c r="AL97" i="61"/>
  <c r="AL101" i="61"/>
  <c r="AL50" i="61"/>
  <c r="AL66" i="61"/>
  <c r="AL82" i="61"/>
  <c r="AL98" i="61"/>
  <c r="AL104" i="61"/>
  <c r="BB104" i="61" s="1"/>
  <c r="AL51" i="61"/>
  <c r="AL67" i="61"/>
  <c r="AL83" i="61"/>
  <c r="AL99" i="61"/>
  <c r="AL52" i="61"/>
  <c r="BB52" i="61" s="1"/>
  <c r="BF52" i="61" s="1"/>
  <c r="AL68" i="61"/>
  <c r="BB68" i="61" s="1"/>
  <c r="AL84" i="61"/>
  <c r="BB84" i="61" s="1"/>
  <c r="AL100" i="61"/>
  <c r="BB100" i="61" s="1"/>
  <c r="AL70" i="61"/>
  <c r="BB70" i="61" s="1"/>
  <c r="AL86" i="61"/>
  <c r="AL102" i="61"/>
  <c r="AL71" i="61"/>
  <c r="AL41" i="61"/>
  <c r="AL73" i="61"/>
  <c r="AL89" i="61"/>
  <c r="AL105" i="61"/>
  <c r="BW149" i="61"/>
  <c r="BW140" i="61"/>
  <c r="BW132" i="61"/>
  <c r="BW123" i="61"/>
  <c r="BW111" i="61"/>
  <c r="BW104" i="61"/>
  <c r="BW86" i="61"/>
  <c r="BW161" i="61"/>
  <c r="BW158" i="61"/>
  <c r="BW126" i="61"/>
  <c r="BW106" i="61"/>
  <c r="BW74" i="61"/>
  <c r="BW56" i="61"/>
  <c r="BW53" i="61"/>
  <c r="BW45" i="61"/>
  <c r="BW38" i="61"/>
  <c r="BW153" i="61"/>
  <c r="BW152" i="61"/>
  <c r="BW109" i="61"/>
  <c r="BW92" i="61"/>
  <c r="BW89" i="61"/>
  <c r="BW77" i="61"/>
  <c r="BW64" i="61"/>
  <c r="BW60" i="61"/>
  <c r="BW61" i="61"/>
  <c r="BW118" i="61"/>
  <c r="BW114" i="61"/>
  <c r="BW99" i="61"/>
  <c r="BW84" i="61"/>
  <c r="BW81" i="61"/>
  <c r="BW48" i="61"/>
  <c r="BW142" i="61"/>
  <c r="BW130" i="61"/>
  <c r="BW159" i="61"/>
  <c r="BW150" i="61"/>
  <c r="BW145" i="61"/>
  <c r="BW65" i="61"/>
  <c r="BW54" i="61"/>
  <c r="BW156" i="61"/>
  <c r="BW147" i="61"/>
  <c r="BW138" i="61"/>
  <c r="BW135" i="61"/>
  <c r="BW124" i="61"/>
  <c r="BW121" i="61"/>
  <c r="BW102" i="61"/>
  <c r="BW94" i="61"/>
  <c r="BW80" i="61"/>
  <c r="BW72" i="61"/>
  <c r="BW69" i="61"/>
  <c r="BW68" i="61"/>
  <c r="BW51" i="61"/>
  <c r="BW41" i="61"/>
  <c r="BW97" i="61"/>
  <c r="BW44" i="61"/>
  <c r="BW133" i="61"/>
  <c r="BW57" i="61"/>
  <c r="BW163" i="61"/>
  <c r="BW78" i="61"/>
  <c r="BW107" i="61"/>
  <c r="BW100" i="61"/>
  <c r="BW98" i="61"/>
  <c r="BW91" i="61"/>
  <c r="BW67" i="61"/>
  <c r="BW59" i="61"/>
  <c r="BW46" i="61"/>
  <c r="BW136" i="61"/>
  <c r="BW113" i="61"/>
  <c r="BW96" i="61"/>
  <c r="BW157" i="61"/>
  <c r="BW122" i="61"/>
  <c r="BW115" i="61"/>
  <c r="BW105" i="61"/>
  <c r="BW85" i="61"/>
  <c r="BW76" i="61"/>
  <c r="BW70" i="61"/>
  <c r="BW155" i="61"/>
  <c r="BW128" i="61"/>
  <c r="BW120" i="61"/>
  <c r="BW83" i="61"/>
  <c r="BW62" i="61"/>
  <c r="BW143" i="61"/>
  <c r="BW87" i="61"/>
  <c r="BW141" i="61"/>
  <c r="BW55" i="61"/>
  <c r="BW43" i="61"/>
  <c r="BW49" i="61"/>
  <c r="BW39" i="61"/>
  <c r="BW110" i="61"/>
  <c r="BW63" i="61"/>
  <c r="BW151" i="61"/>
  <c r="BW131" i="61"/>
  <c r="BW129" i="61"/>
  <c r="BW95" i="61"/>
  <c r="BW47" i="61"/>
  <c r="BW162" i="61"/>
  <c r="BW139" i="61"/>
  <c r="BW137" i="61"/>
  <c r="BW108" i="61"/>
  <c r="BW93" i="61"/>
  <c r="BW90" i="61"/>
  <c r="BW160" i="61"/>
  <c r="BW154" i="61"/>
  <c r="BW112" i="61"/>
  <c r="BW79" i="61"/>
  <c r="BW73" i="61"/>
  <c r="BW71" i="61"/>
  <c r="BW119" i="61"/>
  <c r="BW116" i="61"/>
  <c r="BW103" i="61"/>
  <c r="BW101" i="61"/>
  <c r="BW88" i="61"/>
  <c r="BW82" i="61"/>
  <c r="BW75" i="61"/>
  <c r="BW66" i="61"/>
  <c r="BW58" i="61"/>
  <c r="BW148" i="61"/>
  <c r="BW146" i="61"/>
  <c r="BW144" i="61"/>
  <c r="BW127" i="61"/>
  <c r="BW125" i="61"/>
  <c r="BW117" i="61"/>
  <c r="BW52" i="61"/>
  <c r="BW50" i="61"/>
  <c r="BW134" i="61"/>
  <c r="BW42" i="61"/>
  <c r="BW40" i="61"/>
  <c r="N118" i="61"/>
  <c r="O118" i="61" s="1"/>
  <c r="N105" i="61"/>
  <c r="O105" i="61" s="1"/>
  <c r="N59" i="61"/>
  <c r="O59" i="61" s="1"/>
  <c r="N45" i="61"/>
  <c r="O45" i="61" s="1"/>
  <c r="N126" i="61"/>
  <c r="O126" i="61" s="1"/>
  <c r="N97" i="61"/>
  <c r="O97" i="61" s="1"/>
  <c r="N111" i="61"/>
  <c r="O111" i="61" s="1"/>
  <c r="N143" i="61"/>
  <c r="O143" i="61" s="1"/>
  <c r="N88" i="61"/>
  <c r="O88" i="61" s="1"/>
  <c r="N85" i="61"/>
  <c r="O85" i="61" s="1"/>
  <c r="N74" i="61"/>
  <c r="O74" i="61" s="1"/>
  <c r="N60" i="61"/>
  <c r="O60" i="61" s="1"/>
  <c r="N63" i="61"/>
  <c r="O63" i="61" s="1"/>
  <c r="N92" i="61"/>
  <c r="O92" i="61" s="1"/>
  <c r="N49" i="61"/>
  <c r="O49" i="61" s="1"/>
  <c r="N119" i="61"/>
  <c r="O119" i="61" s="1"/>
  <c r="N145" i="61"/>
  <c r="O145" i="61" s="1"/>
  <c r="N137" i="61"/>
  <c r="O137" i="61" s="1"/>
  <c r="N122" i="61"/>
  <c r="O122" i="61" s="1"/>
  <c r="N115" i="61"/>
  <c r="O115" i="61" s="1"/>
  <c r="N96" i="61"/>
  <c r="O96" i="61" s="1"/>
  <c r="N101" i="61"/>
  <c r="O101" i="61" s="1"/>
  <c r="N83" i="61"/>
  <c r="O83" i="61" s="1"/>
  <c r="N152" i="61"/>
  <c r="O152" i="61" s="1"/>
  <c r="N159" i="61"/>
  <c r="O159" i="61" s="1"/>
  <c r="N142" i="61"/>
  <c r="O142" i="61" s="1"/>
  <c r="N132" i="61"/>
  <c r="O132" i="61" s="1"/>
  <c r="N82" i="61"/>
  <c r="O82" i="61" s="1"/>
  <c r="N153" i="61"/>
  <c r="O153" i="61" s="1"/>
  <c r="N146" i="61"/>
  <c r="O146" i="61" s="1"/>
  <c r="N128" i="61"/>
  <c r="O128" i="61" s="1"/>
  <c r="N93" i="61"/>
  <c r="O93" i="61" s="1"/>
  <c r="N79" i="61"/>
  <c r="O79" i="61" s="1"/>
  <c r="N67" i="61"/>
  <c r="O67" i="61" s="1"/>
  <c r="N55" i="61"/>
  <c r="O55" i="61" s="1"/>
  <c r="N151" i="61"/>
  <c r="O151" i="61" s="1"/>
  <c r="N161" i="61"/>
  <c r="O161" i="61" s="1"/>
  <c r="N150" i="61"/>
  <c r="O150" i="61" s="1"/>
  <c r="N125" i="61"/>
  <c r="O125" i="61" s="1"/>
  <c r="N112" i="61"/>
  <c r="O112" i="61" s="1"/>
  <c r="N109" i="61"/>
  <c r="O109" i="61" s="1"/>
  <c r="N86" i="61"/>
  <c r="O86" i="61" s="1"/>
  <c r="N64" i="61"/>
  <c r="O64" i="61" s="1"/>
  <c r="N75" i="61"/>
  <c r="O75" i="61" s="1"/>
  <c r="N47" i="61"/>
  <c r="O47" i="61" s="1"/>
  <c r="N52" i="61"/>
  <c r="O52" i="61" s="1"/>
  <c r="N51" i="61"/>
  <c r="O51" i="61" s="1"/>
  <c r="N156" i="61"/>
  <c r="O156" i="61" s="1"/>
  <c r="N131" i="61"/>
  <c r="O131" i="61" s="1"/>
  <c r="N129" i="61"/>
  <c r="O129" i="61" s="1"/>
  <c r="N107" i="61"/>
  <c r="O107" i="61" s="1"/>
  <c r="N106" i="61"/>
  <c r="O106" i="61" s="1"/>
  <c r="N90" i="61"/>
  <c r="O90" i="61" s="1"/>
  <c r="N46" i="61"/>
  <c r="O46" i="61" s="1"/>
  <c r="N144" i="61"/>
  <c r="O144" i="61" s="1"/>
  <c r="N133" i="61"/>
  <c r="O133" i="61" s="1"/>
  <c r="N116" i="61"/>
  <c r="O116" i="61" s="1"/>
  <c r="N120" i="61"/>
  <c r="O120" i="61" s="1"/>
  <c r="N103" i="61"/>
  <c r="O103" i="61" s="1"/>
  <c r="N99" i="61"/>
  <c r="O99" i="61" s="1"/>
  <c r="N89" i="61"/>
  <c r="O89" i="61" s="1"/>
  <c r="N57" i="61"/>
  <c r="O57" i="61" s="1"/>
  <c r="N69" i="61"/>
  <c r="O69" i="61" s="1"/>
  <c r="N40" i="61"/>
  <c r="O40" i="61" s="1"/>
  <c r="N41" i="61"/>
  <c r="O41" i="61" s="1"/>
  <c r="N38" i="61"/>
  <c r="O38" i="61" s="1"/>
  <c r="N72" i="61"/>
  <c r="O72" i="61" s="1"/>
  <c r="N76" i="61"/>
  <c r="O76" i="61" s="1"/>
  <c r="N149" i="61"/>
  <c r="O149" i="61" s="1"/>
  <c r="N117" i="61"/>
  <c r="O117" i="61" s="1"/>
  <c r="N70" i="61"/>
  <c r="O70" i="61" s="1"/>
  <c r="N61" i="61"/>
  <c r="O61" i="61" s="1"/>
  <c r="N73" i="61"/>
  <c r="O73" i="61" s="1"/>
  <c r="N54" i="61"/>
  <c r="O54" i="61" s="1"/>
  <c r="N50" i="61"/>
  <c r="O50" i="61" s="1"/>
  <c r="N56" i="61"/>
  <c r="O56" i="61" s="1"/>
  <c r="N160" i="61"/>
  <c r="O160" i="61" s="1"/>
  <c r="N140" i="61"/>
  <c r="O140" i="61" s="1"/>
  <c r="N123" i="61"/>
  <c r="O123" i="61" s="1"/>
  <c r="N110" i="61"/>
  <c r="O110" i="61" s="1"/>
  <c r="N84" i="61"/>
  <c r="O84" i="61" s="1"/>
  <c r="N78" i="61"/>
  <c r="O78" i="61" s="1"/>
  <c r="N108" i="61"/>
  <c r="O108" i="61" s="1"/>
  <c r="N102" i="61"/>
  <c r="O102" i="61" s="1"/>
  <c r="N157" i="61"/>
  <c r="O157" i="61" s="1"/>
  <c r="N141" i="61"/>
  <c r="O141" i="61" s="1"/>
  <c r="N135" i="61"/>
  <c r="O135" i="61" s="1"/>
  <c r="N139" i="61"/>
  <c r="O139" i="61" s="1"/>
  <c r="N114" i="61"/>
  <c r="O114" i="61" s="1"/>
  <c r="N100" i="61"/>
  <c r="O100" i="61" s="1"/>
  <c r="N134" i="61"/>
  <c r="O134" i="61" s="1"/>
  <c r="N155" i="61"/>
  <c r="O155" i="61" s="1"/>
  <c r="N163" i="61"/>
  <c r="O163" i="61" s="1"/>
  <c r="N136" i="61"/>
  <c r="O136" i="61" s="1"/>
  <c r="N113" i="61"/>
  <c r="O113" i="61" s="1"/>
  <c r="N95" i="61"/>
  <c r="O95" i="61" s="1"/>
  <c r="N94" i="61"/>
  <c r="O94" i="61" s="1"/>
  <c r="N80" i="61"/>
  <c r="O80" i="61" s="1"/>
  <c r="N87" i="61"/>
  <c r="O87" i="61" s="1"/>
  <c r="N77" i="61"/>
  <c r="O77" i="61" s="1"/>
  <c r="N39" i="61"/>
  <c r="O39" i="61" s="1"/>
  <c r="N43" i="61"/>
  <c r="O43" i="61" s="1"/>
  <c r="N91" i="61"/>
  <c r="O91" i="61" s="1"/>
  <c r="N147" i="61"/>
  <c r="O147" i="61" s="1"/>
  <c r="N127" i="61"/>
  <c r="O127" i="61" s="1"/>
  <c r="N104" i="61"/>
  <c r="O104" i="61" s="1"/>
  <c r="N81" i="61"/>
  <c r="O81" i="61" s="1"/>
  <c r="N66" i="61"/>
  <c r="O66" i="61" s="1"/>
  <c r="N58" i="61"/>
  <c r="O58" i="61" s="1"/>
  <c r="N124" i="61"/>
  <c r="O124" i="61" s="1"/>
  <c r="N121" i="61"/>
  <c r="O121" i="61" s="1"/>
  <c r="N68" i="61"/>
  <c r="O68" i="61" s="1"/>
  <c r="N158" i="61"/>
  <c r="O158" i="61" s="1"/>
  <c r="N130" i="61"/>
  <c r="O130" i="61" s="1"/>
  <c r="N98" i="61"/>
  <c r="O98" i="61" s="1"/>
  <c r="N62" i="61"/>
  <c r="O62" i="61" s="1"/>
  <c r="N71" i="61"/>
  <c r="O71" i="61" s="1"/>
  <c r="N65" i="61"/>
  <c r="O65" i="61" s="1"/>
  <c r="N44" i="61"/>
  <c r="O44" i="61" s="1"/>
  <c r="N48" i="61"/>
  <c r="O48" i="61" s="1"/>
  <c r="N53" i="61"/>
  <c r="O53" i="61" s="1"/>
  <c r="N42" i="61"/>
  <c r="O42" i="61" s="1"/>
  <c r="N162" i="61"/>
  <c r="O162" i="61" s="1"/>
  <c r="N154" i="61"/>
  <c r="O154" i="61" s="1"/>
  <c r="N148" i="61"/>
  <c r="O148" i="61" s="1"/>
  <c r="N138" i="61"/>
  <c r="O138" i="61" s="1"/>
  <c r="AA119" i="61"/>
  <c r="AB119" i="61" s="1"/>
  <c r="AC119" i="61" s="1"/>
  <c r="AA115" i="61"/>
  <c r="AB115" i="61" s="1"/>
  <c r="AC115" i="61" s="1"/>
  <c r="AA85" i="61"/>
  <c r="AB85" i="61" s="1"/>
  <c r="AC85" i="61" s="1"/>
  <c r="AA148" i="61"/>
  <c r="AB148" i="61" s="1"/>
  <c r="AC148" i="61" s="1"/>
  <c r="AA139" i="61"/>
  <c r="AB139" i="61" s="1"/>
  <c r="AC139" i="61" s="1"/>
  <c r="AA136" i="61"/>
  <c r="AB136" i="61" s="1"/>
  <c r="AC136" i="61" s="1"/>
  <c r="AA122" i="61"/>
  <c r="AB122" i="61" s="1"/>
  <c r="AC122" i="61" s="1"/>
  <c r="AA103" i="61"/>
  <c r="AB103" i="61" s="1"/>
  <c r="AC103" i="61" s="1"/>
  <c r="AA95" i="61"/>
  <c r="AB95" i="61" s="1"/>
  <c r="AC95" i="61" s="1"/>
  <c r="AA73" i="61"/>
  <c r="AB73" i="61" s="1"/>
  <c r="AC73" i="61" s="1"/>
  <c r="AA143" i="61"/>
  <c r="AB143" i="61" s="1"/>
  <c r="AC143" i="61" s="1"/>
  <c r="AA131" i="61"/>
  <c r="AB131" i="61" s="1"/>
  <c r="AC131" i="61" s="1"/>
  <c r="CT56" i="61"/>
  <c r="AA83" i="61"/>
  <c r="AB83" i="61" s="1"/>
  <c r="AC83" i="61" s="1"/>
  <c r="AA160" i="61"/>
  <c r="AB160" i="61" s="1"/>
  <c r="AC160" i="61" s="1"/>
  <c r="AA151" i="61"/>
  <c r="AB151" i="61" s="1"/>
  <c r="AC151" i="61" s="1"/>
  <c r="AA105" i="61"/>
  <c r="AB105" i="61" s="1"/>
  <c r="AC105" i="61" s="1"/>
  <c r="AA66" i="61"/>
  <c r="AB66" i="61" s="1"/>
  <c r="AC66" i="61" s="1"/>
  <c r="AA62" i="61"/>
  <c r="AB62" i="61" s="1"/>
  <c r="AC62" i="61" s="1"/>
  <c r="AA58" i="61"/>
  <c r="AB58" i="61" s="1"/>
  <c r="AC58" i="61" s="1"/>
  <c r="AA128" i="61"/>
  <c r="AB128" i="61" s="1"/>
  <c r="AC128" i="61" s="1"/>
  <c r="AA76" i="61"/>
  <c r="AB76" i="61" s="1"/>
  <c r="AC76" i="61" s="1"/>
  <c r="AA40" i="61"/>
  <c r="AB40" i="61" s="1"/>
  <c r="AC40" i="61" s="1"/>
  <c r="AA101" i="61"/>
  <c r="AB101" i="61" s="1"/>
  <c r="AC101" i="61" s="1"/>
  <c r="AA163" i="61"/>
  <c r="AB163" i="61" s="1"/>
  <c r="AC163" i="61" s="1"/>
  <c r="AA113" i="61"/>
  <c r="AB113" i="61" s="1"/>
  <c r="AC113" i="61" s="1"/>
  <c r="AA108" i="61"/>
  <c r="AB108" i="61" s="1"/>
  <c r="AC108" i="61" s="1"/>
  <c r="AA91" i="61"/>
  <c r="AB91" i="61" s="1"/>
  <c r="AC91" i="61" s="1"/>
  <c r="AA88" i="61"/>
  <c r="AB88" i="61" s="1"/>
  <c r="AC88" i="61" s="1"/>
  <c r="AA96" i="61"/>
  <c r="AB96" i="61" s="1"/>
  <c r="AC96" i="61" s="1"/>
  <c r="AA156" i="61"/>
  <c r="AB156" i="61" s="1"/>
  <c r="AC156" i="61" s="1"/>
  <c r="AA121" i="61"/>
  <c r="AB121" i="61" s="1"/>
  <c r="AC121" i="61" s="1"/>
  <c r="AA84" i="61"/>
  <c r="AB84" i="61" s="1"/>
  <c r="AC84" i="61" s="1"/>
  <c r="AA71" i="61"/>
  <c r="AB71" i="61" s="1"/>
  <c r="AC71" i="61" s="1"/>
  <c r="AA63" i="61"/>
  <c r="AB63" i="61" s="1"/>
  <c r="AC63" i="61" s="1"/>
  <c r="AA90" i="61"/>
  <c r="AB90" i="61" s="1"/>
  <c r="AC90" i="61" s="1"/>
  <c r="AA144" i="61"/>
  <c r="AB144" i="61" s="1"/>
  <c r="AC144" i="61" s="1"/>
  <c r="AA45" i="61"/>
  <c r="AB45" i="61" s="1"/>
  <c r="AC45" i="61" s="1"/>
  <c r="AA56" i="61"/>
  <c r="AB56" i="61" s="1"/>
  <c r="AC56" i="61" s="1"/>
  <c r="AA57" i="61"/>
  <c r="AB57" i="61" s="1"/>
  <c r="AC57" i="61" s="1"/>
  <c r="AA152" i="61"/>
  <c r="AB152" i="61" s="1"/>
  <c r="AC152" i="61" s="1"/>
  <c r="AA132" i="61"/>
  <c r="AB132" i="61" s="1"/>
  <c r="AC132" i="61" s="1"/>
  <c r="CI56" i="61"/>
  <c r="AA54" i="61"/>
  <c r="AB54" i="61" s="1"/>
  <c r="AC54" i="61" s="1"/>
  <c r="AA65" i="61"/>
  <c r="AB65" i="61" s="1"/>
  <c r="AC65" i="61" s="1"/>
  <c r="AA61" i="61"/>
  <c r="AB61" i="61" s="1"/>
  <c r="AC61" i="61" s="1"/>
  <c r="AA38" i="61"/>
  <c r="AB38" i="61" s="1"/>
  <c r="AC38" i="61" s="1"/>
  <c r="AA72" i="61"/>
  <c r="AB72" i="61" s="1"/>
  <c r="AC72" i="61" s="1"/>
  <c r="AA67" i="61"/>
  <c r="AB67" i="61" s="1"/>
  <c r="AC67" i="61" s="1"/>
  <c r="AA133" i="61"/>
  <c r="AB133" i="61" s="1"/>
  <c r="AC133" i="61" s="1"/>
  <c r="AA138" i="61"/>
  <c r="AB138" i="61" s="1"/>
  <c r="AC138" i="61" s="1"/>
  <c r="AA109" i="61"/>
  <c r="AB109" i="61" s="1"/>
  <c r="AC109" i="61" s="1"/>
  <c r="AA94" i="61"/>
  <c r="AB94" i="61" s="1"/>
  <c r="AC94" i="61" s="1"/>
  <c r="AA64" i="61"/>
  <c r="AB64" i="61" s="1"/>
  <c r="AC64" i="61" s="1"/>
  <c r="AA161" i="61"/>
  <c r="AB161" i="61" s="1"/>
  <c r="AC161" i="61" s="1"/>
  <c r="AA80" i="61"/>
  <c r="AB80" i="61" s="1"/>
  <c r="AC80" i="61" s="1"/>
  <c r="AA102" i="61"/>
  <c r="AB102" i="61" s="1"/>
  <c r="AC102" i="61" s="1"/>
  <c r="AA89" i="61"/>
  <c r="AB89" i="61" s="1"/>
  <c r="AC89" i="61" s="1"/>
  <c r="AA59" i="61"/>
  <c r="AB59" i="61" s="1"/>
  <c r="AC59" i="61" s="1"/>
  <c r="AA46" i="61"/>
  <c r="AB46" i="61" s="1"/>
  <c r="AC46" i="61" s="1"/>
  <c r="AA159" i="61"/>
  <c r="AB159" i="61" s="1"/>
  <c r="AC159" i="61" s="1"/>
  <c r="AA124" i="61"/>
  <c r="AB124" i="61" s="1"/>
  <c r="AC124" i="61" s="1"/>
  <c r="AA118" i="61"/>
  <c r="AB118" i="61" s="1"/>
  <c r="AC118" i="61" s="1"/>
  <c r="AA53" i="61"/>
  <c r="AB53" i="61" s="1"/>
  <c r="AC53" i="61" s="1"/>
  <c r="AA43" i="61"/>
  <c r="AB43" i="61" s="1"/>
  <c r="AC43" i="61" s="1"/>
  <c r="AA137" i="61"/>
  <c r="AB137" i="61" s="1"/>
  <c r="AC137" i="61" s="1"/>
  <c r="AA97" i="61"/>
  <c r="AB97" i="61" s="1"/>
  <c r="AC97" i="61" s="1"/>
  <c r="AA93" i="61"/>
  <c r="AB93" i="61" s="1"/>
  <c r="AC93" i="61" s="1"/>
  <c r="AA92" i="61"/>
  <c r="AB92" i="61" s="1"/>
  <c r="AC92" i="61" s="1"/>
  <c r="AA60" i="61"/>
  <c r="AB60" i="61" s="1"/>
  <c r="AC60" i="61" s="1"/>
  <c r="AA162" i="61"/>
  <c r="AB162" i="61" s="1"/>
  <c r="AC162" i="61" s="1"/>
  <c r="AA77" i="61"/>
  <c r="AB77" i="61" s="1"/>
  <c r="AC77" i="61" s="1"/>
  <c r="AA49" i="61"/>
  <c r="AB49" i="61" s="1"/>
  <c r="AC49" i="61" s="1"/>
  <c r="AA44" i="61"/>
  <c r="AB44" i="61" s="1"/>
  <c r="AC44" i="61" s="1"/>
  <c r="CT128" i="61"/>
  <c r="AA107" i="61"/>
  <c r="AB107" i="61" s="1"/>
  <c r="AC107" i="61" s="1"/>
  <c r="AA70" i="61"/>
  <c r="AB70" i="61" s="1"/>
  <c r="AC70" i="61" s="1"/>
  <c r="AA55" i="61"/>
  <c r="AB55" i="61" s="1"/>
  <c r="AC55" i="61" s="1"/>
  <c r="CT68" i="61"/>
  <c r="AA47" i="61"/>
  <c r="AB47" i="61" s="1"/>
  <c r="AC47" i="61" s="1"/>
  <c r="AA134" i="61"/>
  <c r="AB134" i="61" s="1"/>
  <c r="AC134" i="61" s="1"/>
  <c r="AA48" i="61"/>
  <c r="AB48" i="61" s="1"/>
  <c r="AC48" i="61" s="1"/>
  <c r="CI152" i="61"/>
  <c r="AA106" i="61"/>
  <c r="AB106" i="61" s="1"/>
  <c r="AC106" i="61" s="1"/>
  <c r="AA41" i="61"/>
  <c r="AB41" i="61" s="1"/>
  <c r="AC41" i="61" s="1"/>
  <c r="CI68" i="61"/>
  <c r="AA157" i="61"/>
  <c r="AB157" i="61" s="1"/>
  <c r="AC157" i="61" s="1"/>
  <c r="CT140" i="61"/>
  <c r="CT152" i="61"/>
  <c r="CT92" i="61"/>
  <c r="AA149" i="61"/>
  <c r="AB149" i="61" s="1"/>
  <c r="AC149" i="61" s="1"/>
  <c r="AA68" i="61"/>
  <c r="AB68" i="61" s="1"/>
  <c r="AC68" i="61" s="1"/>
  <c r="AA129" i="61"/>
  <c r="AB129" i="61" s="1"/>
  <c r="AC129" i="61" s="1"/>
  <c r="AA110" i="61"/>
  <c r="AB110" i="61" s="1"/>
  <c r="AC110" i="61" s="1"/>
  <c r="AA116" i="61"/>
  <c r="AB116" i="61" s="1"/>
  <c r="AC116" i="61" s="1"/>
  <c r="AA99" i="61"/>
  <c r="AB99" i="61" s="1"/>
  <c r="AC99" i="61" s="1"/>
  <c r="AA135" i="61"/>
  <c r="AB135" i="61" s="1"/>
  <c r="AC135" i="61" s="1"/>
  <c r="CT104" i="61"/>
  <c r="AA112" i="61"/>
  <c r="AB112" i="61" s="1"/>
  <c r="AC112" i="61" s="1"/>
  <c r="AA86" i="61"/>
  <c r="AB86" i="61" s="1"/>
  <c r="AC86" i="61" s="1"/>
  <c r="AA87" i="61"/>
  <c r="AB87" i="61" s="1"/>
  <c r="AC87" i="61" s="1"/>
  <c r="CI104" i="61"/>
  <c r="AA51" i="61"/>
  <c r="AB51" i="61" s="1"/>
  <c r="AC51" i="61" s="1"/>
  <c r="CI44" i="61"/>
  <c r="AA75" i="61"/>
  <c r="AB75" i="61" s="1"/>
  <c r="AC75" i="61" s="1"/>
  <c r="AA145" i="61"/>
  <c r="AB145" i="61" s="1"/>
  <c r="AC145" i="61" s="1"/>
  <c r="AA125" i="61"/>
  <c r="AB125" i="61" s="1"/>
  <c r="AC125" i="61" s="1"/>
  <c r="AA114" i="61"/>
  <c r="AB114" i="61" s="1"/>
  <c r="AC114" i="61" s="1"/>
  <c r="AA39" i="61"/>
  <c r="AB39" i="61" s="1"/>
  <c r="AC39" i="61" s="1"/>
  <c r="AA126" i="61"/>
  <c r="AB126" i="61" s="1"/>
  <c r="AC126" i="61" s="1"/>
  <c r="AA69" i="61"/>
  <c r="AB69" i="61" s="1"/>
  <c r="AC69" i="61" s="1"/>
  <c r="AA147" i="61"/>
  <c r="AB147" i="61" s="1"/>
  <c r="AC147" i="61" s="1"/>
  <c r="AA158" i="61"/>
  <c r="AB158" i="61" s="1"/>
  <c r="AC158" i="61" s="1"/>
  <c r="AA146" i="61"/>
  <c r="AB146" i="61" s="1"/>
  <c r="AC146" i="61" s="1"/>
  <c r="AA81" i="61"/>
  <c r="AB81" i="61" s="1"/>
  <c r="AC81" i="61" s="1"/>
  <c r="AA82" i="61"/>
  <c r="AB82" i="61" s="1"/>
  <c r="AC82" i="61" s="1"/>
  <c r="AA79" i="61"/>
  <c r="AB79" i="61" s="1"/>
  <c r="AC79" i="61" s="1"/>
  <c r="CI116" i="61"/>
  <c r="AA150" i="61"/>
  <c r="AB150" i="61" s="1"/>
  <c r="AC150" i="61" s="1"/>
  <c r="CT44" i="61"/>
  <c r="AA127" i="61"/>
  <c r="AB127" i="61" s="1"/>
  <c r="AC127" i="61" s="1"/>
  <c r="AA74" i="61"/>
  <c r="AB74" i="61" s="1"/>
  <c r="AC74" i="61" s="1"/>
  <c r="AA123" i="61"/>
  <c r="AB123" i="61" s="1"/>
  <c r="AC123" i="61" s="1"/>
  <c r="AA52" i="61"/>
  <c r="AB52" i="61" s="1"/>
  <c r="AC52" i="61" s="1"/>
  <c r="CI128" i="61"/>
  <c r="AA141" i="61"/>
  <c r="AB141" i="61" s="1"/>
  <c r="AC141" i="61" s="1"/>
  <c r="AA140" i="61"/>
  <c r="AB140" i="61" s="1"/>
  <c r="AC140" i="61" s="1"/>
  <c r="AA100" i="61"/>
  <c r="AB100" i="61" s="1"/>
  <c r="AC100" i="61" s="1"/>
  <c r="AA154" i="61"/>
  <c r="AB154" i="61" s="1"/>
  <c r="AC154" i="61" s="1"/>
  <c r="AA120" i="61"/>
  <c r="AB120" i="61" s="1"/>
  <c r="AC120" i="61" s="1"/>
  <c r="CT116" i="61"/>
  <c r="AA117" i="61"/>
  <c r="AB117" i="61" s="1"/>
  <c r="AC117" i="61" s="1"/>
  <c r="AA98" i="61"/>
  <c r="AB98" i="61" s="1"/>
  <c r="AC98" i="61" s="1"/>
  <c r="CI140" i="61"/>
  <c r="CI92" i="61"/>
  <c r="AA155" i="61"/>
  <c r="AB155" i="61" s="1"/>
  <c r="AC155" i="61" s="1"/>
  <c r="AA111" i="61"/>
  <c r="AB111" i="61" s="1"/>
  <c r="AC111" i="61" s="1"/>
  <c r="AA78" i="61"/>
  <c r="AB78" i="61" s="1"/>
  <c r="AC78" i="61" s="1"/>
  <c r="AA42" i="61"/>
  <c r="AB42" i="61" s="1"/>
  <c r="AC42" i="61" s="1"/>
  <c r="CT80" i="61"/>
  <c r="AA104" i="61"/>
  <c r="AB104" i="61" s="1"/>
  <c r="AC104" i="61" s="1"/>
  <c r="CI80" i="61"/>
  <c r="AA153" i="61"/>
  <c r="AB153" i="61" s="1"/>
  <c r="AC153" i="61" s="1"/>
  <c r="AA130" i="61"/>
  <c r="AB130" i="61" s="1"/>
  <c r="AC130" i="61" s="1"/>
  <c r="AA142" i="61"/>
  <c r="AB142" i="61" s="1"/>
  <c r="AC142" i="61" s="1"/>
  <c r="AA50" i="61"/>
  <c r="AB50" i="61" s="1"/>
  <c r="AC50" i="61" s="1"/>
  <c r="J13" i="61"/>
  <c r="AE20" i="61" s="1"/>
  <c r="BW23" i="61"/>
  <c r="BW24" i="61"/>
  <c r="BW20" i="61"/>
  <c r="BW25" i="61"/>
  <c r="AA23" i="61"/>
  <c r="AB23" i="61" s="1"/>
  <c r="AC23" i="61" s="1"/>
  <c r="AA24" i="61"/>
  <c r="AB24" i="61" s="1"/>
  <c r="AC24" i="61" s="1"/>
  <c r="AA25" i="61"/>
  <c r="AB25" i="61" s="1"/>
  <c r="AC25" i="61" s="1"/>
  <c r="N22" i="61"/>
  <c r="O22" i="61" s="1"/>
  <c r="N21" i="61"/>
  <c r="O21" i="61" s="1"/>
  <c r="N23" i="61"/>
  <c r="O23" i="61" s="1"/>
  <c r="N24" i="61"/>
  <c r="O24" i="61" s="1"/>
  <c r="N25" i="61"/>
  <c r="O25" i="61" s="1"/>
  <c r="BG57" i="61" l="1"/>
  <c r="BX104" i="61"/>
  <c r="BC80" i="61"/>
  <c r="BC77" i="61"/>
  <c r="BC94" i="61"/>
  <c r="BX128" i="61"/>
  <c r="BC104" i="61"/>
  <c r="BG58" i="61"/>
  <c r="BJ58" i="61" s="1"/>
  <c r="BK58" i="61" s="1"/>
  <c r="BG59" i="61"/>
  <c r="BJ59" i="61" s="1"/>
  <c r="BK59" i="61" s="1"/>
  <c r="BX68" i="61"/>
  <c r="BX140" i="61"/>
  <c r="BC84" i="61"/>
  <c r="BG54" i="61"/>
  <c r="BJ54" i="61" s="1"/>
  <c r="BK54" i="61" s="1"/>
  <c r="BJ156" i="61"/>
  <c r="BK156" i="61" s="1"/>
  <c r="BC22" i="61"/>
  <c r="CB22" i="61"/>
  <c r="BX116" i="61"/>
  <c r="BC68" i="61"/>
  <c r="BG60" i="61"/>
  <c r="BJ60" i="61" s="1"/>
  <c r="BK60" i="61" s="1"/>
  <c r="AW22" i="61"/>
  <c r="DB22" i="61"/>
  <c r="AW21" i="61"/>
  <c r="DB21" i="61"/>
  <c r="DA22" i="61"/>
  <c r="BX22" i="61"/>
  <c r="CX22" i="61"/>
  <c r="BX21" i="61"/>
  <c r="DA21" i="61"/>
  <c r="BC45" i="61"/>
  <c r="BX20" i="61"/>
  <c r="DA20" i="61"/>
  <c r="DC20" i="61" s="1"/>
  <c r="DD20" i="61" s="1"/>
  <c r="BX152" i="61"/>
  <c r="BG38" i="61"/>
  <c r="BJ38" i="61" s="1"/>
  <c r="BK38" i="61" s="1"/>
  <c r="BC49" i="61"/>
  <c r="BC44" i="61"/>
  <c r="BJ139" i="61"/>
  <c r="BK139" i="61" s="1"/>
  <c r="BX56" i="61"/>
  <c r="CU20" i="61"/>
  <c r="CT20" i="61"/>
  <c r="BG24" i="61"/>
  <c r="BJ24" i="61" s="1"/>
  <c r="BK24" i="61" s="1"/>
  <c r="BJ145" i="61"/>
  <c r="BK145" i="61" s="1"/>
  <c r="BG56" i="61"/>
  <c r="BJ56" i="61" s="1"/>
  <c r="BK56" i="61" s="1"/>
  <c r="CH20" i="61"/>
  <c r="CI20" i="61"/>
  <c r="BD22" i="61"/>
  <c r="BG22" i="61" s="1"/>
  <c r="BJ116" i="61"/>
  <c r="BK116" i="61" s="1"/>
  <c r="BJ136" i="61"/>
  <c r="BK136" i="61" s="1"/>
  <c r="BJ133" i="61"/>
  <c r="BK133" i="61" s="1"/>
  <c r="BJ123" i="61"/>
  <c r="BK123" i="61" s="1"/>
  <c r="BJ152" i="61"/>
  <c r="BK152" i="61" s="1"/>
  <c r="BQ23" i="61"/>
  <c r="BR23" i="61" s="1"/>
  <c r="BC64" i="61"/>
  <c r="BJ158" i="61"/>
  <c r="BK158" i="61" s="1"/>
  <c r="BJ129" i="61"/>
  <c r="BK129" i="61" s="1"/>
  <c r="AZ100" i="61"/>
  <c r="AZ91" i="61"/>
  <c r="AZ52" i="61"/>
  <c r="AZ93" i="61"/>
  <c r="BG25" i="61"/>
  <c r="BJ25" i="61" s="1"/>
  <c r="BK25" i="61" s="1"/>
  <c r="BJ161" i="61"/>
  <c r="BK161" i="61" s="1"/>
  <c r="BJ140" i="61"/>
  <c r="BK140" i="61" s="1"/>
  <c r="BJ146" i="61"/>
  <c r="BK146" i="61" s="1"/>
  <c r="BX44" i="61"/>
  <c r="BX80" i="61"/>
  <c r="BC46" i="61"/>
  <c r="BD80" i="61"/>
  <c r="BG80" i="61" s="1"/>
  <c r="BG55" i="61"/>
  <c r="BJ55" i="61" s="1"/>
  <c r="BK55" i="61" s="1"/>
  <c r="BG39" i="61"/>
  <c r="BJ39" i="61" s="1"/>
  <c r="BK39" i="61" s="1"/>
  <c r="BI80" i="61"/>
  <c r="BD77" i="61"/>
  <c r="BG77" i="61" s="1"/>
  <c r="BJ126" i="61"/>
  <c r="BK126" i="61" s="1"/>
  <c r="BC92" i="61"/>
  <c r="BH92" i="61"/>
  <c r="BQ93" i="61"/>
  <c r="BR93" i="61" s="1"/>
  <c r="BD92" i="61"/>
  <c r="BG92" i="61" s="1"/>
  <c r="BF92" i="61"/>
  <c r="BI92" i="61"/>
  <c r="BB51" i="61"/>
  <c r="AZ51" i="61"/>
  <c r="AZ81" i="61"/>
  <c r="BB81" i="61"/>
  <c r="AZ85" i="61"/>
  <c r="BB85" i="61"/>
  <c r="AZ74" i="61"/>
  <c r="BB74" i="61"/>
  <c r="BC70" i="61"/>
  <c r="BI70" i="61"/>
  <c r="BH70" i="61"/>
  <c r="BD70" i="61"/>
  <c r="BG70" i="61" s="1"/>
  <c r="BE70" i="61"/>
  <c r="BQ71" i="61"/>
  <c r="BR71" i="61" s="1"/>
  <c r="BF70" i="61"/>
  <c r="BC62" i="61"/>
  <c r="BF62" i="61"/>
  <c r="BE62" i="61"/>
  <c r="BH62" i="61"/>
  <c r="BI62" i="61"/>
  <c r="BQ63" i="61"/>
  <c r="BR63" i="61" s="1"/>
  <c r="BG23" i="61"/>
  <c r="BJ23" i="61" s="1"/>
  <c r="BK23" i="61" s="1"/>
  <c r="BE92" i="61"/>
  <c r="AZ114" i="61"/>
  <c r="BC114" i="61"/>
  <c r="AZ105" i="61"/>
  <c r="BB105" i="61"/>
  <c r="BC100" i="61"/>
  <c r="BB65" i="61"/>
  <c r="AZ65" i="61"/>
  <c r="AZ95" i="61"/>
  <c r="BB95" i="61"/>
  <c r="AZ42" i="61"/>
  <c r="BB42" i="61"/>
  <c r="BH22" i="61"/>
  <c r="BD100" i="61"/>
  <c r="BG100" i="61" s="1"/>
  <c r="BI77" i="61"/>
  <c r="BJ120" i="61"/>
  <c r="BK120" i="61" s="1"/>
  <c r="BH64" i="61"/>
  <c r="BJ144" i="61"/>
  <c r="BK144" i="61" s="1"/>
  <c r="BJ112" i="61"/>
  <c r="BK112" i="61" s="1"/>
  <c r="BF100" i="61"/>
  <c r="BH80" i="61"/>
  <c r="BE64" i="61"/>
  <c r="BF77" i="61"/>
  <c r="BE100" i="61"/>
  <c r="BE104" i="61"/>
  <c r="BJ117" i="61"/>
  <c r="BK117" i="61" s="1"/>
  <c r="BJ154" i="61"/>
  <c r="BK154" i="61" s="1"/>
  <c r="BE49" i="61"/>
  <c r="BJ131" i="61"/>
  <c r="BK131" i="61" s="1"/>
  <c r="BJ111" i="61"/>
  <c r="BK111" i="61" s="1"/>
  <c r="BE68" i="61"/>
  <c r="BD68" i="61"/>
  <c r="BG68" i="61" s="1"/>
  <c r="BH49" i="61"/>
  <c r="BF94" i="61"/>
  <c r="BF45" i="61"/>
  <c r="BE52" i="61"/>
  <c r="BH96" i="61"/>
  <c r="BF49" i="61"/>
  <c r="AZ118" i="61"/>
  <c r="BC118" i="61"/>
  <c r="AZ68" i="61"/>
  <c r="AZ139" i="61"/>
  <c r="BC139" i="61"/>
  <c r="AZ123" i="61"/>
  <c r="BC123" i="61"/>
  <c r="AZ151" i="61"/>
  <c r="BC151" i="61"/>
  <c r="BC155" i="61"/>
  <c r="AZ155" i="61"/>
  <c r="AZ160" i="61"/>
  <c r="BC160" i="61"/>
  <c r="AZ157" i="61"/>
  <c r="BC157" i="61"/>
  <c r="BQ92" i="61"/>
  <c r="BR92" i="61" s="1"/>
  <c r="BQ94" i="61"/>
  <c r="BR94" i="61" s="1"/>
  <c r="AZ24" i="61"/>
  <c r="BC24" i="61"/>
  <c r="BB89" i="61"/>
  <c r="AZ89" i="61"/>
  <c r="AZ98" i="61"/>
  <c r="BB98" i="61"/>
  <c r="BB79" i="61"/>
  <c r="AZ79" i="61"/>
  <c r="AZ72" i="61"/>
  <c r="BB72" i="61"/>
  <c r="BE22" i="61"/>
  <c r="BI76" i="61"/>
  <c r="BJ157" i="61"/>
  <c r="BK157" i="61" s="1"/>
  <c r="BH100" i="61"/>
  <c r="BE80" i="61"/>
  <c r="BJ109" i="61"/>
  <c r="BK109" i="61" s="1"/>
  <c r="BF104" i="61"/>
  <c r="BJ138" i="61"/>
  <c r="BK138" i="61" s="1"/>
  <c r="BJ121" i="61"/>
  <c r="BK121" i="61" s="1"/>
  <c r="BJ163" i="61"/>
  <c r="BK163" i="61" s="1"/>
  <c r="BD91" i="61"/>
  <c r="BG91" i="61" s="1"/>
  <c r="BH68" i="61"/>
  <c r="BJ155" i="61"/>
  <c r="BK155" i="61" s="1"/>
  <c r="BD52" i="61"/>
  <c r="BG52" i="61" s="1"/>
  <c r="BI68" i="61"/>
  <c r="BI45" i="61"/>
  <c r="BD44" i="61"/>
  <c r="BG44" i="61" s="1"/>
  <c r="AZ134" i="61"/>
  <c r="BC134" i="61"/>
  <c r="AZ159" i="61"/>
  <c r="BC159" i="61"/>
  <c r="AZ112" i="61"/>
  <c r="BC112" i="61"/>
  <c r="AZ59" i="61"/>
  <c r="BC59" i="61"/>
  <c r="AZ117" i="61"/>
  <c r="BC117" i="61"/>
  <c r="AZ148" i="61"/>
  <c r="BC148" i="61"/>
  <c r="AZ22" i="61"/>
  <c r="AZ144" i="61"/>
  <c r="BC144" i="61"/>
  <c r="AZ147" i="61"/>
  <c r="BC147" i="61"/>
  <c r="AZ80" i="61"/>
  <c r="AZ150" i="61"/>
  <c r="BC150" i="61"/>
  <c r="BQ45" i="61"/>
  <c r="BR45" i="61" s="1"/>
  <c r="AZ126" i="61"/>
  <c r="BC126" i="61"/>
  <c r="AZ153" i="61"/>
  <c r="BC153" i="61"/>
  <c r="AZ73" i="61"/>
  <c r="BB73" i="61"/>
  <c r="BB82" i="61"/>
  <c r="AZ82" i="61"/>
  <c r="AZ88" i="61"/>
  <c r="BB88" i="61"/>
  <c r="BB63" i="61"/>
  <c r="AZ63" i="61"/>
  <c r="AZ103" i="61"/>
  <c r="BB103" i="61"/>
  <c r="BB75" i="61"/>
  <c r="AZ75" i="61"/>
  <c r="AZ20" i="61"/>
  <c r="BQ21" i="61"/>
  <c r="BR21" i="61" s="1"/>
  <c r="BJ118" i="61"/>
  <c r="BK118" i="61" s="1"/>
  <c r="BJ119" i="61"/>
  <c r="BK119" i="61" s="1"/>
  <c r="BJ142" i="61"/>
  <c r="BK142" i="61" s="1"/>
  <c r="BJ143" i="61"/>
  <c r="BK143" i="61" s="1"/>
  <c r="BI94" i="61"/>
  <c r="BH104" i="61"/>
  <c r="BD46" i="61"/>
  <c r="BG46" i="61" s="1"/>
  <c r="BH77" i="61"/>
  <c r="BF93" i="61"/>
  <c r="BJ149" i="61"/>
  <c r="BK149" i="61" s="1"/>
  <c r="BJ124" i="61"/>
  <c r="BK124" i="61" s="1"/>
  <c r="BF76" i="61"/>
  <c r="BF64" i="61"/>
  <c r="BF68" i="61"/>
  <c r="BH45" i="61"/>
  <c r="BJ115" i="61"/>
  <c r="BK115" i="61" s="1"/>
  <c r="BJ159" i="61"/>
  <c r="BK159" i="61" s="1"/>
  <c r="BH44" i="61"/>
  <c r="BE44" i="61"/>
  <c r="BI49" i="61"/>
  <c r="BJ113" i="61"/>
  <c r="BK113" i="61" s="1"/>
  <c r="AZ154" i="61"/>
  <c r="BC154" i="61"/>
  <c r="AZ104" i="61"/>
  <c r="AZ54" i="61"/>
  <c r="BC54" i="61"/>
  <c r="AZ158" i="61"/>
  <c r="BC158" i="61"/>
  <c r="AZ70" i="61"/>
  <c r="AZ141" i="61"/>
  <c r="BC141" i="61"/>
  <c r="AZ109" i="61"/>
  <c r="BC109" i="61"/>
  <c r="AZ138" i="61"/>
  <c r="BC138" i="61"/>
  <c r="AZ94" i="61"/>
  <c r="AZ140" i="61"/>
  <c r="BC140" i="61"/>
  <c r="AZ77" i="61"/>
  <c r="AZ120" i="61"/>
  <c r="BC120" i="61"/>
  <c r="AZ143" i="61"/>
  <c r="BC143" i="61"/>
  <c r="BQ97" i="61"/>
  <c r="BR97" i="61" s="1"/>
  <c r="BQ105" i="61"/>
  <c r="BR105" i="61" s="1"/>
  <c r="BQ85" i="61"/>
  <c r="BR85" i="61" s="1"/>
  <c r="AZ25" i="61"/>
  <c r="BC25" i="61"/>
  <c r="AZ163" i="61"/>
  <c r="BC163" i="61"/>
  <c r="AZ41" i="61"/>
  <c r="BB41" i="61"/>
  <c r="BC52" i="61"/>
  <c r="BB66" i="61"/>
  <c r="AZ66" i="61"/>
  <c r="AZ47" i="61"/>
  <c r="BB47" i="61"/>
  <c r="BC93" i="61"/>
  <c r="BC91" i="61"/>
  <c r="BJ137" i="61"/>
  <c r="BK137" i="61" s="1"/>
  <c r="BJ108" i="61"/>
  <c r="BK108" i="61" s="1"/>
  <c r="BH76" i="61"/>
  <c r="BD45" i="61"/>
  <c r="BG45" i="61" s="1"/>
  <c r="BI44" i="61"/>
  <c r="BD104" i="61"/>
  <c r="BG104" i="61" s="1"/>
  <c r="BD93" i="61"/>
  <c r="BG93" i="61" s="1"/>
  <c r="BI93" i="61"/>
  <c r="BE46" i="61"/>
  <c r="BD49" i="61"/>
  <c r="BG49" i="61" s="1"/>
  <c r="BI64" i="61"/>
  <c r="BJ57" i="61"/>
  <c r="BK57" i="61" s="1"/>
  <c r="BD94" i="61"/>
  <c r="BG94" i="61" s="1"/>
  <c r="BE84" i="61"/>
  <c r="BJ125" i="61"/>
  <c r="BK125" i="61" s="1"/>
  <c r="BJ150" i="61"/>
  <c r="BK150" i="61" s="1"/>
  <c r="BH52" i="61"/>
  <c r="BD96" i="61"/>
  <c r="BG96" i="61" s="1"/>
  <c r="BI96" i="61"/>
  <c r="AZ152" i="61"/>
  <c r="BC152" i="61"/>
  <c r="AZ96" i="61"/>
  <c r="AZ145" i="61"/>
  <c r="BC145" i="61"/>
  <c r="BC142" i="61"/>
  <c r="AZ142" i="61"/>
  <c r="AZ130" i="61"/>
  <c r="BC130" i="61"/>
  <c r="AZ61" i="61"/>
  <c r="BC61" i="61"/>
  <c r="AZ149" i="61"/>
  <c r="BC149" i="61"/>
  <c r="AZ135" i="61"/>
  <c r="BC135" i="61"/>
  <c r="AZ84" i="61"/>
  <c r="AZ132" i="61"/>
  <c r="BC132" i="61"/>
  <c r="AZ129" i="61"/>
  <c r="BC129" i="61"/>
  <c r="AZ57" i="61"/>
  <c r="BC57" i="61"/>
  <c r="BQ65" i="61"/>
  <c r="BR65" i="61" s="1"/>
  <c r="BQ77" i="61"/>
  <c r="BR77" i="61" s="1"/>
  <c r="BQ50" i="61"/>
  <c r="BR50" i="61" s="1"/>
  <c r="BQ53" i="61"/>
  <c r="BR53" i="61" s="1"/>
  <c r="AZ107" i="61"/>
  <c r="BC107" i="61"/>
  <c r="BX92" i="61"/>
  <c r="BB71" i="61"/>
  <c r="AZ71" i="61"/>
  <c r="AZ99" i="61"/>
  <c r="BB99" i="61"/>
  <c r="AZ50" i="61"/>
  <c r="BB50" i="61"/>
  <c r="AZ69" i="61"/>
  <c r="BB69" i="61"/>
  <c r="AZ43" i="61"/>
  <c r="BB43" i="61"/>
  <c r="BF22" i="61"/>
  <c r="BJ132" i="61"/>
  <c r="BK132" i="61" s="1"/>
  <c r="BJ147" i="61"/>
  <c r="BK147" i="61" s="1"/>
  <c r="BJ141" i="61"/>
  <c r="BK141" i="61" s="1"/>
  <c r="BJ107" i="61"/>
  <c r="BK107" i="61" s="1"/>
  <c r="BE76" i="61"/>
  <c r="BF46" i="61"/>
  <c r="BE77" i="61"/>
  <c r="BJ122" i="61"/>
  <c r="BK122" i="61" s="1"/>
  <c r="BD64" i="61"/>
  <c r="BG64" i="61" s="1"/>
  <c r="BJ114" i="61"/>
  <c r="BK114" i="61" s="1"/>
  <c r="BJ135" i="61"/>
  <c r="BK135" i="61" s="1"/>
  <c r="BH84" i="61"/>
  <c r="BJ153" i="61"/>
  <c r="BK153" i="61" s="1"/>
  <c r="BF96" i="61"/>
  <c r="BJ162" i="61"/>
  <c r="BK162" i="61" s="1"/>
  <c r="BI91" i="61"/>
  <c r="AZ23" i="61"/>
  <c r="BC23" i="61"/>
  <c r="AZ146" i="61"/>
  <c r="BC146" i="61"/>
  <c r="BC136" i="61"/>
  <c r="AZ136" i="61"/>
  <c r="AZ44" i="61"/>
  <c r="AZ127" i="61"/>
  <c r="BC127" i="61"/>
  <c r="AZ58" i="61"/>
  <c r="BC58" i="61"/>
  <c r="AZ111" i="61"/>
  <c r="BC111" i="61"/>
  <c r="AZ119" i="61"/>
  <c r="BC119" i="61"/>
  <c r="AZ45" i="61"/>
  <c r="AZ124" i="61"/>
  <c r="BC124" i="61"/>
  <c r="AZ60" i="61"/>
  <c r="BC60" i="61"/>
  <c r="AZ121" i="61"/>
  <c r="BC121" i="61"/>
  <c r="AZ49" i="61"/>
  <c r="BQ47" i="61"/>
  <c r="BR47" i="61" s="1"/>
  <c r="BQ81" i="61"/>
  <c r="BR81" i="61" s="1"/>
  <c r="BQ101" i="61"/>
  <c r="BR101" i="61" s="1"/>
  <c r="AZ162" i="61"/>
  <c r="BC162" i="61"/>
  <c r="BB102" i="61"/>
  <c r="AZ102" i="61"/>
  <c r="AZ83" i="61"/>
  <c r="BB83" i="61"/>
  <c r="BB101" i="61"/>
  <c r="AZ101" i="61"/>
  <c r="AZ106" i="61"/>
  <c r="BB106" i="61"/>
  <c r="BI22" i="61"/>
  <c r="BE91" i="61"/>
  <c r="BI100" i="61"/>
  <c r="BG61" i="61"/>
  <c r="BJ61" i="61" s="1"/>
  <c r="BK61" i="61" s="1"/>
  <c r="BJ151" i="61"/>
  <c r="BK151" i="61" s="1"/>
  <c r="BG53" i="61"/>
  <c r="BJ53" i="61" s="1"/>
  <c r="BK53" i="61" s="1"/>
  <c r="BJ128" i="61"/>
  <c r="BK128" i="61" s="1"/>
  <c r="BI104" i="61"/>
  <c r="BJ148" i="61"/>
  <c r="BK148" i="61" s="1"/>
  <c r="BF44" i="61"/>
  <c r="BI52" i="61"/>
  <c r="BJ160" i="61"/>
  <c r="BK160" i="61" s="1"/>
  <c r="BI84" i="61"/>
  <c r="BE94" i="61"/>
  <c r="AZ156" i="61"/>
  <c r="BC156" i="61"/>
  <c r="AZ137" i="61"/>
  <c r="BC137" i="61"/>
  <c r="AZ133" i="61"/>
  <c r="BC133" i="61"/>
  <c r="AZ39" i="61"/>
  <c r="BC39" i="61"/>
  <c r="AZ62" i="61"/>
  <c r="AZ122" i="61"/>
  <c r="BC122" i="61"/>
  <c r="AZ116" i="61"/>
  <c r="BC116" i="61"/>
  <c r="AZ64" i="61"/>
  <c r="AZ92" i="61"/>
  <c r="BC113" i="61"/>
  <c r="AZ113" i="61"/>
  <c r="AZ38" i="61"/>
  <c r="BC38" i="61"/>
  <c r="AZ56" i="61"/>
  <c r="BC56" i="61"/>
  <c r="AZ115" i="61"/>
  <c r="BC115" i="61"/>
  <c r="AZ46" i="61"/>
  <c r="BQ95" i="61"/>
  <c r="BR95" i="61" s="1"/>
  <c r="BQ69" i="61"/>
  <c r="BR69" i="61" s="1"/>
  <c r="BB86" i="61"/>
  <c r="AZ86" i="61"/>
  <c r="AZ67" i="61"/>
  <c r="BB67" i="61"/>
  <c r="AZ97" i="61"/>
  <c r="BB97" i="61"/>
  <c r="AZ48" i="61"/>
  <c r="BB48" i="61"/>
  <c r="BB78" i="61"/>
  <c r="AZ78" i="61"/>
  <c r="BB87" i="61"/>
  <c r="AZ87" i="61"/>
  <c r="BB90" i="61"/>
  <c r="AZ90" i="61"/>
  <c r="AZ21" i="61"/>
  <c r="BF80" i="61"/>
  <c r="BJ127" i="61"/>
  <c r="BK127" i="61" s="1"/>
  <c r="BE93" i="61"/>
  <c r="BD76" i="61"/>
  <c r="BG76" i="61" s="1"/>
  <c r="BI46" i="61"/>
  <c r="BJ110" i="61"/>
  <c r="BK110" i="61" s="1"/>
  <c r="BJ134" i="61"/>
  <c r="BK134" i="61" s="1"/>
  <c r="BJ130" i="61"/>
  <c r="BK130" i="61" s="1"/>
  <c r="BE45" i="61"/>
  <c r="BG40" i="61"/>
  <c r="BJ40" i="61" s="1"/>
  <c r="BK40" i="61" s="1"/>
  <c r="BE96" i="61"/>
  <c r="BF84" i="61"/>
  <c r="BF91" i="61"/>
  <c r="BD84" i="61"/>
  <c r="BG84" i="61" s="1"/>
  <c r="BH94" i="61"/>
  <c r="AZ128" i="61"/>
  <c r="BC128" i="61"/>
  <c r="AZ131" i="61"/>
  <c r="BC131" i="61"/>
  <c r="AZ76" i="61"/>
  <c r="AZ125" i="61"/>
  <c r="BC125" i="61"/>
  <c r="AZ161" i="61"/>
  <c r="BC161" i="61"/>
  <c r="AZ108" i="61"/>
  <c r="BC108" i="61"/>
  <c r="AZ55" i="61"/>
  <c r="BC55" i="61"/>
  <c r="AZ53" i="61"/>
  <c r="BC53" i="61"/>
  <c r="AZ110" i="61"/>
  <c r="BC110" i="61"/>
  <c r="AZ40" i="61"/>
  <c r="BC40" i="61"/>
  <c r="BQ78" i="61"/>
  <c r="BR78" i="61" s="1"/>
  <c r="BQ46" i="61"/>
  <c r="BR46" i="61" s="1"/>
  <c r="BF20" i="61"/>
  <c r="BH20" i="61"/>
  <c r="BE20" i="61"/>
  <c r="BD20" i="61"/>
  <c r="BI20" i="61"/>
  <c r="AW20" i="61"/>
  <c r="BC20" i="61"/>
  <c r="CX116" i="61"/>
  <c r="CX44" i="61"/>
  <c r="CX104" i="61"/>
  <c r="CX80" i="61"/>
  <c r="CX152" i="61"/>
  <c r="CX56" i="61"/>
  <c r="CX92" i="61"/>
  <c r="CX140" i="61"/>
  <c r="CX128" i="61"/>
  <c r="Q42" i="61"/>
  <c r="P42" i="61"/>
  <c r="R42" i="61" s="1"/>
  <c r="S42" i="61" s="1"/>
  <c r="Q121" i="61"/>
  <c r="P121" i="61"/>
  <c r="R121" i="61" s="1"/>
  <c r="S121" i="61" s="1"/>
  <c r="Q39" i="61"/>
  <c r="P39" i="61"/>
  <c r="R39" i="61" s="1"/>
  <c r="S39" i="61" s="1"/>
  <c r="P134" i="61"/>
  <c r="R134" i="61" s="1"/>
  <c r="S134" i="61" s="1"/>
  <c r="Q134" i="61"/>
  <c r="Q110" i="61"/>
  <c r="P110" i="61"/>
  <c r="R110" i="61" s="1"/>
  <c r="S110" i="61" s="1"/>
  <c r="Q72" i="61"/>
  <c r="P72" i="61"/>
  <c r="R72" i="61" s="1"/>
  <c r="S72" i="61" s="1"/>
  <c r="CX68" i="61"/>
  <c r="Q75" i="61"/>
  <c r="P75" i="61"/>
  <c r="R75" i="61" s="1"/>
  <c r="S75" i="61" s="1"/>
  <c r="P93" i="61"/>
  <c r="R93" i="61" s="1"/>
  <c r="S93" i="61" s="1"/>
  <c r="Q93" i="61"/>
  <c r="CB128" i="61"/>
  <c r="CE128" i="61" s="1"/>
  <c r="CJ128" i="61" s="1"/>
  <c r="CO128" i="61"/>
  <c r="CP128" i="61" s="1"/>
  <c r="Q115" i="61"/>
  <c r="P115" i="61"/>
  <c r="R115" i="61" s="1"/>
  <c r="S115" i="61" s="1"/>
  <c r="Q85" i="61"/>
  <c r="P85" i="61"/>
  <c r="R85" i="61" s="1"/>
  <c r="S85" i="61" s="1"/>
  <c r="P59" i="61"/>
  <c r="R59" i="61" s="1"/>
  <c r="S59" i="61" s="1"/>
  <c r="Q59" i="61"/>
  <c r="Q124" i="61"/>
  <c r="P124" i="61"/>
  <c r="R124" i="61" s="1"/>
  <c r="S124" i="61" s="1"/>
  <c r="P123" i="61"/>
  <c r="R123" i="61" s="1"/>
  <c r="S123" i="61" s="1"/>
  <c r="Q123" i="61"/>
  <c r="Q38" i="61"/>
  <c r="P38" i="61"/>
  <c r="R38" i="61" s="1"/>
  <c r="S38" i="61" s="1"/>
  <c r="P46" i="61"/>
  <c r="R46" i="61" s="1"/>
  <c r="S46" i="61" s="1"/>
  <c r="Q46" i="61"/>
  <c r="Q88" i="61"/>
  <c r="P88" i="61"/>
  <c r="R88" i="61" s="1"/>
  <c r="S88" i="61" s="1"/>
  <c r="Q90" i="61"/>
  <c r="P90" i="61"/>
  <c r="R90" i="61" s="1"/>
  <c r="S90" i="61" s="1"/>
  <c r="Q53" i="61"/>
  <c r="P53" i="61"/>
  <c r="R53" i="61" s="1"/>
  <c r="S53" i="61" s="1"/>
  <c r="P109" i="61"/>
  <c r="R109" i="61" s="1"/>
  <c r="S109" i="61" s="1"/>
  <c r="Q109" i="61"/>
  <c r="Q87" i="61"/>
  <c r="P87" i="61"/>
  <c r="R87" i="61" s="1"/>
  <c r="S87" i="61" s="1"/>
  <c r="Q135" i="61"/>
  <c r="P135" i="61"/>
  <c r="R135" i="61" s="1"/>
  <c r="S135" i="61" s="1"/>
  <c r="P107" i="61"/>
  <c r="R107" i="61" s="1"/>
  <c r="S107" i="61" s="1"/>
  <c r="Q107" i="61"/>
  <c r="Q112" i="61"/>
  <c r="P112" i="61"/>
  <c r="R112" i="61" s="1"/>
  <c r="S112" i="61" s="1"/>
  <c r="Q153" i="61"/>
  <c r="P153" i="61"/>
  <c r="R153" i="61" s="1"/>
  <c r="S153" i="61" s="1"/>
  <c r="Q77" i="61"/>
  <c r="P77" i="61"/>
  <c r="R77" i="61" s="1"/>
  <c r="S77" i="61" s="1"/>
  <c r="Q86" i="61"/>
  <c r="P86" i="61"/>
  <c r="R86" i="61" s="1"/>
  <c r="S86" i="61" s="1"/>
  <c r="CO152" i="61"/>
  <c r="CP152" i="61" s="1"/>
  <c r="CB152" i="61"/>
  <c r="CE152" i="61" s="1"/>
  <c r="CJ152" i="61" s="1"/>
  <c r="P139" i="61"/>
  <c r="R139" i="61" s="1"/>
  <c r="S139" i="61" s="1"/>
  <c r="Q139" i="61"/>
  <c r="Q65" i="61"/>
  <c r="P65" i="61"/>
  <c r="R65" i="61" s="1"/>
  <c r="S65" i="61" s="1"/>
  <c r="Q81" i="61"/>
  <c r="P81" i="61"/>
  <c r="R81" i="61" s="1"/>
  <c r="S81" i="61" s="1"/>
  <c r="P80" i="61"/>
  <c r="R80" i="61" s="1"/>
  <c r="S80" i="61" s="1"/>
  <c r="Q80" i="61"/>
  <c r="Q141" i="61"/>
  <c r="P141" i="61"/>
  <c r="R141" i="61" s="1"/>
  <c r="S141" i="61" s="1"/>
  <c r="P56" i="61"/>
  <c r="R56" i="61" s="1"/>
  <c r="S56" i="61" s="1"/>
  <c r="Q56" i="61"/>
  <c r="P57" i="61"/>
  <c r="R57" i="61" s="1"/>
  <c r="S57" i="61" s="1"/>
  <c r="Q57" i="61"/>
  <c r="P129" i="61"/>
  <c r="R129" i="61" s="1"/>
  <c r="S129" i="61" s="1"/>
  <c r="Q129" i="61"/>
  <c r="Q125" i="61"/>
  <c r="P125" i="61"/>
  <c r="R125" i="61" s="1"/>
  <c r="S125" i="61" s="1"/>
  <c r="Q82" i="61"/>
  <c r="P82" i="61"/>
  <c r="R82" i="61" s="1"/>
  <c r="S82" i="61" s="1"/>
  <c r="Q114" i="61"/>
  <c r="P114" i="61"/>
  <c r="R114" i="61" s="1"/>
  <c r="S114" i="61" s="1"/>
  <c r="P145" i="61"/>
  <c r="R145" i="61" s="1"/>
  <c r="S145" i="61" s="1"/>
  <c r="Q145" i="61"/>
  <c r="Q71" i="61"/>
  <c r="P71" i="61"/>
  <c r="R71" i="61" s="1"/>
  <c r="S71" i="61" s="1"/>
  <c r="Q94" i="61"/>
  <c r="P94" i="61"/>
  <c r="R94" i="61" s="1"/>
  <c r="S94" i="61" s="1"/>
  <c r="Q157" i="61"/>
  <c r="P157" i="61"/>
  <c r="R157" i="61" s="1"/>
  <c r="S157" i="61" s="1"/>
  <c r="Q50" i="61"/>
  <c r="P50" i="61"/>
  <c r="R50" i="61" s="1"/>
  <c r="S50" i="61" s="1"/>
  <c r="Q89" i="61"/>
  <c r="P89" i="61"/>
  <c r="R89" i="61" s="1"/>
  <c r="S89" i="61" s="1"/>
  <c r="P131" i="61"/>
  <c r="R131" i="61" s="1"/>
  <c r="S131" i="61" s="1"/>
  <c r="Q131" i="61"/>
  <c r="Q119" i="61"/>
  <c r="P119" i="61"/>
  <c r="R119" i="61" s="1"/>
  <c r="S119" i="61" s="1"/>
  <c r="Q111" i="61"/>
  <c r="P111" i="61"/>
  <c r="R111" i="61" s="1"/>
  <c r="S111" i="61" s="1"/>
  <c r="Q41" i="61"/>
  <c r="P41" i="61"/>
  <c r="R41" i="61" s="1"/>
  <c r="S41" i="61" s="1"/>
  <c r="Q48" i="61"/>
  <c r="P48" i="61"/>
  <c r="R48" i="61" s="1"/>
  <c r="S48" i="61" s="1"/>
  <c r="Q128" i="61"/>
  <c r="P128" i="61"/>
  <c r="R128" i="61" s="1"/>
  <c r="S128" i="61" s="1"/>
  <c r="Q146" i="61"/>
  <c r="P146" i="61"/>
  <c r="R146" i="61" s="1"/>
  <c r="S146" i="61" s="1"/>
  <c r="Q62" i="61"/>
  <c r="P62" i="61"/>
  <c r="R62" i="61" s="1"/>
  <c r="S62" i="61" s="1"/>
  <c r="Q95" i="61"/>
  <c r="P95" i="61"/>
  <c r="R95" i="61" s="1"/>
  <c r="S95" i="61" s="1"/>
  <c r="P102" i="61"/>
  <c r="R102" i="61" s="1"/>
  <c r="S102" i="61" s="1"/>
  <c r="Q102" i="61"/>
  <c r="Q99" i="61"/>
  <c r="P99" i="61"/>
  <c r="R99" i="61" s="1"/>
  <c r="S99" i="61" s="1"/>
  <c r="P150" i="61"/>
  <c r="R150" i="61" s="1"/>
  <c r="S150" i="61" s="1"/>
  <c r="Q150" i="61"/>
  <c r="Q132" i="61"/>
  <c r="P132" i="61"/>
  <c r="R132" i="61" s="1"/>
  <c r="S132" i="61" s="1"/>
  <c r="Q97" i="61"/>
  <c r="P97" i="61"/>
  <c r="R97" i="61" s="1"/>
  <c r="S97" i="61" s="1"/>
  <c r="Q100" i="61"/>
  <c r="P100" i="61"/>
  <c r="R100" i="61" s="1"/>
  <c r="S100" i="61" s="1"/>
  <c r="P104" i="61"/>
  <c r="R104" i="61" s="1"/>
  <c r="S104" i="61" s="1"/>
  <c r="Q104" i="61"/>
  <c r="P113" i="61"/>
  <c r="R113" i="61" s="1"/>
  <c r="S113" i="61" s="1"/>
  <c r="Q113" i="61"/>
  <c r="P108" i="61"/>
  <c r="R108" i="61" s="1"/>
  <c r="S108" i="61" s="1"/>
  <c r="Q108" i="61"/>
  <c r="Q54" i="61"/>
  <c r="P54" i="61"/>
  <c r="R54" i="61" s="1"/>
  <c r="S54" i="61" s="1"/>
  <c r="CO116" i="61"/>
  <c r="CP116" i="61" s="1"/>
  <c r="CB116" i="61"/>
  <c r="CE116" i="61" s="1"/>
  <c r="CJ116" i="61" s="1"/>
  <c r="Q103" i="61"/>
  <c r="P103" i="61"/>
  <c r="R103" i="61" s="1"/>
  <c r="S103" i="61" s="1"/>
  <c r="Q156" i="61"/>
  <c r="P156" i="61"/>
  <c r="R156" i="61" s="1"/>
  <c r="S156" i="61" s="1"/>
  <c r="Q161" i="61"/>
  <c r="P161" i="61"/>
  <c r="R161" i="61" s="1"/>
  <c r="S161" i="61" s="1"/>
  <c r="Q142" i="61"/>
  <c r="P142" i="61"/>
  <c r="R142" i="61" s="1"/>
  <c r="S142" i="61" s="1"/>
  <c r="Q49" i="61"/>
  <c r="P49" i="61"/>
  <c r="R49" i="61" s="1"/>
  <c r="S49" i="61" s="1"/>
  <c r="Q40" i="61"/>
  <c r="P40" i="61"/>
  <c r="R40" i="61" s="1"/>
  <c r="S40" i="61" s="1"/>
  <c r="Q44" i="61"/>
  <c r="P44" i="61"/>
  <c r="R44" i="61" s="1"/>
  <c r="S44" i="61" s="1"/>
  <c r="Q138" i="61"/>
  <c r="P138" i="61"/>
  <c r="R138" i="61" s="1"/>
  <c r="S138" i="61" s="1"/>
  <c r="Q98" i="61"/>
  <c r="P98" i="61"/>
  <c r="R98" i="61" s="1"/>
  <c r="S98" i="61" s="1"/>
  <c r="CB140" i="61"/>
  <c r="CE140" i="61" s="1"/>
  <c r="CJ140" i="61" s="1"/>
  <c r="CO140" i="61"/>
  <c r="CP140" i="61" s="1"/>
  <c r="CV140" i="61" s="1"/>
  <c r="Q127" i="61"/>
  <c r="P127" i="61"/>
  <c r="R127" i="61" s="1"/>
  <c r="S127" i="61" s="1"/>
  <c r="P73" i="61"/>
  <c r="R73" i="61" s="1"/>
  <c r="S73" i="61" s="1"/>
  <c r="Q73" i="61"/>
  <c r="Q159" i="61"/>
  <c r="P159" i="61"/>
  <c r="R159" i="61" s="1"/>
  <c r="S159" i="61" s="1"/>
  <c r="P92" i="61"/>
  <c r="R92" i="61" s="1"/>
  <c r="S92" i="61" s="1"/>
  <c r="Q92" i="61"/>
  <c r="Q143" i="61"/>
  <c r="P143" i="61"/>
  <c r="R143" i="61" s="1"/>
  <c r="S143" i="61" s="1"/>
  <c r="Q69" i="61"/>
  <c r="P69" i="61"/>
  <c r="R69" i="61" s="1"/>
  <c r="S69" i="61" s="1"/>
  <c r="Q148" i="61"/>
  <c r="P148" i="61"/>
  <c r="R148" i="61" s="1"/>
  <c r="S148" i="61" s="1"/>
  <c r="Q130" i="61"/>
  <c r="P130" i="61"/>
  <c r="R130" i="61" s="1"/>
  <c r="S130" i="61" s="1"/>
  <c r="Q147" i="61"/>
  <c r="P147" i="61"/>
  <c r="R147" i="61" s="1"/>
  <c r="S147" i="61" s="1"/>
  <c r="Q78" i="61"/>
  <c r="P78" i="61"/>
  <c r="R78" i="61" s="1"/>
  <c r="S78" i="61" s="1"/>
  <c r="Q61" i="61"/>
  <c r="P61" i="61"/>
  <c r="R61" i="61" s="1"/>
  <c r="S61" i="61" s="1"/>
  <c r="Q120" i="61"/>
  <c r="P120" i="61"/>
  <c r="R120" i="61" s="1"/>
  <c r="S120" i="61" s="1"/>
  <c r="Q151" i="61"/>
  <c r="P151" i="61"/>
  <c r="R151" i="61" s="1"/>
  <c r="S151" i="61" s="1"/>
  <c r="P152" i="61"/>
  <c r="R152" i="61" s="1"/>
  <c r="S152" i="61" s="1"/>
  <c r="Q152" i="61"/>
  <c r="Q126" i="61"/>
  <c r="P126" i="61"/>
  <c r="R126" i="61" s="1"/>
  <c r="S126" i="61" s="1"/>
  <c r="Q64" i="61"/>
  <c r="P64" i="61"/>
  <c r="R64" i="61" s="1"/>
  <c r="S64" i="61" s="1"/>
  <c r="CO44" i="61"/>
  <c r="CP44" i="61" s="1"/>
  <c r="CV44" i="61" s="1"/>
  <c r="CB44" i="61"/>
  <c r="CE44" i="61" s="1"/>
  <c r="CJ44" i="61" s="1"/>
  <c r="Q160" i="61"/>
  <c r="P160" i="61"/>
  <c r="R160" i="61" s="1"/>
  <c r="S160" i="61" s="1"/>
  <c r="Q136" i="61"/>
  <c r="P136" i="61"/>
  <c r="R136" i="61" s="1"/>
  <c r="S136" i="61" s="1"/>
  <c r="Q70" i="61"/>
  <c r="P70" i="61"/>
  <c r="R70" i="61" s="1"/>
  <c r="S70" i="61" s="1"/>
  <c r="Q116" i="61"/>
  <c r="P116" i="61"/>
  <c r="R116" i="61" s="1"/>
  <c r="S116" i="61" s="1"/>
  <c r="Q51" i="61"/>
  <c r="P51" i="61"/>
  <c r="R51" i="61" s="1"/>
  <c r="S51" i="61" s="1"/>
  <c r="CB68" i="61"/>
  <c r="CE68" i="61" s="1"/>
  <c r="CJ68" i="61" s="1"/>
  <c r="CO68" i="61"/>
  <c r="CP68" i="61" s="1"/>
  <c r="CV68" i="61" s="1"/>
  <c r="Q55" i="61"/>
  <c r="P55" i="61"/>
  <c r="R55" i="61" s="1"/>
  <c r="S55" i="61" s="1"/>
  <c r="Q63" i="61"/>
  <c r="P63" i="61"/>
  <c r="R63" i="61" s="1"/>
  <c r="S63" i="61" s="1"/>
  <c r="Q105" i="61"/>
  <c r="P105" i="61"/>
  <c r="R105" i="61" s="1"/>
  <c r="S105" i="61" s="1"/>
  <c r="Q58" i="61"/>
  <c r="P58" i="61"/>
  <c r="R58" i="61" s="1"/>
  <c r="S58" i="61" s="1"/>
  <c r="P137" i="61"/>
  <c r="R137" i="61" s="1"/>
  <c r="S137" i="61" s="1"/>
  <c r="Q137" i="61"/>
  <c r="Q106" i="61"/>
  <c r="P106" i="61"/>
  <c r="R106" i="61" s="1"/>
  <c r="S106" i="61" s="1"/>
  <c r="Q154" i="61"/>
  <c r="P154" i="61"/>
  <c r="R154" i="61" s="1"/>
  <c r="S154" i="61" s="1"/>
  <c r="Q158" i="61"/>
  <c r="P158" i="61"/>
  <c r="R158" i="61" s="1"/>
  <c r="S158" i="61" s="1"/>
  <c r="Q163" i="61"/>
  <c r="P163" i="61"/>
  <c r="R163" i="61" s="1"/>
  <c r="S163" i="61" s="1"/>
  <c r="Q84" i="61"/>
  <c r="P84" i="61"/>
  <c r="R84" i="61" s="1"/>
  <c r="S84" i="61" s="1"/>
  <c r="Q117" i="61"/>
  <c r="P117" i="61"/>
  <c r="R117" i="61" s="1"/>
  <c r="S117" i="61" s="1"/>
  <c r="Q133" i="61"/>
  <c r="P133" i="61"/>
  <c r="R133" i="61" s="1"/>
  <c r="S133" i="61" s="1"/>
  <c r="P52" i="61"/>
  <c r="R52" i="61" s="1"/>
  <c r="S52" i="61" s="1"/>
  <c r="Q52" i="61"/>
  <c r="CB80" i="61"/>
  <c r="CE80" i="61" s="1"/>
  <c r="CJ80" i="61" s="1"/>
  <c r="CO80" i="61"/>
  <c r="CP80" i="61" s="1"/>
  <c r="Q67" i="61"/>
  <c r="P67" i="61"/>
  <c r="R67" i="61" s="1"/>
  <c r="S67" i="61" s="1"/>
  <c r="Q83" i="61"/>
  <c r="P83" i="61"/>
  <c r="R83" i="61" s="1"/>
  <c r="S83" i="61" s="1"/>
  <c r="Q60" i="61"/>
  <c r="P60" i="61"/>
  <c r="R60" i="61" s="1"/>
  <c r="S60" i="61" s="1"/>
  <c r="P122" i="61"/>
  <c r="R122" i="61" s="1"/>
  <c r="S122" i="61" s="1"/>
  <c r="Q122" i="61"/>
  <c r="P140" i="61"/>
  <c r="R140" i="61" s="1"/>
  <c r="S140" i="61" s="1"/>
  <c r="Q140" i="61"/>
  <c r="P118" i="61"/>
  <c r="R118" i="61" s="1"/>
  <c r="S118" i="61" s="1"/>
  <c r="Q118" i="61"/>
  <c r="P66" i="61"/>
  <c r="R66" i="61" s="1"/>
  <c r="S66" i="61" s="1"/>
  <c r="Q66" i="61"/>
  <c r="AE157" i="61"/>
  <c r="AF157" i="61" s="1"/>
  <c r="AE143" i="61"/>
  <c r="AF143" i="61" s="1"/>
  <c r="AE139" i="61"/>
  <c r="AF139" i="61" s="1"/>
  <c r="AE136" i="61"/>
  <c r="AF136" i="61" s="1"/>
  <c r="AE131" i="61"/>
  <c r="AF131" i="61" s="1"/>
  <c r="AE103" i="61"/>
  <c r="AF103" i="61" s="1"/>
  <c r="AE73" i="61"/>
  <c r="AF73" i="61" s="1"/>
  <c r="AE125" i="61"/>
  <c r="AF125" i="61" s="1"/>
  <c r="AE105" i="61"/>
  <c r="AF105" i="61" s="1"/>
  <c r="AE66" i="61"/>
  <c r="AF66" i="61" s="1"/>
  <c r="AE62" i="61"/>
  <c r="AF62" i="61" s="1"/>
  <c r="AE58" i="61"/>
  <c r="AF58" i="61" s="1"/>
  <c r="AE52" i="61"/>
  <c r="AF52" i="61" s="1"/>
  <c r="AE42" i="61"/>
  <c r="AF42" i="61" s="1"/>
  <c r="AE160" i="61"/>
  <c r="AF160" i="61" s="1"/>
  <c r="AE151" i="61"/>
  <c r="AF151" i="61" s="1"/>
  <c r="AE113" i="61"/>
  <c r="AF113" i="61" s="1"/>
  <c r="AE98" i="61"/>
  <c r="AF98" i="61" s="1"/>
  <c r="AE88" i="61"/>
  <c r="AF88" i="61" s="1"/>
  <c r="AE47" i="61"/>
  <c r="AF47" i="61" s="1"/>
  <c r="AE132" i="61"/>
  <c r="AF132" i="61" s="1"/>
  <c r="AE163" i="61"/>
  <c r="AF163" i="61" s="1"/>
  <c r="AE146" i="61"/>
  <c r="AF146" i="61" s="1"/>
  <c r="AE134" i="61"/>
  <c r="AF134" i="61" s="1"/>
  <c r="AE128" i="61"/>
  <c r="AF128" i="61" s="1"/>
  <c r="AE108" i="61"/>
  <c r="AF108" i="61" s="1"/>
  <c r="AE91" i="61"/>
  <c r="AF91" i="61" s="1"/>
  <c r="AE76" i="61"/>
  <c r="AF76" i="61" s="1"/>
  <c r="AE55" i="61"/>
  <c r="AF55" i="61" s="1"/>
  <c r="AE117" i="61"/>
  <c r="AF117" i="61" s="1"/>
  <c r="AE116" i="61"/>
  <c r="AF116" i="61" s="1"/>
  <c r="AE96" i="61"/>
  <c r="AF96" i="61" s="1"/>
  <c r="AE93" i="61"/>
  <c r="AF93" i="61" s="1"/>
  <c r="AE67" i="61"/>
  <c r="AF67" i="61" s="1"/>
  <c r="AE63" i="61"/>
  <c r="AF63" i="61" s="1"/>
  <c r="AE104" i="61"/>
  <c r="AF104" i="61" s="1"/>
  <c r="AE129" i="61"/>
  <c r="AF129" i="61" s="1"/>
  <c r="AE120" i="61"/>
  <c r="AF120" i="61" s="1"/>
  <c r="AE83" i="61"/>
  <c r="AF83" i="61" s="1"/>
  <c r="AE50" i="61"/>
  <c r="AF50" i="61" s="1"/>
  <c r="AE40" i="61"/>
  <c r="AF40" i="61" s="1"/>
  <c r="AE155" i="61"/>
  <c r="AF155" i="61" s="1"/>
  <c r="AE144" i="61"/>
  <c r="AF144" i="61" s="1"/>
  <c r="AE141" i="61"/>
  <c r="AF141" i="61" s="1"/>
  <c r="AE137" i="61"/>
  <c r="AF137" i="61" s="1"/>
  <c r="AE101" i="61"/>
  <c r="AF101" i="61" s="1"/>
  <c r="AE79" i="61"/>
  <c r="AF79" i="61" s="1"/>
  <c r="AE71" i="61"/>
  <c r="AF71" i="61" s="1"/>
  <c r="AE59" i="61"/>
  <c r="AF59" i="61" s="1"/>
  <c r="AE149" i="61"/>
  <c r="AF149" i="61" s="1"/>
  <c r="AE140" i="61"/>
  <c r="AF140" i="61" s="1"/>
  <c r="AE123" i="61"/>
  <c r="AF123" i="61" s="1"/>
  <c r="AE111" i="61"/>
  <c r="AF111" i="61" s="1"/>
  <c r="AE86" i="61"/>
  <c r="AF86" i="61" s="1"/>
  <c r="AE154" i="61"/>
  <c r="AF154" i="61" s="1"/>
  <c r="AE112" i="61"/>
  <c r="AF112" i="61" s="1"/>
  <c r="AE69" i="61"/>
  <c r="AF69" i="61" s="1"/>
  <c r="AE56" i="61"/>
  <c r="AF56" i="61" s="1"/>
  <c r="AE142" i="61"/>
  <c r="AF142" i="61" s="1"/>
  <c r="AE82" i="61"/>
  <c r="AF82" i="61" s="1"/>
  <c r="AE75" i="61"/>
  <c r="AF75" i="61" s="1"/>
  <c r="AE38" i="61"/>
  <c r="AF38" i="61" s="1"/>
  <c r="AE119" i="61"/>
  <c r="AF119" i="61" s="1"/>
  <c r="AE152" i="61"/>
  <c r="AF152" i="61" s="1"/>
  <c r="AE148" i="61"/>
  <c r="AF148" i="61" s="1"/>
  <c r="AE127" i="61"/>
  <c r="AF127" i="61" s="1"/>
  <c r="AE54" i="61"/>
  <c r="AF54" i="61" s="1"/>
  <c r="AE61" i="61"/>
  <c r="AF61" i="61" s="1"/>
  <c r="AE150" i="61"/>
  <c r="AF150" i="61" s="1"/>
  <c r="AE130" i="61"/>
  <c r="AF130" i="61" s="1"/>
  <c r="AE68" i="61"/>
  <c r="AF68" i="61" s="1"/>
  <c r="AE138" i="61"/>
  <c r="AF138" i="61" s="1"/>
  <c r="AE109" i="61"/>
  <c r="AF109" i="61" s="1"/>
  <c r="AE94" i="61"/>
  <c r="AF94" i="61" s="1"/>
  <c r="AE64" i="61"/>
  <c r="AF64" i="61" s="1"/>
  <c r="AE161" i="61"/>
  <c r="AF161" i="61" s="1"/>
  <c r="AE80" i="61"/>
  <c r="AF80" i="61" s="1"/>
  <c r="AE72" i="61"/>
  <c r="AF72" i="61" s="1"/>
  <c r="AE48" i="61"/>
  <c r="AF48" i="61" s="1"/>
  <c r="AE78" i="61"/>
  <c r="AF78" i="61" s="1"/>
  <c r="AE100" i="61"/>
  <c r="AF100" i="61" s="1"/>
  <c r="AE124" i="61"/>
  <c r="AF124" i="61" s="1"/>
  <c r="AE85" i="61"/>
  <c r="AF85" i="61" s="1"/>
  <c r="AE97" i="61"/>
  <c r="AF97" i="61" s="1"/>
  <c r="AE153" i="61"/>
  <c r="AF153" i="61" s="1"/>
  <c r="AE102" i="61"/>
  <c r="AF102" i="61" s="1"/>
  <c r="AE46" i="61"/>
  <c r="AF46" i="61" s="1"/>
  <c r="AE81" i="61"/>
  <c r="AF81" i="61" s="1"/>
  <c r="AE159" i="61"/>
  <c r="AF159" i="61" s="1"/>
  <c r="AE107" i="61"/>
  <c r="AF107" i="61" s="1"/>
  <c r="AE89" i="61"/>
  <c r="AF89" i="61" s="1"/>
  <c r="AE74" i="61"/>
  <c r="AF74" i="61" s="1"/>
  <c r="AE95" i="61"/>
  <c r="AF95" i="61" s="1"/>
  <c r="AE126" i="61"/>
  <c r="AF126" i="61" s="1"/>
  <c r="AE122" i="61"/>
  <c r="AF122" i="61" s="1"/>
  <c r="AE115" i="61"/>
  <c r="AF115" i="61" s="1"/>
  <c r="AE49" i="61"/>
  <c r="AF49" i="61" s="1"/>
  <c r="AE147" i="61"/>
  <c r="AF147" i="61" s="1"/>
  <c r="AE145" i="61"/>
  <c r="AF145" i="61" s="1"/>
  <c r="AE118" i="61"/>
  <c r="AF118" i="61" s="1"/>
  <c r="AE70" i="61"/>
  <c r="AF70" i="61" s="1"/>
  <c r="AE77" i="61"/>
  <c r="AF77" i="61" s="1"/>
  <c r="AE87" i="61"/>
  <c r="AF87" i="61" s="1"/>
  <c r="AE53" i="61"/>
  <c r="AF53" i="61" s="1"/>
  <c r="AE51" i="61"/>
  <c r="AF51" i="61" s="1"/>
  <c r="AE43" i="61"/>
  <c r="AF43" i="61" s="1"/>
  <c r="AE60" i="61"/>
  <c r="AF60" i="61" s="1"/>
  <c r="AE39" i="61"/>
  <c r="AF39" i="61" s="1"/>
  <c r="AE65" i="61"/>
  <c r="AF65" i="61" s="1"/>
  <c r="AE57" i="61"/>
  <c r="AF57" i="61" s="1"/>
  <c r="AE135" i="61"/>
  <c r="AF135" i="61" s="1"/>
  <c r="AE133" i="61"/>
  <c r="AF133" i="61" s="1"/>
  <c r="AE92" i="61"/>
  <c r="AF92" i="61" s="1"/>
  <c r="AE41" i="61"/>
  <c r="AF41" i="61" s="1"/>
  <c r="AE162" i="61"/>
  <c r="AF162" i="61" s="1"/>
  <c r="AE156" i="61"/>
  <c r="AF156" i="61" s="1"/>
  <c r="AE114" i="61"/>
  <c r="AF114" i="61" s="1"/>
  <c r="AE110" i="61"/>
  <c r="AF110" i="61" s="1"/>
  <c r="AE106" i="61"/>
  <c r="AF106" i="61" s="1"/>
  <c r="AE99" i="61"/>
  <c r="AF99" i="61" s="1"/>
  <c r="AE84" i="61"/>
  <c r="AF84" i="61" s="1"/>
  <c r="AE158" i="61"/>
  <c r="AF158" i="61" s="1"/>
  <c r="AE121" i="61"/>
  <c r="AF121" i="61" s="1"/>
  <c r="AE90" i="61"/>
  <c r="AF90" i="61" s="1"/>
  <c r="AE45" i="61"/>
  <c r="AF45" i="61" s="1"/>
  <c r="AE44" i="61"/>
  <c r="AF44" i="61" s="1"/>
  <c r="P162" i="61"/>
  <c r="R162" i="61" s="1"/>
  <c r="S162" i="61" s="1"/>
  <c r="Q162" i="61"/>
  <c r="CB104" i="61"/>
  <c r="CE104" i="61" s="1"/>
  <c r="CJ104" i="61" s="1"/>
  <c r="CO104" i="61"/>
  <c r="CP104" i="61" s="1"/>
  <c r="Q91" i="61"/>
  <c r="P91" i="61"/>
  <c r="R91" i="61" s="1"/>
  <c r="S91" i="61" s="1"/>
  <c r="P149" i="61"/>
  <c r="R149" i="61" s="1"/>
  <c r="S149" i="61" s="1"/>
  <c r="Q149" i="61"/>
  <c r="CO92" i="61"/>
  <c r="CP92" i="61" s="1"/>
  <c r="CB92" i="61"/>
  <c r="CE92" i="61" s="1"/>
  <c r="CJ92" i="61" s="1"/>
  <c r="Q79" i="61"/>
  <c r="P79" i="61"/>
  <c r="R79" i="61" s="1"/>
  <c r="S79" i="61" s="1"/>
  <c r="P101" i="61"/>
  <c r="R101" i="61" s="1"/>
  <c r="S101" i="61" s="1"/>
  <c r="Q101" i="61"/>
  <c r="Q68" i="61"/>
  <c r="P68" i="61"/>
  <c r="R68" i="61" s="1"/>
  <c r="S68" i="61" s="1"/>
  <c r="CO56" i="61"/>
  <c r="CP56" i="61" s="1"/>
  <c r="CB56" i="61"/>
  <c r="CE56" i="61" s="1"/>
  <c r="CJ56" i="61" s="1"/>
  <c r="Q43" i="61"/>
  <c r="P43" i="61"/>
  <c r="R43" i="61" s="1"/>
  <c r="S43" i="61" s="1"/>
  <c r="Q155" i="61"/>
  <c r="P155" i="61"/>
  <c r="R155" i="61" s="1"/>
  <c r="S155" i="61" s="1"/>
  <c r="P76" i="61"/>
  <c r="R76" i="61" s="1"/>
  <c r="S76" i="61" s="1"/>
  <c r="Q76" i="61"/>
  <c r="P144" i="61"/>
  <c r="R144" i="61" s="1"/>
  <c r="S144" i="61" s="1"/>
  <c r="Q144" i="61"/>
  <c r="Q47" i="61"/>
  <c r="P47" i="61"/>
  <c r="R47" i="61" s="1"/>
  <c r="S47" i="61" s="1"/>
  <c r="Q96" i="61"/>
  <c r="P96" i="61"/>
  <c r="R96" i="61" s="1"/>
  <c r="S96" i="61" s="1"/>
  <c r="Q74" i="61"/>
  <c r="P74" i="61"/>
  <c r="R74" i="61" s="1"/>
  <c r="S74" i="61" s="1"/>
  <c r="P45" i="61"/>
  <c r="R45" i="61" s="1"/>
  <c r="S45" i="61" s="1"/>
  <c r="Q45" i="61"/>
  <c r="Q25" i="61"/>
  <c r="P25" i="61"/>
  <c r="R25" i="61" s="1"/>
  <c r="Q21" i="61"/>
  <c r="P21" i="61"/>
  <c r="R21" i="61" s="1"/>
  <c r="S21" i="61" s="1"/>
  <c r="Q23" i="61"/>
  <c r="P23" i="61"/>
  <c r="R23" i="61" s="1"/>
  <c r="S23" i="61" s="1"/>
  <c r="AE25" i="61"/>
  <c r="AF25" i="61" s="1"/>
  <c r="AE21" i="61"/>
  <c r="AF21" i="61" s="1"/>
  <c r="AE22" i="61"/>
  <c r="AF22" i="61" s="1"/>
  <c r="AE23" i="61"/>
  <c r="AF23" i="61" s="1"/>
  <c r="AE24" i="61"/>
  <c r="AF24" i="61" s="1"/>
  <c r="Q24" i="61"/>
  <c r="P24" i="61"/>
  <c r="R24" i="61" s="1"/>
  <c r="S24" i="61" s="1"/>
  <c r="Q22" i="61"/>
  <c r="P22" i="61"/>
  <c r="R22" i="61" s="1"/>
  <c r="AF20" i="61"/>
  <c r="S22" i="61" l="1"/>
  <c r="AM22" i="61"/>
  <c r="S25" i="61"/>
  <c r="AM25" i="61"/>
  <c r="BC21" i="61"/>
  <c r="CB21" i="61"/>
  <c r="CN21" i="61" s="1"/>
  <c r="CN22" i="61"/>
  <c r="CI22" i="61"/>
  <c r="CH22" i="61"/>
  <c r="DC21" i="61"/>
  <c r="DD21" i="61" s="1"/>
  <c r="DC22" i="61"/>
  <c r="DD22" i="61" s="1"/>
  <c r="CX21" i="61"/>
  <c r="CW20" i="61"/>
  <c r="BJ77" i="61"/>
  <c r="BK77" i="61" s="1"/>
  <c r="CV20" i="61"/>
  <c r="CJ20" i="61"/>
  <c r="BJ96" i="61"/>
  <c r="BK96" i="61" s="1"/>
  <c r="BJ92" i="61"/>
  <c r="BK92" i="61" s="1"/>
  <c r="BJ76" i="61"/>
  <c r="BK76" i="61" s="1"/>
  <c r="BJ62" i="61"/>
  <c r="BK62" i="61" s="1"/>
  <c r="BJ104" i="61"/>
  <c r="BK104" i="61" s="1"/>
  <c r="BJ46" i="61"/>
  <c r="BK46" i="61" s="1"/>
  <c r="BC75" i="61"/>
  <c r="BE75" i="61"/>
  <c r="BH75" i="61"/>
  <c r="BF75" i="61"/>
  <c r="BD75" i="61"/>
  <c r="BG75" i="61" s="1"/>
  <c r="BQ76" i="61"/>
  <c r="BR76" i="61" s="1"/>
  <c r="BI75" i="61"/>
  <c r="BC98" i="61"/>
  <c r="BH98" i="61"/>
  <c r="BE98" i="61"/>
  <c r="BD98" i="61"/>
  <c r="BG98" i="61" s="1"/>
  <c r="BQ99" i="61"/>
  <c r="BR99" i="61" s="1"/>
  <c r="BI98" i="61"/>
  <c r="BF98" i="61"/>
  <c r="BC51" i="61"/>
  <c r="BQ52" i="61"/>
  <c r="BR52" i="61" s="1"/>
  <c r="BI51" i="61"/>
  <c r="BH51" i="61"/>
  <c r="BF51" i="61"/>
  <c r="BE51" i="61"/>
  <c r="BD51" i="61"/>
  <c r="BG51" i="61" s="1"/>
  <c r="BC90" i="61"/>
  <c r="BQ91" i="61"/>
  <c r="BR91" i="61" s="1"/>
  <c r="BH90" i="61"/>
  <c r="BD90" i="61"/>
  <c r="BG90" i="61" s="1"/>
  <c r="BI90" i="61"/>
  <c r="BF90" i="61"/>
  <c r="BE90" i="61"/>
  <c r="BC41" i="61"/>
  <c r="BI41" i="61"/>
  <c r="BH41" i="61"/>
  <c r="BF41" i="61"/>
  <c r="BQ42" i="61"/>
  <c r="BR42" i="61" s="1"/>
  <c r="BD41" i="61"/>
  <c r="BG41" i="61" s="1"/>
  <c r="BE41" i="61"/>
  <c r="BC103" i="61"/>
  <c r="BF103" i="61"/>
  <c r="BI103" i="61"/>
  <c r="BE103" i="61"/>
  <c r="BD103" i="61"/>
  <c r="BG103" i="61" s="1"/>
  <c r="BH103" i="61"/>
  <c r="BQ104" i="61"/>
  <c r="BR104" i="61" s="1"/>
  <c r="BC73" i="61"/>
  <c r="BD73" i="61"/>
  <c r="BG73" i="61" s="1"/>
  <c r="BQ74" i="61"/>
  <c r="BR74" i="61" s="1"/>
  <c r="BF73" i="61"/>
  <c r="BH73" i="61"/>
  <c r="BE73" i="61"/>
  <c r="BI73" i="61"/>
  <c r="BJ68" i="61"/>
  <c r="BK68" i="61" s="1"/>
  <c r="BJ100" i="61"/>
  <c r="BK100" i="61" s="1"/>
  <c r="BC74" i="61"/>
  <c r="BF74" i="61"/>
  <c r="BD74" i="61"/>
  <c r="BG74" i="61" s="1"/>
  <c r="BE74" i="61"/>
  <c r="BQ75" i="61"/>
  <c r="BR75" i="61" s="1"/>
  <c r="BH74" i="61"/>
  <c r="BI74" i="61"/>
  <c r="BC66" i="61"/>
  <c r="BQ67" i="61"/>
  <c r="BR67" i="61" s="1"/>
  <c r="BH66" i="61"/>
  <c r="BF66" i="61"/>
  <c r="BI66" i="61"/>
  <c r="BE66" i="61"/>
  <c r="BD66" i="61"/>
  <c r="BG66" i="61" s="1"/>
  <c r="BC50" i="61"/>
  <c r="BI50" i="61"/>
  <c r="BF50" i="61"/>
  <c r="BQ51" i="61"/>
  <c r="BR51" i="61" s="1"/>
  <c r="BD50" i="61"/>
  <c r="BG50" i="61" s="1"/>
  <c r="BE50" i="61"/>
  <c r="BH50" i="61"/>
  <c r="BJ93" i="61"/>
  <c r="BK93" i="61" s="1"/>
  <c r="BC67" i="61"/>
  <c r="BI67" i="61"/>
  <c r="BQ68" i="61"/>
  <c r="BR68" i="61" s="1"/>
  <c r="BE67" i="61"/>
  <c r="BF67" i="61"/>
  <c r="BD67" i="61"/>
  <c r="BG67" i="61" s="1"/>
  <c r="BH67" i="61"/>
  <c r="BC102" i="61"/>
  <c r="BE102" i="61"/>
  <c r="BQ103" i="61"/>
  <c r="BR103" i="61" s="1"/>
  <c r="BH102" i="61"/>
  <c r="BD102" i="61"/>
  <c r="BG102" i="61" s="1"/>
  <c r="BF102" i="61"/>
  <c r="BI102" i="61"/>
  <c r="BC99" i="61"/>
  <c r="BD99" i="61"/>
  <c r="BG99" i="61" s="1"/>
  <c r="BH99" i="61"/>
  <c r="BF99" i="61"/>
  <c r="BI99" i="61"/>
  <c r="BQ100" i="61"/>
  <c r="BR100" i="61" s="1"/>
  <c r="BE99" i="61"/>
  <c r="BJ84" i="61"/>
  <c r="BK84" i="61" s="1"/>
  <c r="BJ22" i="61"/>
  <c r="BC65" i="61"/>
  <c r="BI65" i="61"/>
  <c r="BF65" i="61"/>
  <c r="BQ66" i="61"/>
  <c r="BR66" i="61" s="1"/>
  <c r="BD65" i="61"/>
  <c r="BG65" i="61" s="1"/>
  <c r="BE65" i="61"/>
  <c r="BH65" i="61"/>
  <c r="BC83" i="61"/>
  <c r="BI83" i="61"/>
  <c r="BH83" i="61"/>
  <c r="BQ84" i="61"/>
  <c r="BR84" i="61" s="1"/>
  <c r="BF83" i="61"/>
  <c r="BE83" i="61"/>
  <c r="BD83" i="61"/>
  <c r="BG83" i="61" s="1"/>
  <c r="BC95" i="61"/>
  <c r="BI95" i="61"/>
  <c r="BE95" i="61"/>
  <c r="BH95" i="61"/>
  <c r="BD95" i="61"/>
  <c r="BG95" i="61" s="1"/>
  <c r="BQ96" i="61"/>
  <c r="BR96" i="61" s="1"/>
  <c r="BF95" i="61"/>
  <c r="BJ91" i="61"/>
  <c r="BK91" i="61" s="1"/>
  <c r="BC82" i="61"/>
  <c r="BE82" i="61"/>
  <c r="BI82" i="61"/>
  <c r="BH82" i="61"/>
  <c r="BD82" i="61"/>
  <c r="BG82" i="61" s="1"/>
  <c r="BF82" i="61"/>
  <c r="BQ83" i="61"/>
  <c r="BR83" i="61" s="1"/>
  <c r="BC87" i="61"/>
  <c r="BH87" i="61"/>
  <c r="BE87" i="61"/>
  <c r="BF87" i="61"/>
  <c r="BI87" i="61"/>
  <c r="BD87" i="61"/>
  <c r="BG87" i="61" s="1"/>
  <c r="BQ88" i="61"/>
  <c r="BR88" i="61" s="1"/>
  <c r="BJ94" i="61"/>
  <c r="BK94" i="61" s="1"/>
  <c r="BC106" i="61"/>
  <c r="BH106" i="61"/>
  <c r="BF106" i="61"/>
  <c r="BE106" i="61"/>
  <c r="BI106" i="61"/>
  <c r="BD106" i="61"/>
  <c r="BG106" i="61" s="1"/>
  <c r="BQ107" i="61"/>
  <c r="BR107" i="61" s="1"/>
  <c r="BC89" i="61"/>
  <c r="BD89" i="61"/>
  <c r="BG89" i="61" s="1"/>
  <c r="BF89" i="61"/>
  <c r="BE89" i="61"/>
  <c r="BI89" i="61"/>
  <c r="BQ90" i="61"/>
  <c r="BR90" i="61" s="1"/>
  <c r="BH89" i="61"/>
  <c r="BJ52" i="61"/>
  <c r="BK52" i="61" s="1"/>
  <c r="BJ64" i="61"/>
  <c r="BK64" i="61" s="1"/>
  <c r="BC85" i="61"/>
  <c r="BQ86" i="61"/>
  <c r="BR86" i="61" s="1"/>
  <c r="BD85" i="61"/>
  <c r="BG85" i="61" s="1"/>
  <c r="BF85" i="61"/>
  <c r="BI85" i="61"/>
  <c r="BE85" i="61"/>
  <c r="BH85" i="61"/>
  <c r="BJ45" i="61"/>
  <c r="BK45" i="61" s="1"/>
  <c r="BC43" i="61"/>
  <c r="BD43" i="61"/>
  <c r="BG43" i="61" s="1"/>
  <c r="BQ44" i="61"/>
  <c r="BR44" i="61" s="1"/>
  <c r="BF43" i="61"/>
  <c r="BE43" i="61"/>
  <c r="BI43" i="61"/>
  <c r="BH43" i="61"/>
  <c r="BC47" i="61"/>
  <c r="BH47" i="61"/>
  <c r="BF47" i="61"/>
  <c r="BI47" i="61"/>
  <c r="BD47" i="61"/>
  <c r="BG47" i="61" s="1"/>
  <c r="BE47" i="61"/>
  <c r="BQ48" i="61"/>
  <c r="BR48" i="61" s="1"/>
  <c r="BJ44" i="61"/>
  <c r="BK44" i="61" s="1"/>
  <c r="BC63" i="61"/>
  <c r="BD63" i="61"/>
  <c r="BG63" i="61" s="1"/>
  <c r="BF63" i="61"/>
  <c r="BH63" i="61"/>
  <c r="BI63" i="61"/>
  <c r="BE63" i="61"/>
  <c r="BQ64" i="61"/>
  <c r="BR64" i="61" s="1"/>
  <c r="BC72" i="61"/>
  <c r="BQ73" i="61"/>
  <c r="BR73" i="61" s="1"/>
  <c r="BH72" i="61"/>
  <c r="BE72" i="61"/>
  <c r="BD72" i="61"/>
  <c r="BG72" i="61" s="1"/>
  <c r="BF72" i="61"/>
  <c r="BI72" i="61"/>
  <c r="BC105" i="61"/>
  <c r="BH105" i="61"/>
  <c r="BQ106" i="61"/>
  <c r="BR106" i="61" s="1"/>
  <c r="BI105" i="61"/>
  <c r="BD105" i="61"/>
  <c r="BG105" i="61" s="1"/>
  <c r="BE105" i="61"/>
  <c r="BF105" i="61"/>
  <c r="BJ70" i="61"/>
  <c r="BK70" i="61" s="1"/>
  <c r="BC78" i="61"/>
  <c r="BQ79" i="61"/>
  <c r="BR79" i="61" s="1"/>
  <c r="BD78" i="61"/>
  <c r="BG78" i="61" s="1"/>
  <c r="BI78" i="61"/>
  <c r="BE78" i="61"/>
  <c r="BH78" i="61"/>
  <c r="BF78" i="61"/>
  <c r="BC86" i="61"/>
  <c r="BQ87" i="61"/>
  <c r="BR87" i="61" s="1"/>
  <c r="BI86" i="61"/>
  <c r="BE86" i="61"/>
  <c r="BD86" i="61"/>
  <c r="BG86" i="61" s="1"/>
  <c r="BF86" i="61"/>
  <c r="BH86" i="61"/>
  <c r="BC71" i="61"/>
  <c r="BH71" i="61"/>
  <c r="BD71" i="61"/>
  <c r="BG71" i="61" s="1"/>
  <c r="BQ72" i="61"/>
  <c r="BR72" i="61" s="1"/>
  <c r="BE71" i="61"/>
  <c r="BI71" i="61"/>
  <c r="BF71" i="61"/>
  <c r="BC88" i="61"/>
  <c r="BH88" i="61"/>
  <c r="BQ89" i="61"/>
  <c r="BR89" i="61" s="1"/>
  <c r="BF88" i="61"/>
  <c r="BI88" i="61"/>
  <c r="BE88" i="61"/>
  <c r="BD88" i="61"/>
  <c r="BG88" i="61" s="1"/>
  <c r="BJ49" i="61"/>
  <c r="BK49" i="61" s="1"/>
  <c r="BC42" i="61"/>
  <c r="BH42" i="61"/>
  <c r="BE42" i="61"/>
  <c r="BI42" i="61"/>
  <c r="BQ43" i="61"/>
  <c r="BR43" i="61" s="1"/>
  <c r="BF42" i="61"/>
  <c r="BD42" i="61"/>
  <c r="BC81" i="61"/>
  <c r="BH81" i="61"/>
  <c r="BF81" i="61"/>
  <c r="BQ82" i="61"/>
  <c r="BR82" i="61" s="1"/>
  <c r="BI81" i="61"/>
  <c r="BE81" i="61"/>
  <c r="BD81" i="61"/>
  <c r="BG81" i="61" s="1"/>
  <c r="BC79" i="61"/>
  <c r="BH79" i="61"/>
  <c r="BQ80" i="61"/>
  <c r="BR80" i="61" s="1"/>
  <c r="BI79" i="61"/>
  <c r="BD79" i="61"/>
  <c r="BG79" i="61" s="1"/>
  <c r="BE79" i="61"/>
  <c r="BF79" i="61"/>
  <c r="BC97" i="61"/>
  <c r="BQ98" i="61"/>
  <c r="BR98" i="61" s="1"/>
  <c r="BD97" i="61"/>
  <c r="BG97" i="61" s="1"/>
  <c r="BE97" i="61"/>
  <c r="BI97" i="61"/>
  <c r="BH97" i="61"/>
  <c r="BF97" i="61"/>
  <c r="BD21" i="61"/>
  <c r="BG21" i="61" s="1"/>
  <c r="BH21" i="61"/>
  <c r="BF21" i="61"/>
  <c r="BQ22" i="61"/>
  <c r="BR22" i="61" s="1"/>
  <c r="BE21" i="61"/>
  <c r="BI21" i="61"/>
  <c r="BC48" i="61"/>
  <c r="BH48" i="61"/>
  <c r="BF48" i="61"/>
  <c r="BI48" i="61"/>
  <c r="BE48" i="61"/>
  <c r="BD48" i="61"/>
  <c r="BG48" i="61" s="1"/>
  <c r="BQ49" i="61"/>
  <c r="BR49" i="61" s="1"/>
  <c r="BC101" i="61"/>
  <c r="BD101" i="61"/>
  <c r="BG101" i="61" s="1"/>
  <c r="BE101" i="61"/>
  <c r="BQ102" i="61"/>
  <c r="BR102" i="61" s="1"/>
  <c r="BF101" i="61"/>
  <c r="BI101" i="61"/>
  <c r="BH101" i="61"/>
  <c r="BC69" i="61"/>
  <c r="BI69" i="61"/>
  <c r="BH69" i="61"/>
  <c r="BQ70" i="61"/>
  <c r="BR70" i="61" s="1"/>
  <c r="BF69" i="61"/>
  <c r="BD69" i="61"/>
  <c r="BG69" i="61" s="1"/>
  <c r="BE69" i="61"/>
  <c r="BJ80" i="61"/>
  <c r="BK80" i="61" s="1"/>
  <c r="BG20" i="61"/>
  <c r="BJ20" i="61" s="1"/>
  <c r="AK158" i="61"/>
  <c r="AK148" i="61"/>
  <c r="AK121" i="61"/>
  <c r="CW128" i="61"/>
  <c r="CZ128" i="61" s="1"/>
  <c r="CW104" i="61"/>
  <c r="CZ104" i="61" s="1"/>
  <c r="CW116" i="61"/>
  <c r="CZ116" i="61" s="1"/>
  <c r="CW80" i="61"/>
  <c r="CZ80" i="61" s="1"/>
  <c r="CW56" i="61"/>
  <c r="CZ56" i="61" s="1"/>
  <c r="Z102" i="61"/>
  <c r="Z96" i="61"/>
  <c r="Z95" i="61"/>
  <c r="Z119" i="61"/>
  <c r="Z82" i="61"/>
  <c r="Z65" i="61"/>
  <c r="Z135" i="61"/>
  <c r="Z53" i="61"/>
  <c r="Z74" i="61"/>
  <c r="Z83" i="61"/>
  <c r="Z158" i="61"/>
  <c r="Z116" i="61"/>
  <c r="Z148" i="61"/>
  <c r="Z92" i="61"/>
  <c r="Z156" i="61"/>
  <c r="Z146" i="61"/>
  <c r="CW152" i="61"/>
  <c r="CZ152" i="61" s="1"/>
  <c r="Z42" i="61"/>
  <c r="Z163" i="61"/>
  <c r="Z47" i="61"/>
  <c r="Z159" i="61"/>
  <c r="CV80" i="61"/>
  <c r="Z62" i="61"/>
  <c r="Z125" i="61"/>
  <c r="Z87" i="61"/>
  <c r="Z93" i="61"/>
  <c r="Z161" i="61"/>
  <c r="CW92" i="61"/>
  <c r="CZ92" i="61" s="1"/>
  <c r="Z67" i="61"/>
  <c r="Z154" i="61"/>
  <c r="Z106" i="61"/>
  <c r="Z70" i="61"/>
  <c r="Z44" i="61"/>
  <c r="Z103" i="61"/>
  <c r="Z131" i="61"/>
  <c r="Z75" i="61"/>
  <c r="Z107" i="61"/>
  <c r="Z149" i="61"/>
  <c r="Z152" i="61"/>
  <c r="Z100" i="61"/>
  <c r="Z89" i="61"/>
  <c r="Z86" i="61"/>
  <c r="Z90" i="61"/>
  <c r="Z104" i="61"/>
  <c r="Z124" i="61"/>
  <c r="Z91" i="61"/>
  <c r="Z136" i="61"/>
  <c r="Z160" i="61"/>
  <c r="Z151" i="61"/>
  <c r="Z73" i="61"/>
  <c r="Z128" i="61"/>
  <c r="Z129" i="61"/>
  <c r="CV56" i="61"/>
  <c r="Z111" i="61"/>
  <c r="Z51" i="61"/>
  <c r="Z144" i="61"/>
  <c r="Z66" i="61"/>
  <c r="Z69" i="61"/>
  <c r="Z97" i="61"/>
  <c r="Z50" i="61"/>
  <c r="Z77" i="61"/>
  <c r="Z88" i="61"/>
  <c r="Z122" i="61"/>
  <c r="Z105" i="61"/>
  <c r="Z63" i="61"/>
  <c r="Z120" i="61"/>
  <c r="Z40" i="61"/>
  <c r="Z54" i="61"/>
  <c r="Z48" i="61"/>
  <c r="Z145" i="61"/>
  <c r="Z57" i="61"/>
  <c r="Z72" i="61"/>
  <c r="Z68" i="61"/>
  <c r="Z155" i="61"/>
  <c r="CV128" i="61"/>
  <c r="Z118" i="61"/>
  <c r="Z52" i="61"/>
  <c r="Z137" i="61"/>
  <c r="CW44" i="61"/>
  <c r="CZ44" i="61" s="1"/>
  <c r="Z127" i="61"/>
  <c r="Z132" i="61"/>
  <c r="Z157" i="61"/>
  <c r="CV152" i="61"/>
  <c r="Z101" i="61"/>
  <c r="Z126" i="61"/>
  <c r="Z139" i="61"/>
  <c r="CV92" i="61"/>
  <c r="Z133" i="61"/>
  <c r="Z58" i="61"/>
  <c r="Z61" i="61"/>
  <c r="CV116" i="61"/>
  <c r="Z56" i="61"/>
  <c r="Z46" i="61"/>
  <c r="Z110" i="61"/>
  <c r="Z121" i="61"/>
  <c r="Z43" i="61"/>
  <c r="Z162" i="61"/>
  <c r="Z140" i="61"/>
  <c r="Z143" i="61"/>
  <c r="CW140" i="61"/>
  <c r="CZ140" i="61" s="1"/>
  <c r="Z108" i="61"/>
  <c r="Z41" i="61"/>
  <c r="Z94" i="61"/>
  <c r="Z114" i="61"/>
  <c r="Z141" i="61"/>
  <c r="Z153" i="61"/>
  <c r="Z38" i="61"/>
  <c r="Z59" i="61"/>
  <c r="Z138" i="61"/>
  <c r="Z130" i="61"/>
  <c r="Z117" i="61"/>
  <c r="Z55" i="61"/>
  <c r="Z78" i="61"/>
  <c r="Z49" i="61"/>
  <c r="Z150" i="61"/>
  <c r="Z85" i="61"/>
  <c r="Z79" i="61"/>
  <c r="Z60" i="61"/>
  <c r="Z76" i="61"/>
  <c r="Z98" i="61"/>
  <c r="Z113" i="61"/>
  <c r="Z99" i="61"/>
  <c r="Z71" i="61"/>
  <c r="Z112" i="61"/>
  <c r="Z134" i="61"/>
  <c r="Z81" i="61"/>
  <c r="Z45" i="61"/>
  <c r="Z84" i="61"/>
  <c r="CW68" i="61"/>
  <c r="CZ68" i="61" s="1"/>
  <c r="Z64" i="61"/>
  <c r="Z147" i="61"/>
  <c r="Z142" i="61"/>
  <c r="Z80" i="61"/>
  <c r="CV104" i="61"/>
  <c r="Z109" i="61"/>
  <c r="Z123" i="61"/>
  <c r="Z115" i="61"/>
  <c r="Z39" i="61"/>
  <c r="Z21" i="61"/>
  <c r="Z25" i="61"/>
  <c r="Z24" i="61"/>
  <c r="Z23" i="61"/>
  <c r="Z22" i="61"/>
  <c r="H18" i="59"/>
  <c r="G18" i="59"/>
  <c r="H16" i="59"/>
  <c r="H17" i="59" s="1"/>
  <c r="G16" i="59"/>
  <c r="G17" i="59" s="1"/>
  <c r="BG42" i="61" l="1"/>
  <c r="BJ42" i="61" s="1"/>
  <c r="BK42" i="61" s="1"/>
  <c r="CI21" i="61"/>
  <c r="CH21" i="61"/>
  <c r="CJ22" i="61"/>
  <c r="CU21" i="61"/>
  <c r="CT21" i="61"/>
  <c r="CT22" i="61"/>
  <c r="CU22" i="61"/>
  <c r="BK22" i="61"/>
  <c r="DF22" i="61"/>
  <c r="AK20" i="61"/>
  <c r="DF20" i="61"/>
  <c r="DE20" i="61"/>
  <c r="BJ65" i="61"/>
  <c r="BK65" i="61" s="1"/>
  <c r="BJ99" i="61"/>
  <c r="BK99" i="61" s="1"/>
  <c r="BJ81" i="61"/>
  <c r="BK81" i="61" s="1"/>
  <c r="BJ90" i="61"/>
  <c r="BK90" i="61" s="1"/>
  <c r="BJ51" i="61"/>
  <c r="BK51" i="61" s="1"/>
  <c r="BJ69" i="61"/>
  <c r="BK69" i="61" s="1"/>
  <c r="BJ48" i="61"/>
  <c r="BK48" i="61" s="1"/>
  <c r="BJ78" i="61"/>
  <c r="BK78" i="61" s="1"/>
  <c r="BJ72" i="61"/>
  <c r="BK72" i="61" s="1"/>
  <c r="BJ50" i="61"/>
  <c r="BK50" i="61" s="1"/>
  <c r="BJ74" i="61"/>
  <c r="BK74" i="61" s="1"/>
  <c r="BJ103" i="61"/>
  <c r="BK103" i="61" s="1"/>
  <c r="BJ88" i="61"/>
  <c r="BK88" i="61" s="1"/>
  <c r="BJ71" i="61"/>
  <c r="BK71" i="61" s="1"/>
  <c r="BJ86" i="61"/>
  <c r="BK86" i="61" s="1"/>
  <c r="BJ83" i="61"/>
  <c r="BK83" i="61" s="1"/>
  <c r="BJ67" i="61"/>
  <c r="BK67" i="61" s="1"/>
  <c r="BJ101" i="61"/>
  <c r="BK101" i="61" s="1"/>
  <c r="BJ79" i="61"/>
  <c r="BK79" i="61" s="1"/>
  <c r="BJ85" i="61"/>
  <c r="BK85" i="61" s="1"/>
  <c r="BJ41" i="61"/>
  <c r="BJ63" i="61"/>
  <c r="BK63" i="61" s="1"/>
  <c r="BJ47" i="61"/>
  <c r="BK47" i="61" s="1"/>
  <c r="BJ43" i="61"/>
  <c r="BK43" i="61" s="1"/>
  <c r="BJ102" i="61"/>
  <c r="BK102" i="61" s="1"/>
  <c r="BJ98" i="61"/>
  <c r="BK98" i="61" s="1"/>
  <c r="BJ75" i="61"/>
  <c r="BK75" i="61" s="1"/>
  <c r="BJ21" i="61"/>
  <c r="BJ106" i="61"/>
  <c r="BK106" i="61" s="1"/>
  <c r="BJ95" i="61"/>
  <c r="BK95" i="61" s="1"/>
  <c r="BJ97" i="61"/>
  <c r="BK97" i="61" s="1"/>
  <c r="BJ105" i="61"/>
  <c r="BK105" i="61" s="1"/>
  <c r="BJ89" i="61"/>
  <c r="BJ87" i="61"/>
  <c r="BK87" i="61" s="1"/>
  <c r="BJ82" i="61"/>
  <c r="BK82" i="61" s="1"/>
  <c r="BJ66" i="61"/>
  <c r="BK66" i="61" s="1"/>
  <c r="BJ73" i="61"/>
  <c r="BK73" i="61" s="1"/>
  <c r="AK53" i="61"/>
  <c r="AK91" i="61"/>
  <c r="AK139" i="61"/>
  <c r="AK155" i="61"/>
  <c r="AK132" i="61"/>
  <c r="AK135" i="61"/>
  <c r="AK57" i="61"/>
  <c r="AK96" i="61"/>
  <c r="AK100" i="61"/>
  <c r="AK160" i="61"/>
  <c r="AK40" i="61"/>
  <c r="AK68" i="61"/>
  <c r="AK62" i="61"/>
  <c r="AK117" i="61"/>
  <c r="AK125" i="61"/>
  <c r="AK126" i="61"/>
  <c r="AK131" i="61"/>
  <c r="AK149" i="61"/>
  <c r="AK150" i="61"/>
  <c r="AK114" i="61"/>
  <c r="AK22" i="61"/>
  <c r="AK138" i="61"/>
  <c r="AK84" i="61"/>
  <c r="AK142" i="61"/>
  <c r="AK134" i="61"/>
  <c r="AK112" i="61"/>
  <c r="AK109" i="61"/>
  <c r="AK116" i="61"/>
  <c r="AK77" i="61"/>
  <c r="AK54" i="61"/>
  <c r="AK58" i="61"/>
  <c r="AK60" i="61"/>
  <c r="AK141" i="61"/>
  <c r="AK23" i="61"/>
  <c r="AK64" i="61"/>
  <c r="AK25" i="61"/>
  <c r="AK140" i="61"/>
  <c r="AK70" i="61"/>
  <c r="AK143" i="61"/>
  <c r="AK119" i="61"/>
  <c r="AK56" i="61"/>
  <c r="AK123" i="61"/>
  <c r="AK61" i="61"/>
  <c r="AK111" i="61"/>
  <c r="AK52" i="61"/>
  <c r="AK44" i="61"/>
  <c r="AK129" i="61"/>
  <c r="AK108" i="61"/>
  <c r="AK151" i="61"/>
  <c r="AK133" i="61"/>
  <c r="AK113" i="61"/>
  <c r="AK92" i="61"/>
  <c r="AK94" i="61"/>
  <c r="AK128" i="61"/>
  <c r="AK118" i="61"/>
  <c r="AK152" i="61"/>
  <c r="AK49" i="61"/>
  <c r="AK153" i="61"/>
  <c r="AK106" i="61"/>
  <c r="AK147" i="61"/>
  <c r="AK156" i="61"/>
  <c r="AK137" i="61"/>
  <c r="AK161" i="61"/>
  <c r="AK115" i="61"/>
  <c r="AK122" i="61"/>
  <c r="AK80" i="61"/>
  <c r="AK154" i="61"/>
  <c r="AK59" i="61"/>
  <c r="AK46" i="61"/>
  <c r="AK107" i="61"/>
  <c r="AK159" i="61"/>
  <c r="AK127" i="61"/>
  <c r="AK124" i="61"/>
  <c r="AK39" i="61"/>
  <c r="AK110" i="61"/>
  <c r="AK120" i="61"/>
  <c r="AK93" i="61"/>
  <c r="AK104" i="61"/>
  <c r="AK38" i="61"/>
  <c r="AK146" i="61"/>
  <c r="AK145" i="61"/>
  <c r="AK24" i="61"/>
  <c r="AK162" i="61"/>
  <c r="AK45" i="61"/>
  <c r="AK55" i="61"/>
  <c r="AK144" i="61"/>
  <c r="AK157" i="61"/>
  <c r="AK163" i="61"/>
  <c r="AK76" i="61"/>
  <c r="AK130" i="61"/>
  <c r="AK136" i="61"/>
  <c r="AK69" i="61"/>
  <c r="AK51" i="61"/>
  <c r="BK20" i="61"/>
  <c r="CY116" i="61"/>
  <c r="CY44" i="61"/>
  <c r="CY92" i="61"/>
  <c r="CY56" i="61"/>
  <c r="CY128" i="61"/>
  <c r="CY80" i="61"/>
  <c r="CY104" i="61"/>
  <c r="CY140" i="61"/>
  <c r="CY152" i="61"/>
  <c r="CY68" i="61"/>
  <c r="CX20" i="61"/>
  <c r="CY20" i="61" s="1"/>
  <c r="CZ20" i="61" s="1"/>
  <c r="AK98" i="61" l="1"/>
  <c r="AK79" i="61"/>
  <c r="AK81" i="61"/>
  <c r="AK101" i="61"/>
  <c r="AK99" i="61"/>
  <c r="AK102" i="61"/>
  <c r="AK73" i="61"/>
  <c r="AK71" i="61"/>
  <c r="AK74" i="61"/>
  <c r="CV22" i="61"/>
  <c r="CJ21" i="61"/>
  <c r="CW22" i="61"/>
  <c r="DE22" i="61" s="1"/>
  <c r="DG22" i="61" s="1"/>
  <c r="DH22" i="61" s="1"/>
  <c r="CV21" i="61"/>
  <c r="CW21" i="61"/>
  <c r="AK43" i="61"/>
  <c r="AK72" i="61"/>
  <c r="AK105" i="61"/>
  <c r="AK50" i="61"/>
  <c r="BK21" i="61"/>
  <c r="DF21" i="61"/>
  <c r="AK85" i="61"/>
  <c r="AK90" i="61"/>
  <c r="AK87" i="61"/>
  <c r="AK82" i="61"/>
  <c r="AK103" i="61"/>
  <c r="AK75" i="61"/>
  <c r="AK42" i="61"/>
  <c r="DG20" i="61"/>
  <c r="DH20" i="61" s="1"/>
  <c r="AK65" i="61"/>
  <c r="AK95" i="61"/>
  <c r="AK83" i="61"/>
  <c r="AK78" i="61"/>
  <c r="AK97" i="61"/>
  <c r="AK47" i="61"/>
  <c r="AK63" i="61"/>
  <c r="AK67" i="61"/>
  <c r="AK86" i="61"/>
  <c r="AK48" i="61"/>
  <c r="BK41" i="61"/>
  <c r="AK41" i="61"/>
  <c r="AK66" i="61"/>
  <c r="BK89" i="61"/>
  <c r="AK89" i="61"/>
  <c r="AK88" i="61"/>
  <c r="N20" i="61"/>
  <c r="O20" i="61" s="1"/>
  <c r="P20" i="61" s="1"/>
  <c r="R20" i="61" s="1"/>
  <c r="AM20" i="61" s="1"/>
  <c r="CY22" i="61" l="1"/>
  <c r="CZ22" i="61" s="1"/>
  <c r="DE21" i="61"/>
  <c r="DG21" i="61" s="1"/>
  <c r="DH21" i="61" s="1"/>
  <c r="CY21" i="61"/>
  <c r="CZ21" i="61" s="1"/>
  <c r="S20" i="61"/>
  <c r="Q20" i="61"/>
  <c r="Z20" i="61"/>
</calcChain>
</file>

<file path=xl/comments1.xml><?xml version="1.0" encoding="utf-8"?>
<comments xmlns="http://schemas.openxmlformats.org/spreadsheetml/2006/main">
  <authors>
    <author>QUANG BAO</author>
  </authors>
  <commentList>
    <comment ref="A18" authorId="0" shapeId="0">
      <text>
        <r>
          <rPr>
            <sz val="9"/>
            <color indexed="81"/>
            <rFont val="Tahoma"/>
            <family val="2"/>
          </rPr>
          <t xml:space="preserve">Max=300 cho mọi loại thép
</t>
        </r>
      </text>
    </comment>
  </commentList>
</comments>
</file>

<file path=xl/sharedStrings.xml><?xml version="1.0" encoding="utf-8"?>
<sst xmlns="http://schemas.openxmlformats.org/spreadsheetml/2006/main" count="2620" uniqueCount="345">
  <si>
    <t>B30</t>
  </si>
  <si>
    <t>Tiết diện</t>
  </si>
  <si>
    <t>Hệ số</t>
  </si>
  <si>
    <t>Chọn thép</t>
  </si>
  <si>
    <t>B20</t>
  </si>
  <si>
    <t>B25</t>
  </si>
  <si>
    <t>B35</t>
  </si>
  <si>
    <t>B40</t>
  </si>
  <si>
    <t>B45</t>
  </si>
  <si>
    <t>MPa</t>
  </si>
  <si>
    <t>Nội lực</t>
  </si>
  <si>
    <t>mm</t>
  </si>
  <si>
    <t xml:space="preserve">Lớp 1 </t>
  </si>
  <si>
    <t>Lớp 2</t>
  </si>
  <si>
    <t>B22.5</t>
  </si>
  <si>
    <t>Gối</t>
  </si>
  <si>
    <t>Nhịp</t>
  </si>
  <si>
    <t>B50</t>
  </si>
  <si>
    <t>CB240-T</t>
  </si>
  <si>
    <t>CB300-V</t>
  </si>
  <si>
    <t>CB400-V</t>
  </si>
  <si>
    <t>1. Vật liệu:</t>
  </si>
  <si>
    <t>Thép ϕ &lt;10</t>
  </si>
  <si>
    <t>Vị trí</t>
  </si>
  <si>
    <t>b
mm</t>
  </si>
  <si>
    <t>h
mm</t>
  </si>
  <si>
    <t>a
mm</t>
  </si>
  <si>
    <t>Cốt thép</t>
  </si>
  <si>
    <t>* Bê tông :</t>
  </si>
  <si>
    <t>* Cốt thép :</t>
  </si>
  <si>
    <t>+</t>
  </si>
  <si>
    <t>x 
mm</t>
  </si>
  <si>
    <t>BÊ TÔNG</t>
  </si>
  <si>
    <t>Cấp cường độ</t>
  </si>
  <si>
    <t>B15</t>
  </si>
  <si>
    <t>B55</t>
  </si>
  <si>
    <t>B60</t>
  </si>
  <si>
    <t>User</t>
  </si>
  <si>
    <r>
      <t>R</t>
    </r>
    <r>
      <rPr>
        <vertAlign val="subscript"/>
        <sz val="10"/>
        <color theme="1"/>
        <rFont val="Arial"/>
        <family val="2"/>
      </rPr>
      <t>b</t>
    </r>
    <r>
      <rPr>
        <sz val="10"/>
        <color theme="1"/>
        <rFont val="Arial"/>
        <family val="2"/>
      </rPr>
      <t xml:space="preserve"> (MPa)</t>
    </r>
    <r>
      <rPr>
        <vertAlign val="subscript"/>
        <sz val="10"/>
        <color theme="1"/>
        <rFont val="Arial"/>
        <family val="2"/>
      </rPr>
      <t xml:space="preserve"> </t>
    </r>
    <r>
      <rPr>
        <sz val="10"/>
        <color theme="1"/>
        <rFont val="Arial"/>
        <family val="2"/>
      </rPr>
      <t xml:space="preserve"> </t>
    </r>
  </si>
  <si>
    <r>
      <t>R</t>
    </r>
    <r>
      <rPr>
        <vertAlign val="subscript"/>
        <sz val="10"/>
        <color theme="1"/>
        <rFont val="Arial"/>
        <family val="2"/>
      </rPr>
      <t>bt</t>
    </r>
    <r>
      <rPr>
        <sz val="10"/>
        <color theme="1"/>
        <rFont val="Arial"/>
        <family val="2"/>
      </rPr>
      <t xml:space="preserve"> (MPa)</t>
    </r>
    <r>
      <rPr>
        <vertAlign val="subscript"/>
        <sz val="10"/>
        <color theme="1"/>
        <rFont val="Arial"/>
        <family val="2"/>
      </rPr>
      <t xml:space="preserve"> </t>
    </r>
    <r>
      <rPr>
        <sz val="10"/>
        <color theme="1"/>
        <rFont val="Arial"/>
        <family val="2"/>
      </rPr>
      <t xml:space="preserve"> </t>
    </r>
  </si>
  <si>
    <r>
      <t>R</t>
    </r>
    <r>
      <rPr>
        <vertAlign val="subscript"/>
        <sz val="10"/>
        <color theme="1"/>
        <rFont val="Arial"/>
        <family val="2"/>
      </rPr>
      <t>b,ser</t>
    </r>
    <r>
      <rPr>
        <sz val="10"/>
        <color theme="1"/>
        <rFont val="Arial"/>
        <family val="2"/>
      </rPr>
      <t xml:space="preserve"> (MPa)</t>
    </r>
  </si>
  <si>
    <r>
      <t>R</t>
    </r>
    <r>
      <rPr>
        <vertAlign val="subscript"/>
        <sz val="10"/>
        <color theme="1"/>
        <rFont val="Arial"/>
        <family val="2"/>
      </rPr>
      <t>bt,ser</t>
    </r>
    <r>
      <rPr>
        <sz val="10"/>
        <color theme="1"/>
        <rFont val="Arial"/>
        <family val="2"/>
      </rPr>
      <t xml:space="preserve"> (MPa)</t>
    </r>
  </si>
  <si>
    <r>
      <t>E</t>
    </r>
    <r>
      <rPr>
        <vertAlign val="subscript"/>
        <sz val="10"/>
        <color theme="1"/>
        <rFont val="Arial"/>
        <family val="2"/>
      </rPr>
      <t>b</t>
    </r>
    <r>
      <rPr>
        <sz val="10"/>
        <color theme="1"/>
        <rFont val="Arial"/>
        <family val="2"/>
      </rPr>
      <t xml:space="preserve"> (MPa)</t>
    </r>
  </si>
  <si>
    <t>CỐT THÉP</t>
  </si>
  <si>
    <t>Mác thép</t>
  </si>
  <si>
    <t>CB300-T</t>
  </si>
  <si>
    <t>CB500-V</t>
  </si>
  <si>
    <t>SD460</t>
  </si>
  <si>
    <t>SD490</t>
  </si>
  <si>
    <r>
      <rPr>
        <sz val="10"/>
        <color theme="1"/>
        <rFont val="Arial"/>
        <family val="2"/>
      </rPr>
      <t xml:space="preserve">  f</t>
    </r>
    <r>
      <rPr>
        <vertAlign val="subscript"/>
        <sz val="10"/>
        <color theme="1"/>
        <rFont val="Arial"/>
        <family val="2"/>
      </rPr>
      <t>y</t>
    </r>
    <r>
      <rPr>
        <sz val="10"/>
        <color theme="1"/>
        <rFont val="Arial"/>
        <family val="2"/>
      </rPr>
      <t xml:space="preserve"> (MPa)</t>
    </r>
    <r>
      <rPr>
        <vertAlign val="subscript"/>
        <sz val="10"/>
        <color theme="1"/>
        <rFont val="Arial"/>
        <family val="2"/>
      </rPr>
      <t xml:space="preserve"> </t>
    </r>
    <r>
      <rPr>
        <sz val="10"/>
        <color theme="1"/>
        <rFont val="Arial"/>
        <family val="2"/>
      </rPr>
      <t xml:space="preserve"> </t>
    </r>
  </si>
  <si>
    <r>
      <t xml:space="preserve">  R</t>
    </r>
    <r>
      <rPr>
        <vertAlign val="subscript"/>
        <sz val="10"/>
        <color theme="1"/>
        <rFont val="Arial"/>
        <family val="2"/>
      </rPr>
      <t>s</t>
    </r>
    <r>
      <rPr>
        <sz val="10"/>
        <color theme="1"/>
        <rFont val="Arial"/>
        <family val="2"/>
      </rPr>
      <t>(MPa)</t>
    </r>
    <r>
      <rPr>
        <vertAlign val="subscript"/>
        <sz val="10"/>
        <color theme="1"/>
        <rFont val="Arial"/>
        <family val="2"/>
      </rPr>
      <t xml:space="preserve"> </t>
    </r>
    <r>
      <rPr>
        <sz val="10"/>
        <color theme="1"/>
        <rFont val="Arial"/>
        <family val="2"/>
      </rPr>
      <t xml:space="preserve"> </t>
    </r>
  </si>
  <si>
    <r>
      <t xml:space="preserve">  R</t>
    </r>
    <r>
      <rPr>
        <vertAlign val="subscript"/>
        <sz val="10"/>
        <color theme="1"/>
        <rFont val="Arial"/>
        <family val="2"/>
      </rPr>
      <t>sc</t>
    </r>
    <r>
      <rPr>
        <sz val="10"/>
        <color theme="1"/>
        <rFont val="Arial"/>
        <family val="2"/>
      </rPr>
      <t>(MPa)</t>
    </r>
    <r>
      <rPr>
        <vertAlign val="subscript"/>
        <sz val="10"/>
        <color theme="1"/>
        <rFont val="Arial"/>
        <family val="2"/>
      </rPr>
      <t xml:space="preserve"> </t>
    </r>
    <r>
      <rPr>
        <sz val="10"/>
        <color theme="1"/>
        <rFont val="Arial"/>
        <family val="2"/>
      </rPr>
      <t xml:space="preserve"> </t>
    </r>
  </si>
  <si>
    <r>
      <t xml:space="preserve">  R</t>
    </r>
    <r>
      <rPr>
        <vertAlign val="subscript"/>
        <sz val="10"/>
        <color theme="1"/>
        <rFont val="Arial"/>
        <family val="2"/>
      </rPr>
      <t>sw</t>
    </r>
    <r>
      <rPr>
        <sz val="10"/>
        <color theme="1"/>
        <rFont val="Arial"/>
        <family val="2"/>
      </rPr>
      <t>(MPa)</t>
    </r>
    <r>
      <rPr>
        <vertAlign val="subscript"/>
        <sz val="10"/>
        <color theme="1"/>
        <rFont val="Arial"/>
        <family val="2"/>
      </rPr>
      <t xml:space="preserve"> </t>
    </r>
    <r>
      <rPr>
        <sz val="10"/>
        <color theme="1"/>
        <rFont val="Arial"/>
        <family val="2"/>
      </rPr>
      <t xml:space="preserve"> </t>
    </r>
  </si>
  <si>
    <r>
      <t>E</t>
    </r>
    <r>
      <rPr>
        <vertAlign val="subscript"/>
        <sz val="10"/>
        <color theme="1"/>
        <rFont val="Arial"/>
        <family val="2"/>
      </rPr>
      <t>s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Arial"/>
        <family val="2"/>
      </rPr>
      <t xml:space="preserve"> MPa)</t>
    </r>
    <r>
      <rPr>
        <vertAlign val="subscript"/>
        <sz val="10"/>
        <color theme="1"/>
        <rFont val="Arial"/>
        <family val="2"/>
      </rPr>
      <t xml:space="preserve"> </t>
    </r>
    <r>
      <rPr>
        <sz val="10"/>
        <color theme="1"/>
        <rFont val="Arial"/>
        <family val="2"/>
      </rPr>
      <t xml:space="preserve"> </t>
    </r>
  </si>
  <si>
    <t xml:space="preserve"> - Hệ số điều kiện làm việc :</t>
  </si>
  <si>
    <t xml:space="preserve"> - Hệ số :</t>
  </si>
  <si>
    <t xml:space="preserve"> - Chiều dày lớp bê tông bảo vệ :</t>
  </si>
  <si>
    <r>
      <t>R</t>
    </r>
    <r>
      <rPr>
        <vertAlign val="subscript"/>
        <sz val="10"/>
        <rFont val="Times New Roman"/>
        <family val="1"/>
      </rPr>
      <t xml:space="preserve">b </t>
    </r>
    <r>
      <rPr>
        <sz val="10"/>
        <rFont val="Times New Roman"/>
        <family val="1"/>
      </rPr>
      <t xml:space="preserve">= </t>
    </r>
  </si>
  <si>
    <r>
      <t>R</t>
    </r>
    <r>
      <rPr>
        <vertAlign val="subscript"/>
        <sz val="10"/>
        <rFont val="Times New Roman"/>
        <family val="1"/>
      </rPr>
      <t>bt</t>
    </r>
    <r>
      <rPr>
        <sz val="10"/>
        <rFont val="Times New Roman"/>
        <family val="1"/>
      </rPr>
      <t xml:space="preserve"> =</t>
    </r>
  </si>
  <si>
    <r>
      <t>E</t>
    </r>
    <r>
      <rPr>
        <vertAlign val="subscript"/>
        <sz val="10"/>
        <rFont val="Times New Roman"/>
        <family val="1"/>
      </rPr>
      <t>b</t>
    </r>
    <r>
      <rPr>
        <sz val="10"/>
        <rFont val="Times New Roman"/>
        <family val="1"/>
      </rPr>
      <t xml:space="preserve"> =</t>
    </r>
  </si>
  <si>
    <r>
      <t>γ</t>
    </r>
    <r>
      <rPr>
        <vertAlign val="subscript"/>
        <sz val="10"/>
        <rFont val="Times New Roman"/>
        <family val="1"/>
      </rPr>
      <t>b</t>
    </r>
    <r>
      <rPr>
        <sz val="10"/>
        <rFont val="Times New Roman"/>
        <family val="1"/>
      </rPr>
      <t xml:space="preserve"> =</t>
    </r>
  </si>
  <si>
    <r>
      <t>R</t>
    </r>
    <r>
      <rPr>
        <vertAlign val="subscript"/>
        <sz val="10"/>
        <rFont val="Times New Roman"/>
        <family val="1"/>
      </rPr>
      <t>b,ser</t>
    </r>
    <r>
      <rPr>
        <sz val="10"/>
        <rFont val="Times New Roman"/>
        <family val="1"/>
      </rPr>
      <t xml:space="preserve"> =</t>
    </r>
  </si>
  <si>
    <r>
      <t>a</t>
    </r>
    <r>
      <rPr>
        <vertAlign val="subscript"/>
        <sz val="10"/>
        <rFont val="Times New Roman"/>
        <family val="1"/>
      </rPr>
      <t>o</t>
    </r>
    <r>
      <rPr>
        <sz val="10"/>
        <rFont val="Times New Roman"/>
        <family val="1"/>
      </rPr>
      <t xml:space="preserve"> =</t>
    </r>
  </si>
  <si>
    <r>
      <t>R</t>
    </r>
    <r>
      <rPr>
        <vertAlign val="subscript"/>
        <sz val="10"/>
        <rFont val="Times New Roman"/>
        <family val="1"/>
      </rPr>
      <t>s</t>
    </r>
    <r>
      <rPr>
        <sz val="10"/>
        <rFont val="Times New Roman"/>
        <family val="1"/>
      </rPr>
      <t xml:space="preserve"> = </t>
    </r>
  </si>
  <si>
    <r>
      <t>R</t>
    </r>
    <r>
      <rPr>
        <vertAlign val="subscript"/>
        <sz val="10"/>
        <rFont val="Times New Roman"/>
        <family val="1"/>
      </rPr>
      <t>sc</t>
    </r>
    <r>
      <rPr>
        <sz val="10"/>
        <rFont val="Times New Roman"/>
        <family val="1"/>
      </rPr>
      <t xml:space="preserve"> =</t>
    </r>
  </si>
  <si>
    <r>
      <t>R</t>
    </r>
    <r>
      <rPr>
        <vertAlign val="subscript"/>
        <sz val="10"/>
        <rFont val="Times New Roman"/>
        <family val="1"/>
      </rPr>
      <t>sw</t>
    </r>
    <r>
      <rPr>
        <sz val="10"/>
        <rFont val="Times New Roman"/>
        <family val="1"/>
      </rPr>
      <t xml:space="preserve"> =</t>
    </r>
  </si>
  <si>
    <r>
      <t>E</t>
    </r>
    <r>
      <rPr>
        <vertAlign val="subscript"/>
        <sz val="10"/>
        <rFont val="Times New Roman"/>
        <family val="1"/>
      </rPr>
      <t>s</t>
    </r>
    <r>
      <rPr>
        <sz val="10"/>
        <rFont val="Times New Roman"/>
        <family val="1"/>
      </rPr>
      <t xml:space="preserve"> =</t>
    </r>
  </si>
  <si>
    <r>
      <t xml:space="preserve"> R</t>
    </r>
    <r>
      <rPr>
        <vertAlign val="subscript"/>
        <sz val="10"/>
        <rFont val="Times New Roman"/>
        <family val="1"/>
      </rPr>
      <t>sc</t>
    </r>
    <r>
      <rPr>
        <sz val="10"/>
        <rFont val="Times New Roman"/>
        <family val="1"/>
      </rPr>
      <t xml:space="preserve"> =</t>
    </r>
  </si>
  <si>
    <r>
      <t>M</t>
    </r>
    <r>
      <rPr>
        <b/>
        <vertAlign val="subscript"/>
        <sz val="10"/>
        <rFont val="Times New Roman"/>
        <family val="1"/>
      </rPr>
      <t xml:space="preserve">u 
</t>
    </r>
    <r>
      <rPr>
        <b/>
        <sz val="10"/>
        <rFont val="Times New Roman"/>
        <family val="1"/>
      </rPr>
      <t>kNm</t>
    </r>
  </si>
  <si>
    <r>
      <t>M
≤ M</t>
    </r>
    <r>
      <rPr>
        <b/>
        <vertAlign val="subscript"/>
        <sz val="10"/>
        <rFont val="Times New Roman"/>
        <family val="1"/>
      </rPr>
      <t>u</t>
    </r>
  </si>
  <si>
    <r>
      <t>0.1&lt;
m ≤ 
m</t>
    </r>
    <r>
      <rPr>
        <b/>
        <vertAlign val="subscript"/>
        <sz val="10"/>
        <rFont val="Times New Roman"/>
        <family val="1"/>
      </rPr>
      <t>max</t>
    </r>
  </si>
  <si>
    <r>
      <t>h</t>
    </r>
    <r>
      <rPr>
        <b/>
        <vertAlign val="subscript"/>
        <sz val="10"/>
        <rFont val="Times New Roman"/>
        <family val="1"/>
      </rPr>
      <t>o</t>
    </r>
    <r>
      <rPr>
        <b/>
        <sz val="10"/>
        <rFont val="Times New Roman"/>
        <family val="1"/>
      </rPr>
      <t xml:space="preserve">
mm</t>
    </r>
  </si>
  <si>
    <r>
      <t>M</t>
    </r>
    <r>
      <rPr>
        <b/>
        <vertAlign val="subscript"/>
        <sz val="10"/>
        <color theme="1"/>
        <rFont val="Times New Roman"/>
        <family val="1"/>
      </rPr>
      <t>max</t>
    </r>
    <r>
      <rPr>
        <b/>
        <sz val="10"/>
        <color theme="1"/>
        <rFont val="Times New Roman"/>
        <family val="1"/>
      </rPr>
      <t xml:space="preserve"> 
kNm</t>
    </r>
  </si>
  <si>
    <r>
      <t>Q</t>
    </r>
    <r>
      <rPr>
        <b/>
        <vertAlign val="subscript"/>
        <sz val="10"/>
        <color theme="1"/>
        <rFont val="Times New Roman"/>
        <family val="1"/>
      </rPr>
      <t xml:space="preserve">max
 </t>
    </r>
    <r>
      <rPr>
        <b/>
        <sz val="10"/>
        <color theme="1"/>
        <rFont val="Times New Roman"/>
        <family val="1"/>
      </rPr>
      <t>kN</t>
    </r>
  </si>
  <si>
    <r>
      <t>A</t>
    </r>
    <r>
      <rPr>
        <b/>
        <vertAlign val="subscript"/>
        <sz val="10"/>
        <rFont val="Times New Roman"/>
        <family val="1"/>
      </rPr>
      <t>s</t>
    </r>
    <r>
      <rPr>
        <b/>
        <vertAlign val="superscript"/>
        <sz val="10"/>
        <rFont val="Times New Roman"/>
        <family val="1"/>
      </rPr>
      <t>ch</t>
    </r>
    <r>
      <rPr>
        <b/>
        <sz val="10"/>
        <rFont val="Times New Roman"/>
        <family val="1"/>
      </rPr>
      <t xml:space="preserve">
cm</t>
    </r>
    <r>
      <rPr>
        <b/>
        <vertAlign val="superscript"/>
        <sz val="10"/>
        <rFont val="Times New Roman"/>
        <family val="1"/>
      </rPr>
      <t>2</t>
    </r>
  </si>
  <si>
    <t>Tính được diện tích cốt thép ngang yêu cầu phân bố trên 1m chiều dài dầm như sau:</t>
  </si>
  <si>
    <t>THIẾT KẾ DẦM CHỊU CẮT</t>
  </si>
  <si>
    <r>
      <t>Khả năng chịu cắt của tiết diện nghiêng do bêtông và cốt thép đai chịu được:    Q</t>
    </r>
    <r>
      <rPr>
        <vertAlign val="subscript"/>
        <sz val="11"/>
        <color indexed="8"/>
        <rFont val="Times New Roman"/>
        <family val="1"/>
      </rPr>
      <t>bsw</t>
    </r>
    <r>
      <rPr>
        <sz val="10"/>
        <rFont val="Times New Roman"/>
        <family val="1"/>
      </rPr>
      <t xml:space="preserve"> = Q</t>
    </r>
    <r>
      <rPr>
        <vertAlign val="subscript"/>
        <sz val="11"/>
        <color indexed="8"/>
        <rFont val="Times New Roman"/>
        <family val="1"/>
      </rPr>
      <t>b</t>
    </r>
    <r>
      <rPr>
        <sz val="10"/>
        <rFont val="Times New Roman"/>
        <family val="1"/>
      </rPr>
      <t xml:space="preserve"> + Q</t>
    </r>
    <r>
      <rPr>
        <vertAlign val="subscript"/>
        <sz val="11"/>
        <color indexed="8"/>
        <rFont val="Times New Roman"/>
        <family val="1"/>
      </rPr>
      <t>sw</t>
    </r>
  </si>
  <si>
    <t>Chọn đai</t>
  </si>
  <si>
    <t>Фd</t>
  </si>
  <si>
    <t>Số nhánh
n</t>
  </si>
  <si>
    <t>K/cách
s (mm)</t>
  </si>
  <si>
    <r>
      <t>A</t>
    </r>
    <r>
      <rPr>
        <b/>
        <vertAlign val="subscript"/>
        <sz val="11"/>
        <color indexed="8"/>
        <rFont val="Times New Roman"/>
        <family val="1"/>
      </rPr>
      <t>sw/s (botri)
(cm2/m)</t>
    </r>
  </si>
  <si>
    <t>* Công thức :</t>
  </si>
  <si>
    <r>
      <t>α</t>
    </r>
    <r>
      <rPr>
        <b/>
        <vertAlign val="subscript"/>
        <sz val="8"/>
        <rFont val="Times New Roman"/>
        <family val="1"/>
      </rPr>
      <t>m</t>
    </r>
  </si>
  <si>
    <r>
      <rPr>
        <b/>
        <sz val="10"/>
        <rFont val="Calibri"/>
        <family val="2"/>
      </rPr>
      <t>µ</t>
    </r>
    <r>
      <rPr>
        <b/>
        <vertAlign val="subscript"/>
        <sz val="10"/>
        <rFont val="Times New Roman"/>
        <family val="1"/>
      </rPr>
      <t>tk</t>
    </r>
    <r>
      <rPr>
        <b/>
        <sz val="10"/>
        <rFont val="Times New Roman"/>
        <family val="1"/>
      </rPr>
      <t>%</t>
    </r>
  </si>
  <si>
    <r>
      <rPr>
        <b/>
        <sz val="10"/>
        <rFont val="Calibri"/>
        <family val="2"/>
      </rPr>
      <t>µ</t>
    </r>
    <r>
      <rPr>
        <b/>
        <vertAlign val="superscript"/>
        <sz val="10"/>
        <rFont val="Times New Roman"/>
        <family val="1"/>
      </rPr>
      <t xml:space="preserve">bt </t>
    </r>
    <r>
      <rPr>
        <b/>
        <sz val="10"/>
        <rFont val="Times New Roman"/>
        <family val="1"/>
      </rPr>
      <t>%</t>
    </r>
  </si>
  <si>
    <r>
      <rPr>
        <b/>
        <sz val="10"/>
        <rFont val="Calibri"/>
        <family val="2"/>
      </rPr>
      <t>µ</t>
    </r>
    <r>
      <rPr>
        <b/>
        <vertAlign val="subscript"/>
        <sz val="10"/>
        <rFont val="Times New Roman"/>
        <family val="1"/>
      </rPr>
      <t>max</t>
    </r>
    <r>
      <rPr>
        <b/>
        <sz val="10"/>
        <rFont val="Times New Roman"/>
        <family val="1"/>
      </rPr>
      <t>%</t>
    </r>
  </si>
  <si>
    <t>THIẾT KẾ DẦM CHỊU UỐN XOẮN</t>
  </si>
  <si>
    <t>K/tra
 đai</t>
  </si>
  <si>
    <t>Da-1</t>
  </si>
  <si>
    <r>
      <t>0.1R</t>
    </r>
    <r>
      <rPr>
        <b/>
        <vertAlign val="subscript"/>
        <sz val="10"/>
        <rFont val="Times New Roman"/>
        <family val="1"/>
      </rPr>
      <t>b</t>
    </r>
    <r>
      <rPr>
        <b/>
        <sz val="10"/>
        <rFont val="Times New Roman"/>
        <family val="1"/>
      </rPr>
      <t>b</t>
    </r>
    <r>
      <rPr>
        <b/>
        <vertAlign val="superscript"/>
        <sz val="10"/>
        <rFont val="Times New Roman"/>
        <family val="1"/>
      </rPr>
      <t>2</t>
    </r>
    <r>
      <rPr>
        <b/>
        <sz val="10"/>
        <rFont val="Times New Roman"/>
        <family val="1"/>
      </rPr>
      <t>h</t>
    </r>
    <r>
      <rPr>
        <b/>
        <vertAlign val="subscript"/>
        <sz val="11"/>
        <color indexed="8"/>
        <rFont val="Times New Roman"/>
        <family val="1"/>
      </rPr>
      <t xml:space="preserve">
(kN)</t>
    </r>
  </si>
  <si>
    <t>Z1</t>
  </si>
  <si>
    <t>Z2</t>
  </si>
  <si>
    <t>δ</t>
  </si>
  <si>
    <t>TH1: Z1 là cạnh ngắn Z2 là cạnh dài</t>
  </si>
  <si>
    <t>TH2: Z1 là cạnh dài Z2 là cạnh ngắn</t>
  </si>
  <si>
    <t>Thép giá</t>
  </si>
  <si>
    <t>Số thanh/mặt
n</t>
  </si>
  <si>
    <r>
      <t>ξ</t>
    </r>
    <r>
      <rPr>
        <vertAlign val="subscript"/>
        <sz val="10"/>
        <rFont val="Times New Roman"/>
        <family val="1"/>
      </rPr>
      <t>R</t>
    </r>
    <r>
      <rPr>
        <sz val="10"/>
        <rFont val="Times New Roman"/>
        <family val="1"/>
      </rPr>
      <t xml:space="preserve">  =0.8/(1+ e</t>
    </r>
    <r>
      <rPr>
        <vertAlign val="subscript"/>
        <sz val="10"/>
        <rFont val="Times New Roman"/>
        <family val="1"/>
      </rPr>
      <t xml:space="preserve">s,el </t>
    </r>
    <r>
      <rPr>
        <sz val="10"/>
        <rFont val="Times New Roman"/>
        <family val="1"/>
      </rPr>
      <t>/e</t>
    </r>
    <r>
      <rPr>
        <vertAlign val="subscript"/>
        <sz val="10"/>
        <rFont val="Times New Roman"/>
        <family val="1"/>
      </rPr>
      <t>b2</t>
    </r>
    <r>
      <rPr>
        <sz val="10"/>
        <rFont val="Times New Roman"/>
        <family val="1"/>
      </rPr>
      <t>) =</t>
    </r>
  </si>
  <si>
    <t>ξ</t>
  </si>
  <si>
    <r>
      <t>ξ&lt;ξ</t>
    </r>
    <r>
      <rPr>
        <b/>
        <vertAlign val="subscript"/>
        <sz val="10"/>
        <rFont val="Times New Roman"/>
        <family val="1"/>
      </rPr>
      <t>R</t>
    </r>
  </si>
  <si>
    <t>γ</t>
  </si>
  <si>
    <t>Label</t>
  </si>
  <si>
    <t>Location</t>
  </si>
  <si>
    <t>(-) Moment</t>
  </si>
  <si>
    <t>(-) Combo</t>
  </si>
  <si>
    <t>(+) Moment</t>
  </si>
  <si>
    <t>B880</t>
  </si>
  <si>
    <t>End-I</t>
  </si>
  <si>
    <t>ENVE</t>
  </si>
  <si>
    <t>Middle</t>
  </si>
  <si>
    <t>End-J</t>
  </si>
  <si>
    <t>V</t>
  </si>
  <si>
    <t>B170</t>
  </si>
  <si>
    <t>B172</t>
  </si>
  <si>
    <t>B173</t>
  </si>
  <si>
    <t>B175</t>
  </si>
  <si>
    <t>B178</t>
  </si>
  <si>
    <t>B179</t>
  </si>
  <si>
    <t>B182</t>
  </si>
  <si>
    <t>B183</t>
  </si>
  <si>
    <t>B21</t>
  </si>
  <si>
    <t>B52</t>
  </si>
  <si>
    <t>B444</t>
  </si>
  <si>
    <t>B445</t>
  </si>
  <si>
    <t>B446</t>
  </si>
  <si>
    <t>B447</t>
  </si>
  <si>
    <t>B258</t>
  </si>
  <si>
    <t>B204</t>
  </si>
  <si>
    <t>B307</t>
  </si>
  <si>
    <t>B321</t>
  </si>
  <si>
    <t>B324</t>
  </si>
  <si>
    <t>B334</t>
  </si>
  <si>
    <t>B352</t>
  </si>
  <si>
    <t>B353</t>
  </si>
  <si>
    <t>B354</t>
  </si>
  <si>
    <t>B355</t>
  </si>
  <si>
    <t>B356</t>
  </si>
  <si>
    <t>B370</t>
  </si>
  <si>
    <t>B371</t>
  </si>
  <si>
    <t>B47</t>
  </si>
  <si>
    <t>B171</t>
  </si>
  <si>
    <t>B469</t>
  </si>
  <si>
    <t>B474</t>
  </si>
  <si>
    <t>B477</t>
  </si>
  <si>
    <t>B478</t>
  </si>
  <si>
    <t>B598</t>
  </si>
  <si>
    <t>B599</t>
  </si>
  <si>
    <t>B603</t>
  </si>
  <si>
    <t>B604</t>
  </si>
  <si>
    <t>B854</t>
  </si>
  <si>
    <t>B855</t>
  </si>
  <si>
    <t>B857</t>
  </si>
  <si>
    <t>B858</t>
  </si>
  <si>
    <t>B859</t>
  </si>
  <si>
    <t>B861</t>
  </si>
  <si>
    <t>B864</t>
  </si>
  <si>
    <t>B865</t>
  </si>
  <si>
    <t>B868</t>
  </si>
  <si>
    <t>B869</t>
  </si>
  <si>
    <t>B871</t>
  </si>
  <si>
    <t>B872</t>
  </si>
  <si>
    <t>B873</t>
  </si>
  <si>
    <t>B874</t>
  </si>
  <si>
    <t>B875</t>
  </si>
  <si>
    <t>B877</t>
  </si>
  <si>
    <t>B878</t>
  </si>
  <si>
    <t>B879</t>
  </si>
  <si>
    <t>B881</t>
  </si>
  <si>
    <t>B883</t>
  </si>
  <si>
    <t>B884</t>
  </si>
  <si>
    <t>B885</t>
  </si>
  <si>
    <t>B886</t>
  </si>
  <si>
    <t>B893</t>
  </si>
  <si>
    <t>B936</t>
  </si>
  <si>
    <t>B937</t>
  </si>
  <si>
    <t>B938</t>
  </si>
  <si>
    <t>B939</t>
  </si>
  <si>
    <t>B940</t>
  </si>
  <si>
    <t>B941</t>
  </si>
  <si>
    <t>B942</t>
  </si>
  <si>
    <t>B943</t>
  </si>
  <si>
    <t>B1081</t>
  </si>
  <si>
    <t>B1082</t>
  </si>
  <si>
    <t>B1105</t>
  </si>
  <si>
    <t>B1112</t>
  </si>
  <si>
    <t>B1115</t>
  </si>
  <si>
    <t>B1116</t>
  </si>
  <si>
    <t>B1141</t>
  </si>
  <si>
    <t>B1182</t>
  </si>
  <si>
    <t>B1193</t>
  </si>
  <si>
    <t>B1196</t>
  </si>
  <si>
    <t>B2</t>
  </si>
  <si>
    <t>B3</t>
  </si>
  <si>
    <t>B4</t>
  </si>
  <si>
    <t>B5</t>
  </si>
  <si>
    <t>B17</t>
  </si>
  <si>
    <t>B18</t>
  </si>
  <si>
    <t>B34</t>
  </si>
  <si>
    <t>B38</t>
  </si>
  <si>
    <t>B43</t>
  </si>
  <si>
    <t>B54</t>
  </si>
  <si>
    <t>B56</t>
  </si>
  <si>
    <t>B57</t>
  </si>
  <si>
    <t>B58</t>
  </si>
  <si>
    <t>B59</t>
  </si>
  <si>
    <t>B62</t>
  </si>
  <si>
    <t>B66</t>
  </si>
  <si>
    <t>B67</t>
  </si>
  <si>
    <t>B68</t>
  </si>
  <si>
    <t>B69</t>
  </si>
  <si>
    <t>B70</t>
  </si>
  <si>
    <t>B79</t>
  </si>
  <si>
    <t>B80</t>
  </si>
  <si>
    <t>B81</t>
  </si>
  <si>
    <t>B82</t>
  </si>
  <si>
    <t>B84</t>
  </si>
  <si>
    <t>B105</t>
  </si>
  <si>
    <t>B90</t>
  </si>
  <si>
    <t>B91</t>
  </si>
  <si>
    <t>B92</t>
  </si>
  <si>
    <t>B93</t>
  </si>
  <si>
    <t>B98</t>
  </si>
  <si>
    <t>B99</t>
  </si>
  <si>
    <t>Dax-2A</t>
  </si>
  <si>
    <t>B90+
B91</t>
  </si>
  <si>
    <t>Thép ϕ ≥16</t>
  </si>
  <si>
    <t>Thép 10=&lt;ϕ &lt;16</t>
  </si>
  <si>
    <t>Rsw</t>
  </si>
  <si>
    <t>Dax-3</t>
  </si>
  <si>
    <t>Dax-3A</t>
  </si>
  <si>
    <t>Dax-4</t>
  </si>
  <si>
    <t>Dax-5</t>
  </si>
  <si>
    <t>…</t>
  </si>
  <si>
    <t>Dax-6</t>
  </si>
  <si>
    <t>Dax-7</t>
  </si>
  <si>
    <t>Dax-8</t>
  </si>
  <si>
    <t>B477+B478</t>
  </si>
  <si>
    <t>Dax-9</t>
  </si>
  <si>
    <t>Dax-10</t>
  </si>
  <si>
    <t>Dax-11</t>
  </si>
  <si>
    <t>Dax-12</t>
  </si>
  <si>
    <t>Dax-13</t>
  </si>
  <si>
    <t>Dax-14</t>
  </si>
  <si>
    <t>Dax-15</t>
  </si>
  <si>
    <t>Day-1</t>
  </si>
  <si>
    <r>
      <t>Q</t>
    </r>
    <r>
      <rPr>
        <vertAlign val="subscript"/>
        <sz val="11"/>
        <color indexed="8"/>
        <rFont val="Times New Roman"/>
        <family val="1"/>
      </rPr>
      <t>b</t>
    </r>
    <r>
      <rPr>
        <sz val="10"/>
        <rFont val="Times New Roman"/>
        <family val="1"/>
      </rPr>
      <t xml:space="preserve"> là lực cắt do bêtông vùng nén chịu được,   Q</t>
    </r>
    <r>
      <rPr>
        <vertAlign val="subscript"/>
        <sz val="11"/>
        <color indexed="8"/>
        <rFont val="Times New Roman"/>
        <family val="1"/>
      </rPr>
      <t>b</t>
    </r>
    <r>
      <rPr>
        <sz val="10"/>
        <rFont val="Times New Roman"/>
        <family val="1"/>
      </rPr>
      <t xml:space="preserve"> = M</t>
    </r>
    <r>
      <rPr>
        <vertAlign val="subscript"/>
        <sz val="11"/>
        <color indexed="8"/>
        <rFont val="Times New Roman"/>
        <family val="1"/>
      </rPr>
      <t>b</t>
    </r>
    <r>
      <rPr>
        <sz val="10"/>
        <rFont val="Times New Roman"/>
        <family val="1"/>
      </rPr>
      <t xml:space="preserve"> / C &gt; Q</t>
    </r>
    <r>
      <rPr>
        <vertAlign val="subscript"/>
        <sz val="11"/>
        <color indexed="8"/>
        <rFont val="Times New Roman"/>
        <family val="1"/>
      </rPr>
      <t>bmin</t>
    </r>
    <r>
      <rPr>
        <sz val="10"/>
        <rFont val="Times New Roman"/>
        <family val="1"/>
      </rPr>
      <t>,        M</t>
    </r>
    <r>
      <rPr>
        <vertAlign val="subscript"/>
        <sz val="11"/>
        <color indexed="8"/>
        <rFont val="Times New Roman"/>
        <family val="1"/>
      </rPr>
      <t>b</t>
    </r>
    <r>
      <rPr>
        <sz val="10"/>
        <rFont val="Times New Roman"/>
        <family val="1"/>
      </rPr>
      <t xml:space="preserve"> = φ</t>
    </r>
    <r>
      <rPr>
        <vertAlign val="subscript"/>
        <sz val="11"/>
        <color indexed="8"/>
        <rFont val="Times New Roman"/>
        <family val="1"/>
      </rPr>
      <t>b2</t>
    </r>
    <r>
      <rPr>
        <sz val="10"/>
        <rFont val="Times New Roman"/>
        <family val="1"/>
      </rPr>
      <t>R</t>
    </r>
    <r>
      <rPr>
        <vertAlign val="subscript"/>
        <sz val="11"/>
        <color indexed="8"/>
        <rFont val="Times New Roman"/>
        <family val="1"/>
      </rPr>
      <t>bt</t>
    </r>
    <r>
      <rPr>
        <sz val="10"/>
        <rFont val="Times New Roman"/>
        <family val="1"/>
      </rPr>
      <t>bh</t>
    </r>
    <r>
      <rPr>
        <vertAlign val="subscript"/>
        <sz val="11"/>
        <color indexed="8"/>
        <rFont val="Times New Roman"/>
        <family val="1"/>
      </rPr>
      <t>o</t>
    </r>
    <r>
      <rPr>
        <vertAlign val="superscript"/>
        <sz val="11"/>
        <color indexed="8"/>
        <rFont val="Times New Roman"/>
        <family val="1"/>
      </rPr>
      <t>2</t>
    </r>
    <r>
      <rPr>
        <sz val="11"/>
        <color indexed="8"/>
        <rFont val="Times New Roman"/>
        <family val="1"/>
      </rPr>
      <t xml:space="preserve"> </t>
    </r>
  </si>
  <si>
    <r>
      <t>φ</t>
    </r>
    <r>
      <rPr>
        <vertAlign val="subscript"/>
        <sz val="11"/>
        <color indexed="8"/>
        <rFont val="Times New Roman"/>
        <family val="1"/>
      </rPr>
      <t>b2</t>
    </r>
    <r>
      <rPr>
        <sz val="10"/>
        <rFont val="Times New Roman"/>
        <family val="1"/>
      </rPr>
      <t xml:space="preserve"> = 1.5</t>
    </r>
  </si>
  <si>
    <r>
      <t>Q</t>
    </r>
    <r>
      <rPr>
        <vertAlign val="subscript"/>
        <sz val="11"/>
        <color indexed="8"/>
        <rFont val="Times New Roman"/>
        <family val="1"/>
      </rPr>
      <t>sw</t>
    </r>
    <r>
      <rPr>
        <sz val="10"/>
        <rFont val="Times New Roman"/>
        <family val="1"/>
      </rPr>
      <t xml:space="preserve"> là khả năng chịu lực cắt của cốt thép đai Q</t>
    </r>
    <r>
      <rPr>
        <vertAlign val="subscript"/>
        <sz val="11"/>
        <color indexed="8"/>
        <rFont val="Times New Roman"/>
        <family val="1"/>
      </rPr>
      <t>sw</t>
    </r>
    <r>
      <rPr>
        <sz val="10"/>
        <rFont val="Times New Roman"/>
        <family val="1"/>
      </rPr>
      <t xml:space="preserve"> = Ø</t>
    </r>
    <r>
      <rPr>
        <vertAlign val="subscript"/>
        <sz val="10"/>
        <rFont val="Times New Roman"/>
        <family val="1"/>
      </rPr>
      <t>sw</t>
    </r>
    <r>
      <rPr>
        <sz val="10"/>
        <rFont val="Times New Roman"/>
        <family val="1"/>
      </rPr>
      <t>q</t>
    </r>
    <r>
      <rPr>
        <vertAlign val="subscript"/>
        <sz val="11"/>
        <color indexed="8"/>
        <rFont val="Times New Roman"/>
        <family val="1"/>
      </rPr>
      <t>sw</t>
    </r>
    <r>
      <rPr>
        <sz val="10"/>
        <rFont val="Times New Roman"/>
        <family val="1"/>
      </rPr>
      <t>C</t>
    </r>
    <r>
      <rPr>
        <vertAlign val="subscript"/>
        <sz val="11"/>
        <color indexed="8"/>
        <rFont val="Times New Roman"/>
        <family val="1"/>
      </rPr>
      <t>o</t>
    </r>
    <r>
      <rPr>
        <sz val="11"/>
        <color indexed="8"/>
        <rFont val="Times New Roman"/>
        <family val="1"/>
      </rPr>
      <t xml:space="preserve"> với</t>
    </r>
  </si>
  <si>
    <t>Các giá trị hình chiếu C cần kiểm tra</t>
  </si>
  <si>
    <r>
      <t>φ</t>
    </r>
    <r>
      <rPr>
        <vertAlign val="subscript"/>
        <sz val="11"/>
        <color indexed="8"/>
        <rFont val="Times New Roman"/>
        <family val="1"/>
      </rPr>
      <t>sw</t>
    </r>
    <r>
      <rPr>
        <sz val="10"/>
        <rFont val="Times New Roman"/>
        <family val="1"/>
      </rPr>
      <t xml:space="preserve"> = 0.75;</t>
    </r>
  </si>
  <si>
    <r>
      <t>Q</t>
    </r>
    <r>
      <rPr>
        <vertAlign val="subscript"/>
        <sz val="11"/>
        <color indexed="8"/>
        <rFont val="Times New Roman"/>
        <family val="1"/>
      </rPr>
      <t>b,max</t>
    </r>
    <r>
      <rPr>
        <sz val="10"/>
        <rFont val="Times New Roman"/>
        <family val="1"/>
      </rPr>
      <t xml:space="preserve"> = 2.5R</t>
    </r>
    <r>
      <rPr>
        <vertAlign val="subscript"/>
        <sz val="11"/>
        <color indexed="8"/>
        <rFont val="Times New Roman"/>
        <family val="1"/>
      </rPr>
      <t>bt</t>
    </r>
    <r>
      <rPr>
        <sz val="10"/>
        <rFont val="Times New Roman"/>
        <family val="1"/>
      </rPr>
      <t>bh</t>
    </r>
    <r>
      <rPr>
        <vertAlign val="subscript"/>
        <sz val="11"/>
        <color indexed="8"/>
        <rFont val="Times New Roman"/>
        <family val="1"/>
      </rPr>
      <t>o</t>
    </r>
    <r>
      <rPr>
        <sz val="11"/>
        <color rgb="FF000000"/>
        <rFont val="Times New Roman"/>
        <family val="1"/>
      </rPr>
      <t xml:space="preserve"> ;</t>
    </r>
  </si>
  <si>
    <r>
      <t>Q</t>
    </r>
    <r>
      <rPr>
        <vertAlign val="subscript"/>
        <sz val="11"/>
        <color indexed="8"/>
        <rFont val="Times New Roman"/>
        <family val="1"/>
      </rPr>
      <t>b,min</t>
    </r>
    <r>
      <rPr>
        <sz val="10"/>
        <rFont val="Times New Roman"/>
        <family val="1"/>
      </rPr>
      <t xml:space="preserve"> = 0.5R</t>
    </r>
    <r>
      <rPr>
        <vertAlign val="subscript"/>
        <sz val="11"/>
        <color indexed="8"/>
        <rFont val="Times New Roman"/>
        <family val="1"/>
      </rPr>
      <t>bt</t>
    </r>
    <r>
      <rPr>
        <sz val="10"/>
        <rFont val="Times New Roman"/>
        <family val="1"/>
      </rPr>
      <t>bh</t>
    </r>
    <r>
      <rPr>
        <vertAlign val="subscript"/>
        <sz val="11"/>
        <color indexed="8"/>
        <rFont val="Times New Roman"/>
        <family val="1"/>
      </rPr>
      <t xml:space="preserve">o </t>
    </r>
    <r>
      <rPr>
        <sz val="11"/>
        <color rgb="FF000000"/>
        <rFont val="Times New Roman"/>
        <family val="1"/>
      </rPr>
      <t>;</t>
    </r>
  </si>
  <si>
    <r>
      <t>C&lt;0.6h</t>
    </r>
    <r>
      <rPr>
        <vertAlign val="subscript"/>
        <sz val="10"/>
        <color theme="1"/>
        <rFont val="Times New Roman"/>
        <family val="1"/>
      </rPr>
      <t>o</t>
    </r>
  </si>
  <si>
    <r>
      <t>&gt; 3h</t>
    </r>
    <r>
      <rPr>
        <vertAlign val="subscript"/>
        <sz val="10"/>
        <color indexed="8"/>
        <rFont val="Times New Roman"/>
        <family val="1"/>
      </rPr>
      <t>o</t>
    </r>
  </si>
  <si>
    <r>
      <t>0.6ho</t>
    </r>
    <r>
      <rPr>
        <sz val="10"/>
        <rFont val="Calibri"/>
        <family val="2"/>
      </rPr>
      <t>≤</t>
    </r>
    <r>
      <rPr>
        <sz val="10"/>
        <rFont val="Times New Roman"/>
        <family val="1"/>
      </rPr>
      <t>C</t>
    </r>
    <r>
      <rPr>
        <sz val="10"/>
        <rFont val="Calibri"/>
        <family val="2"/>
      </rPr>
      <t>≤</t>
    </r>
    <r>
      <rPr>
        <sz val="10"/>
        <rFont val="Times New Roman"/>
        <family val="1"/>
      </rPr>
      <t xml:space="preserve"> h</t>
    </r>
    <r>
      <rPr>
        <vertAlign val="subscript"/>
        <sz val="10"/>
        <color indexed="8"/>
        <rFont val="Times New Roman"/>
        <family val="1"/>
      </rPr>
      <t>o</t>
    </r>
  </si>
  <si>
    <r>
      <t>ho</t>
    </r>
    <r>
      <rPr>
        <sz val="10"/>
        <rFont val="Calibri"/>
        <family val="2"/>
      </rPr>
      <t>≤</t>
    </r>
    <r>
      <rPr>
        <sz val="10"/>
        <rFont val="Times New Roman"/>
        <family val="1"/>
      </rPr>
      <t>C</t>
    </r>
    <r>
      <rPr>
        <sz val="10"/>
        <rFont val="Calibri"/>
        <family val="2"/>
      </rPr>
      <t>≤</t>
    </r>
    <r>
      <rPr>
        <sz val="10"/>
        <rFont val="Times New Roman"/>
        <family val="1"/>
      </rPr>
      <t xml:space="preserve"> 2h</t>
    </r>
    <r>
      <rPr>
        <vertAlign val="subscript"/>
        <sz val="10"/>
        <color indexed="8"/>
        <rFont val="Times New Roman"/>
        <family val="1"/>
      </rPr>
      <t>o</t>
    </r>
  </si>
  <si>
    <r>
      <t>2ho</t>
    </r>
    <r>
      <rPr>
        <sz val="10"/>
        <rFont val="Calibri"/>
        <family val="2"/>
      </rPr>
      <t>≤</t>
    </r>
    <r>
      <rPr>
        <sz val="10"/>
        <rFont val="Times New Roman"/>
        <family val="1"/>
      </rPr>
      <t>C</t>
    </r>
    <r>
      <rPr>
        <sz val="10"/>
        <rFont val="Calibri"/>
        <family val="2"/>
      </rPr>
      <t>≤</t>
    </r>
    <r>
      <rPr>
        <sz val="10"/>
        <rFont val="Times New Roman"/>
        <family val="1"/>
      </rPr>
      <t xml:space="preserve"> 3h</t>
    </r>
    <r>
      <rPr>
        <vertAlign val="subscript"/>
        <sz val="10"/>
        <color indexed="8"/>
        <rFont val="Times New Roman"/>
        <family val="1"/>
      </rPr>
      <t>o</t>
    </r>
  </si>
  <si>
    <r>
      <t>Q</t>
    </r>
    <r>
      <rPr>
        <vertAlign val="subscript"/>
        <sz val="10"/>
        <color theme="1"/>
        <rFont val="Times New Roman"/>
        <family val="1"/>
      </rPr>
      <t>bsw1</t>
    </r>
  </si>
  <si>
    <r>
      <t>Q</t>
    </r>
    <r>
      <rPr>
        <vertAlign val="subscript"/>
        <sz val="10"/>
        <color theme="1"/>
        <rFont val="Times New Roman"/>
        <family val="1"/>
      </rPr>
      <t>bsw2</t>
    </r>
  </si>
  <si>
    <r>
      <t>Q</t>
    </r>
    <r>
      <rPr>
        <vertAlign val="subscript"/>
        <sz val="10"/>
        <color theme="1"/>
        <rFont val="Times New Roman"/>
        <family val="1"/>
      </rPr>
      <t>bsw3</t>
    </r>
  </si>
  <si>
    <r>
      <t>Q</t>
    </r>
    <r>
      <rPr>
        <vertAlign val="subscript"/>
        <sz val="10"/>
        <color theme="1"/>
        <rFont val="Times New Roman"/>
        <family val="1"/>
      </rPr>
      <t>bsw4</t>
    </r>
  </si>
  <si>
    <r>
      <t>Q</t>
    </r>
    <r>
      <rPr>
        <vertAlign val="subscript"/>
        <sz val="10"/>
        <color theme="1"/>
        <rFont val="Times New Roman"/>
        <family val="1"/>
      </rPr>
      <t>bsw5</t>
    </r>
  </si>
  <si>
    <r>
      <t>S</t>
    </r>
    <r>
      <rPr>
        <b/>
        <vertAlign val="subscript"/>
        <sz val="10"/>
        <rFont val="Times New Roman"/>
        <family val="1"/>
      </rPr>
      <t>max</t>
    </r>
    <r>
      <rPr>
        <b/>
        <sz val="10"/>
        <rFont val="Times New Roman"/>
        <family val="1"/>
      </rPr>
      <t xml:space="preserve"> (mm)</t>
    </r>
  </si>
  <si>
    <r>
      <t>S</t>
    </r>
    <r>
      <rPr>
        <b/>
        <vertAlign val="subscript"/>
        <sz val="10"/>
        <rFont val="Times New Roman"/>
        <family val="1"/>
      </rPr>
      <t>ct</t>
    </r>
    <r>
      <rPr>
        <b/>
        <sz val="10"/>
        <rFont val="Times New Roman"/>
        <family val="1"/>
      </rPr>
      <t xml:space="preserve"> (mm)</t>
    </r>
  </si>
  <si>
    <r>
      <t>Q</t>
    </r>
    <r>
      <rPr>
        <vertAlign val="subscript"/>
        <sz val="10"/>
        <rFont val="Times New Roman"/>
        <family val="1"/>
      </rPr>
      <t xml:space="preserve">φb1
</t>
    </r>
    <r>
      <rPr>
        <sz val="10"/>
        <rFont val="Times New Roman"/>
        <family val="1"/>
      </rPr>
      <t>=φ</t>
    </r>
    <r>
      <rPr>
        <vertAlign val="subscript"/>
        <sz val="10"/>
        <rFont val="Times New Roman"/>
        <family val="1"/>
      </rPr>
      <t>b1</t>
    </r>
    <r>
      <rPr>
        <sz val="10"/>
        <rFont val="Times New Roman"/>
        <family val="1"/>
      </rPr>
      <t>R</t>
    </r>
    <r>
      <rPr>
        <vertAlign val="subscript"/>
        <sz val="10"/>
        <rFont val="Times New Roman"/>
        <family val="1"/>
      </rPr>
      <t>b</t>
    </r>
    <r>
      <rPr>
        <sz val="10"/>
        <rFont val="Times New Roman"/>
        <family val="1"/>
      </rPr>
      <t>bh</t>
    </r>
    <r>
      <rPr>
        <vertAlign val="subscript"/>
        <sz val="10"/>
        <rFont val="Times New Roman"/>
        <family val="1"/>
      </rPr>
      <t xml:space="preserve">o </t>
    </r>
    <r>
      <rPr>
        <sz val="10"/>
        <rFont val="Times New Roman"/>
        <family val="1"/>
      </rPr>
      <t>(kN)</t>
    </r>
    <r>
      <rPr>
        <b/>
        <vertAlign val="subscript"/>
        <sz val="11"/>
        <color indexed="8"/>
        <rFont val="Times New Roman"/>
        <family val="1"/>
      </rPr>
      <t xml:space="preserve">
</t>
    </r>
  </si>
  <si>
    <r>
      <t>s</t>
    </r>
    <r>
      <rPr>
        <vertAlign val="subscript"/>
        <sz val="10"/>
        <rFont val="Times New Roman"/>
        <family val="1"/>
      </rPr>
      <t>max</t>
    </r>
    <r>
      <rPr>
        <sz val="10"/>
        <rFont val="Times New Roman"/>
        <family val="1"/>
      </rPr>
      <t>= R</t>
    </r>
    <r>
      <rPr>
        <vertAlign val="subscript"/>
        <sz val="10"/>
        <rFont val="Times New Roman"/>
        <family val="1"/>
      </rPr>
      <t>bt</t>
    </r>
    <r>
      <rPr>
        <sz val="10"/>
        <rFont val="Times New Roman"/>
        <family val="1"/>
      </rPr>
      <t>bh</t>
    </r>
    <r>
      <rPr>
        <vertAlign val="subscript"/>
        <sz val="10"/>
        <rFont val="Times New Roman"/>
        <family val="1"/>
      </rPr>
      <t>o</t>
    </r>
    <r>
      <rPr>
        <vertAlign val="superscript"/>
        <sz val="10"/>
        <rFont val="Times New Roman"/>
        <family val="1"/>
      </rPr>
      <t>2</t>
    </r>
    <r>
      <rPr>
        <sz val="10"/>
        <rFont val="Times New Roman"/>
        <family val="1"/>
      </rPr>
      <t>/Q</t>
    </r>
  </si>
  <si>
    <r>
      <t>s</t>
    </r>
    <r>
      <rPr>
        <vertAlign val="subscript"/>
        <sz val="10"/>
        <rFont val="Times New Roman"/>
        <family val="1"/>
      </rPr>
      <t>ct</t>
    </r>
    <r>
      <rPr>
        <sz val="10"/>
        <rFont val="Times New Roman"/>
        <family val="1"/>
      </rPr>
      <t>=min(0,5h</t>
    </r>
    <r>
      <rPr>
        <vertAlign val="subscript"/>
        <sz val="10"/>
        <rFont val="Times New Roman"/>
        <family val="1"/>
      </rPr>
      <t>o</t>
    </r>
    <r>
      <rPr>
        <sz val="10"/>
        <rFont val="Times New Roman"/>
        <family val="1"/>
      </rPr>
      <t>;300)</t>
    </r>
  </si>
  <si>
    <r>
      <t>s</t>
    </r>
    <r>
      <rPr>
        <vertAlign val="subscript"/>
        <sz val="10"/>
        <rFont val="Times New Roman"/>
        <family val="1"/>
      </rPr>
      <t>tt</t>
    </r>
    <r>
      <rPr>
        <sz val="10"/>
        <rFont val="Times New Roman"/>
        <family val="1"/>
      </rPr>
      <t>=R</t>
    </r>
    <r>
      <rPr>
        <vertAlign val="subscript"/>
        <sz val="10"/>
        <rFont val="Times New Roman"/>
        <family val="1"/>
      </rPr>
      <t>sw</t>
    </r>
    <r>
      <rPr>
        <sz val="10"/>
        <rFont val="Times New Roman"/>
        <family val="1"/>
      </rPr>
      <t>A</t>
    </r>
    <r>
      <rPr>
        <vertAlign val="subscript"/>
        <sz val="10"/>
        <rFont val="Times New Roman"/>
        <family val="1"/>
      </rPr>
      <t>sw</t>
    </r>
    <r>
      <rPr>
        <sz val="10"/>
        <rFont val="Times New Roman"/>
        <family val="1"/>
      </rPr>
      <t>/q</t>
    </r>
    <r>
      <rPr>
        <vertAlign val="subscript"/>
        <sz val="10"/>
        <rFont val="Times New Roman"/>
        <family val="1"/>
      </rPr>
      <t>sw</t>
    </r>
  </si>
  <si>
    <r>
      <t>Ktra Us
nén chính</t>
    </r>
    <r>
      <rPr>
        <b/>
        <vertAlign val="subscript"/>
        <sz val="11"/>
        <color indexed="8"/>
        <rFont val="Times New Roman"/>
        <family val="1"/>
      </rPr>
      <t xml:space="preserve">
</t>
    </r>
  </si>
  <si>
    <r>
      <t>S</t>
    </r>
    <r>
      <rPr>
        <b/>
        <vertAlign val="subscript"/>
        <sz val="10"/>
        <rFont val="Times New Roman"/>
        <family val="1"/>
      </rPr>
      <t>tt</t>
    </r>
    <r>
      <rPr>
        <b/>
        <sz val="10"/>
        <rFont val="Times New Roman"/>
        <family val="1"/>
      </rPr>
      <t>,</t>
    </r>
    <r>
      <rPr>
        <b/>
        <vertAlign val="subscript"/>
        <sz val="10"/>
        <rFont val="Times New Roman"/>
        <family val="1"/>
      </rPr>
      <t>min</t>
    </r>
    <r>
      <rPr>
        <b/>
        <sz val="10"/>
        <rFont val="Times New Roman"/>
        <family val="1"/>
      </rPr>
      <t xml:space="preserve"> (mm)</t>
    </r>
  </si>
  <si>
    <t>C1
(mm)</t>
  </si>
  <si>
    <r>
      <t>q</t>
    </r>
    <r>
      <rPr>
        <b/>
        <vertAlign val="subscript"/>
        <sz val="10"/>
        <rFont val="Times New Roman"/>
        <family val="1"/>
      </rPr>
      <t>sw
(N/mm)</t>
    </r>
  </si>
  <si>
    <r>
      <t>q</t>
    </r>
    <r>
      <rPr>
        <b/>
        <vertAlign val="subscript"/>
        <sz val="10"/>
        <rFont val="Times New Roman"/>
        <family val="1"/>
      </rPr>
      <t>sw,min
(N/mm)</t>
    </r>
  </si>
  <si>
    <r>
      <t>Ktra  y/c cấu tạo đai</t>
    </r>
    <r>
      <rPr>
        <b/>
        <vertAlign val="subscript"/>
        <sz val="11"/>
        <color indexed="8"/>
        <rFont val="Times New Roman"/>
        <family val="1"/>
      </rPr>
      <t xml:space="preserve">
</t>
    </r>
  </si>
  <si>
    <r>
      <t>Ktra đk cường độ</t>
    </r>
    <r>
      <rPr>
        <b/>
        <vertAlign val="subscript"/>
        <sz val="11"/>
        <color indexed="8"/>
        <rFont val="Times New Roman"/>
        <family val="1"/>
      </rPr>
      <t xml:space="preserve">
</t>
    </r>
  </si>
  <si>
    <r>
      <t>0.6h</t>
    </r>
    <r>
      <rPr>
        <b/>
        <vertAlign val="subscript"/>
        <sz val="10"/>
        <rFont val="Times New Roman"/>
        <family val="1"/>
      </rPr>
      <t>0</t>
    </r>
  </si>
  <si>
    <r>
      <t>h</t>
    </r>
    <r>
      <rPr>
        <b/>
        <vertAlign val="subscript"/>
        <sz val="10"/>
        <rFont val="Times New Roman"/>
        <family val="1"/>
      </rPr>
      <t>0</t>
    </r>
  </si>
  <si>
    <r>
      <t>2h</t>
    </r>
    <r>
      <rPr>
        <b/>
        <vertAlign val="subscript"/>
        <sz val="10"/>
        <rFont val="Times New Roman"/>
        <family val="1"/>
      </rPr>
      <t>0</t>
    </r>
  </si>
  <si>
    <r>
      <t>3h</t>
    </r>
    <r>
      <rPr>
        <b/>
        <vertAlign val="subscript"/>
        <sz val="10"/>
        <rFont val="Times New Roman"/>
        <family val="1"/>
      </rPr>
      <t>0</t>
    </r>
  </si>
  <si>
    <r>
      <t>Q</t>
    </r>
    <r>
      <rPr>
        <b/>
        <vertAlign val="subscript"/>
        <sz val="10"/>
        <rFont val="Times New Roman"/>
        <family val="1"/>
      </rPr>
      <t>bmin</t>
    </r>
    <r>
      <rPr>
        <b/>
        <sz val="10"/>
        <rFont val="Times New Roman"/>
        <family val="1"/>
      </rPr>
      <t xml:space="preserve"> =0.5R</t>
    </r>
    <r>
      <rPr>
        <b/>
        <vertAlign val="subscript"/>
        <sz val="10"/>
        <rFont val="Times New Roman"/>
        <family val="1"/>
      </rPr>
      <t>bt</t>
    </r>
    <r>
      <rPr>
        <b/>
        <sz val="10"/>
        <rFont val="Times New Roman"/>
        <family val="1"/>
      </rPr>
      <t>bh</t>
    </r>
    <r>
      <rPr>
        <b/>
        <vertAlign val="subscript"/>
        <sz val="10"/>
        <rFont val="Times New Roman"/>
        <family val="1"/>
      </rPr>
      <t xml:space="preserve">0 </t>
    </r>
    <r>
      <rPr>
        <b/>
        <sz val="10"/>
        <rFont val="Times New Roman"/>
        <family val="1"/>
      </rPr>
      <t>(kN)</t>
    </r>
  </si>
  <si>
    <r>
      <t>Q</t>
    </r>
    <r>
      <rPr>
        <b/>
        <vertAlign val="subscript"/>
        <sz val="10"/>
        <rFont val="Times New Roman"/>
        <family val="1"/>
      </rPr>
      <t>bsw1</t>
    </r>
    <r>
      <rPr>
        <b/>
        <sz val="10"/>
        <rFont val="Times New Roman"/>
        <family val="1"/>
      </rPr>
      <t xml:space="preserve"> (kN)</t>
    </r>
  </si>
  <si>
    <r>
      <t>Q</t>
    </r>
    <r>
      <rPr>
        <b/>
        <vertAlign val="subscript"/>
        <sz val="10"/>
        <rFont val="Times New Roman"/>
        <family val="1"/>
      </rPr>
      <t>bsw2</t>
    </r>
    <r>
      <rPr>
        <b/>
        <sz val="10"/>
        <rFont val="Times New Roman"/>
        <family val="1"/>
      </rPr>
      <t xml:space="preserve"> (kN)</t>
    </r>
  </si>
  <si>
    <r>
      <t>Q</t>
    </r>
    <r>
      <rPr>
        <b/>
        <vertAlign val="subscript"/>
        <sz val="10"/>
        <rFont val="Times New Roman"/>
        <family val="1"/>
      </rPr>
      <t>bsw3</t>
    </r>
    <r>
      <rPr>
        <b/>
        <sz val="10"/>
        <rFont val="Times New Roman"/>
        <family val="1"/>
      </rPr>
      <t xml:space="preserve"> (kN)</t>
    </r>
  </si>
  <si>
    <r>
      <t>Q</t>
    </r>
    <r>
      <rPr>
        <b/>
        <vertAlign val="subscript"/>
        <sz val="10"/>
        <rFont val="Times New Roman"/>
        <family val="1"/>
      </rPr>
      <t>bsw4</t>
    </r>
    <r>
      <rPr>
        <b/>
        <sz val="10"/>
        <rFont val="Times New Roman"/>
        <family val="1"/>
      </rPr>
      <t xml:space="preserve"> (kN)</t>
    </r>
  </si>
  <si>
    <r>
      <t>Q</t>
    </r>
    <r>
      <rPr>
        <b/>
        <vertAlign val="subscript"/>
        <sz val="10"/>
        <rFont val="Times New Roman"/>
        <family val="1"/>
      </rPr>
      <t>bsw5</t>
    </r>
    <r>
      <rPr>
        <b/>
        <sz val="10"/>
        <rFont val="Times New Roman"/>
        <family val="1"/>
      </rPr>
      <t xml:space="preserve"> (kN)</t>
    </r>
  </si>
  <si>
    <r>
      <t>Q</t>
    </r>
    <r>
      <rPr>
        <b/>
        <vertAlign val="subscript"/>
        <sz val="10"/>
        <rFont val="Times New Roman"/>
        <family val="1"/>
      </rPr>
      <t>bsw,min</t>
    </r>
    <r>
      <rPr>
        <b/>
        <sz val="10"/>
        <rFont val="Times New Roman"/>
        <family val="1"/>
      </rPr>
      <t xml:space="preserve"> (kN)</t>
    </r>
  </si>
  <si>
    <t>Cần tính cốt đai</t>
  </si>
  <si>
    <r>
      <t xml:space="preserve">tính toán cấu kiện bê tông cốt thép theo tiết diện nghiêng chịu mô men:    M </t>
    </r>
    <r>
      <rPr>
        <sz val="10"/>
        <rFont val="Calibri"/>
        <family val="2"/>
      </rPr>
      <t>≤</t>
    </r>
    <r>
      <rPr>
        <sz val="10"/>
        <rFont val="Times New Roman"/>
        <family val="1"/>
      </rPr>
      <t xml:space="preserve"> M</t>
    </r>
    <r>
      <rPr>
        <vertAlign val="subscript"/>
        <sz val="10"/>
        <rFont val="Times New Roman"/>
        <family val="1"/>
      </rPr>
      <t>s</t>
    </r>
    <r>
      <rPr>
        <sz val="10"/>
        <rFont val="Times New Roman"/>
        <family val="1"/>
      </rPr>
      <t xml:space="preserve"> + M</t>
    </r>
    <r>
      <rPr>
        <vertAlign val="subscript"/>
        <sz val="11"/>
        <color indexed="8"/>
        <rFont val="Times New Roman"/>
        <family val="1"/>
      </rPr>
      <t>sw</t>
    </r>
  </si>
  <si>
    <t>KT tiết diện nghiêng chịu momen</t>
  </si>
  <si>
    <r>
      <t>M</t>
    </r>
    <r>
      <rPr>
        <b/>
        <vertAlign val="subscript"/>
        <sz val="10"/>
        <rFont val="Times New Roman"/>
        <family val="1"/>
      </rPr>
      <t>s</t>
    </r>
    <r>
      <rPr>
        <b/>
        <sz val="10"/>
        <rFont val="Times New Roman"/>
        <family val="1"/>
      </rPr>
      <t>+M</t>
    </r>
    <r>
      <rPr>
        <b/>
        <vertAlign val="subscript"/>
        <sz val="10"/>
        <rFont val="Times New Roman"/>
        <family val="1"/>
      </rPr>
      <t>sw</t>
    </r>
    <r>
      <rPr>
        <b/>
        <sz val="10"/>
        <rFont val="Times New Roman"/>
        <family val="1"/>
      </rPr>
      <t xml:space="preserve"> (kNm)</t>
    </r>
  </si>
  <si>
    <r>
      <t>T</t>
    </r>
    <r>
      <rPr>
        <b/>
        <vertAlign val="subscript"/>
        <sz val="10"/>
        <color theme="1"/>
        <rFont val="Times New Roman"/>
        <family val="1"/>
      </rPr>
      <t xml:space="preserve">max
 </t>
    </r>
    <r>
      <rPr>
        <b/>
        <sz val="10"/>
        <color theme="1"/>
        <rFont val="Times New Roman"/>
        <family val="1"/>
      </rPr>
      <t>kN</t>
    </r>
  </si>
  <si>
    <t>SƠ ĐỒ 1</t>
  </si>
  <si>
    <t>Kiểm tra</t>
  </si>
  <si>
    <r>
      <t>q</t>
    </r>
    <r>
      <rPr>
        <b/>
        <vertAlign val="subscript"/>
        <sz val="11"/>
        <color indexed="8"/>
        <rFont val="Times New Roman"/>
        <family val="1"/>
      </rPr>
      <t>sw
(N/mm)</t>
    </r>
  </si>
  <si>
    <r>
      <t>A</t>
    </r>
    <r>
      <rPr>
        <b/>
        <vertAlign val="subscript"/>
        <sz val="11"/>
        <color indexed="8"/>
        <rFont val="Times New Roman"/>
        <family val="1"/>
      </rPr>
      <t>s
(mm2)</t>
    </r>
  </si>
  <si>
    <r>
      <t>C</t>
    </r>
    <r>
      <rPr>
        <b/>
        <vertAlign val="subscript"/>
        <sz val="11"/>
        <color indexed="8"/>
        <rFont val="Times New Roman"/>
        <family val="1"/>
      </rPr>
      <t>0.5
(mm)</t>
    </r>
  </si>
  <si>
    <r>
      <t>C</t>
    </r>
    <r>
      <rPr>
        <b/>
        <vertAlign val="subscript"/>
        <sz val="11"/>
        <color indexed="8"/>
        <rFont val="Times New Roman"/>
        <family val="1"/>
      </rPr>
      <t>1.5
(mm)</t>
    </r>
  </si>
  <si>
    <r>
      <t>Kiểm tra
T&lt; T</t>
    </r>
    <r>
      <rPr>
        <b/>
        <vertAlign val="subscript"/>
        <sz val="10"/>
        <rFont val="Times New Roman"/>
        <family val="1"/>
      </rPr>
      <t>sw</t>
    </r>
    <r>
      <rPr>
        <b/>
        <sz val="10"/>
        <rFont val="Times New Roman"/>
        <family val="1"/>
      </rPr>
      <t>+T</t>
    </r>
    <r>
      <rPr>
        <b/>
        <vertAlign val="subscript"/>
        <sz val="10"/>
        <rFont val="Times New Roman"/>
        <family val="1"/>
      </rPr>
      <t>s</t>
    </r>
  </si>
  <si>
    <t xml:space="preserve">Kiểm tra độ bền cấu kiện giữa các tiết diện không gian
</t>
  </si>
  <si>
    <t>SƠ ĐỒ 2</t>
  </si>
  <si>
    <r>
      <t>2Z2+Z1</t>
    </r>
    <r>
      <rPr>
        <b/>
        <vertAlign val="subscript"/>
        <sz val="11"/>
        <color indexed="8"/>
        <rFont val="Times New Roman"/>
        <family val="1"/>
      </rPr>
      <t xml:space="preserve">
(mm)</t>
    </r>
  </si>
  <si>
    <r>
      <t xml:space="preserve">Z1*√(2/δ)
</t>
    </r>
    <r>
      <rPr>
        <b/>
        <vertAlign val="subscript"/>
        <sz val="10"/>
        <rFont val="Times New Roman"/>
        <family val="1"/>
      </rPr>
      <t>(mm)</t>
    </r>
  </si>
  <si>
    <r>
      <t>T</t>
    </r>
    <r>
      <rPr>
        <b/>
        <vertAlign val="subscript"/>
        <sz val="10"/>
        <rFont val="Times New Roman"/>
        <family val="1"/>
      </rPr>
      <t>o(0.5)</t>
    </r>
    <r>
      <rPr>
        <b/>
        <sz val="10"/>
        <rFont val="Times New Roman"/>
        <family val="1"/>
      </rPr>
      <t>=T</t>
    </r>
    <r>
      <rPr>
        <b/>
        <vertAlign val="subscript"/>
        <sz val="10"/>
        <rFont val="Times New Roman"/>
        <family val="1"/>
      </rPr>
      <t>sw(0.5)</t>
    </r>
    <r>
      <rPr>
        <b/>
        <sz val="10"/>
        <rFont val="Times New Roman"/>
        <family val="1"/>
      </rPr>
      <t>+T</t>
    </r>
    <r>
      <rPr>
        <b/>
        <vertAlign val="subscript"/>
        <sz val="10"/>
        <rFont val="Times New Roman"/>
        <family val="1"/>
      </rPr>
      <t>s(0.5)</t>
    </r>
    <r>
      <rPr>
        <b/>
        <vertAlign val="subscript"/>
        <sz val="11"/>
        <color indexed="8"/>
        <rFont val="Times New Roman"/>
        <family val="1"/>
      </rPr>
      <t xml:space="preserve">
(kN.m)</t>
    </r>
  </si>
  <si>
    <r>
      <t>T</t>
    </r>
    <r>
      <rPr>
        <b/>
        <vertAlign val="subscript"/>
        <sz val="10"/>
        <rFont val="Times New Roman"/>
        <family val="1"/>
      </rPr>
      <t>o(1.5)</t>
    </r>
    <r>
      <rPr>
        <b/>
        <sz val="10"/>
        <rFont val="Times New Roman"/>
        <family val="1"/>
      </rPr>
      <t>=T</t>
    </r>
    <r>
      <rPr>
        <b/>
        <vertAlign val="subscript"/>
        <sz val="10"/>
        <rFont val="Times New Roman"/>
        <family val="1"/>
      </rPr>
      <t>sw(1.5)</t>
    </r>
    <r>
      <rPr>
        <b/>
        <sz val="10"/>
        <rFont val="Times New Roman"/>
        <family val="1"/>
      </rPr>
      <t>+T</t>
    </r>
    <r>
      <rPr>
        <b/>
        <vertAlign val="subscript"/>
        <sz val="10"/>
        <rFont val="Times New Roman"/>
        <family val="1"/>
      </rPr>
      <t>s(1.5)</t>
    </r>
    <r>
      <rPr>
        <b/>
        <vertAlign val="subscript"/>
        <sz val="11"/>
        <color indexed="8"/>
        <rFont val="Times New Roman"/>
        <family val="1"/>
      </rPr>
      <t xml:space="preserve">
(kN.m)</t>
    </r>
  </si>
  <si>
    <r>
      <t>M</t>
    </r>
    <r>
      <rPr>
        <b/>
        <vertAlign val="subscript"/>
        <sz val="11"/>
        <color indexed="8"/>
        <rFont val="Times New Roman"/>
        <family val="1"/>
      </rPr>
      <t>o
(kNm)</t>
    </r>
  </si>
  <si>
    <r>
      <t>T</t>
    </r>
    <r>
      <rPr>
        <b/>
        <vertAlign val="subscript"/>
        <sz val="10"/>
        <rFont val="Times New Roman"/>
        <family val="1"/>
      </rPr>
      <t>o</t>
    </r>
    <r>
      <rPr>
        <b/>
        <sz val="10"/>
        <rFont val="Times New Roman"/>
        <family val="1"/>
      </rPr>
      <t>*√(1-(M/M</t>
    </r>
    <r>
      <rPr>
        <b/>
        <vertAlign val="subscript"/>
        <sz val="10"/>
        <rFont val="Times New Roman"/>
        <family val="1"/>
      </rPr>
      <t>o</t>
    </r>
    <r>
      <rPr>
        <b/>
        <sz val="10"/>
        <rFont val="Times New Roman"/>
        <family val="1"/>
      </rPr>
      <t>)</t>
    </r>
    <r>
      <rPr>
        <b/>
        <vertAlign val="superscript"/>
        <sz val="10"/>
        <rFont val="Times New Roman"/>
        <family val="1"/>
      </rPr>
      <t>2</t>
    </r>
    <r>
      <rPr>
        <b/>
        <sz val="10"/>
        <rFont val="Times New Roman"/>
        <family val="1"/>
      </rPr>
      <t xml:space="preserve">)
</t>
    </r>
    <r>
      <rPr>
        <b/>
        <vertAlign val="subscript"/>
        <sz val="10"/>
        <rFont val="Times New Roman"/>
        <family val="1"/>
      </rPr>
      <t>(kNm)</t>
    </r>
  </si>
  <si>
    <t>UỐN XOẮN</t>
  </si>
  <si>
    <t>K/tra độ bền cấu kiện giữa các tiết diện không gian</t>
  </si>
  <si>
    <r>
      <rPr>
        <b/>
        <sz val="11"/>
        <color indexed="8"/>
        <rFont val="Times New Roman"/>
        <family val="1"/>
      </rPr>
      <t>T</t>
    </r>
    <r>
      <rPr>
        <b/>
        <vertAlign val="subscript"/>
        <sz val="11"/>
        <color indexed="8"/>
        <rFont val="Times New Roman"/>
        <family val="1"/>
      </rPr>
      <t>o
(kNm)</t>
    </r>
  </si>
  <si>
    <r>
      <t>T</t>
    </r>
    <r>
      <rPr>
        <b/>
        <vertAlign val="subscript"/>
        <sz val="10"/>
        <rFont val="Times New Roman"/>
        <family val="1"/>
      </rPr>
      <t>o</t>
    </r>
    <r>
      <rPr>
        <b/>
        <sz val="10"/>
        <rFont val="Times New Roman"/>
        <family val="1"/>
      </rPr>
      <t xml:space="preserve">
</t>
    </r>
    <r>
      <rPr>
        <b/>
        <vertAlign val="subscript"/>
        <sz val="10"/>
        <rFont val="Times New Roman"/>
        <family val="1"/>
      </rPr>
      <t>(kNm)</t>
    </r>
  </si>
  <si>
    <r>
      <t>Q</t>
    </r>
    <r>
      <rPr>
        <b/>
        <vertAlign val="subscript"/>
        <sz val="10"/>
        <rFont val="Times New Roman"/>
        <family val="1"/>
      </rPr>
      <t>o</t>
    </r>
    <r>
      <rPr>
        <b/>
        <sz val="10"/>
        <rFont val="Times New Roman"/>
        <family val="1"/>
      </rPr>
      <t xml:space="preserve">
</t>
    </r>
    <r>
      <rPr>
        <b/>
        <vertAlign val="subscript"/>
        <sz val="10"/>
        <rFont val="Times New Roman"/>
        <family val="1"/>
      </rPr>
      <t>(kNm)</t>
    </r>
  </si>
  <si>
    <r>
      <t>T</t>
    </r>
    <r>
      <rPr>
        <b/>
        <vertAlign val="subscript"/>
        <sz val="10"/>
        <rFont val="Times New Roman"/>
        <family val="1"/>
      </rPr>
      <t>o</t>
    </r>
    <r>
      <rPr>
        <b/>
        <sz val="10"/>
        <rFont val="Times New Roman"/>
        <family val="1"/>
      </rPr>
      <t>(1-Q/Q</t>
    </r>
    <r>
      <rPr>
        <b/>
        <vertAlign val="subscript"/>
        <sz val="10"/>
        <rFont val="Times New Roman"/>
        <family val="1"/>
      </rPr>
      <t>o</t>
    </r>
    <r>
      <rPr>
        <b/>
        <sz val="10"/>
        <rFont val="Times New Roman"/>
        <family val="1"/>
      </rPr>
      <t xml:space="preserve">)
</t>
    </r>
    <r>
      <rPr>
        <b/>
        <vertAlign val="subscript"/>
        <sz val="10"/>
        <rFont val="Times New Roman"/>
        <family val="1"/>
      </rPr>
      <t>(kNm)</t>
    </r>
  </si>
  <si>
    <t>Kiểm 
tra</t>
  </si>
  <si>
    <t>K/tra độ bền tiết diện không gian</t>
  </si>
  <si>
    <t>CẮT XOẮN</t>
  </si>
  <si>
    <r>
      <t>Q</t>
    </r>
    <r>
      <rPr>
        <b/>
        <vertAlign val="subscript"/>
        <sz val="10"/>
        <rFont val="Times New Roman"/>
        <family val="1"/>
      </rPr>
      <t>o</t>
    </r>
    <r>
      <rPr>
        <b/>
        <sz val="10"/>
        <rFont val="Times New Roman"/>
        <family val="1"/>
      </rPr>
      <t>=0.3R</t>
    </r>
    <r>
      <rPr>
        <b/>
        <vertAlign val="subscript"/>
        <sz val="10"/>
        <rFont val="Times New Roman"/>
        <family val="1"/>
      </rPr>
      <t>b</t>
    </r>
    <r>
      <rPr>
        <b/>
        <sz val="10"/>
        <rFont val="Times New Roman"/>
        <family val="1"/>
      </rPr>
      <t>bh</t>
    </r>
    <r>
      <rPr>
        <b/>
        <vertAlign val="subscript"/>
        <sz val="10"/>
        <rFont val="Times New Roman"/>
        <family val="1"/>
      </rPr>
      <t>o</t>
    </r>
    <r>
      <rPr>
        <b/>
        <sz val="10"/>
        <rFont val="Times New Roman"/>
        <family val="1"/>
      </rPr>
      <t xml:space="preserve">
</t>
    </r>
    <r>
      <rPr>
        <b/>
        <vertAlign val="subscript"/>
        <sz val="10"/>
        <rFont val="Times New Roman"/>
        <family val="1"/>
      </rPr>
      <t>(kNm)</t>
    </r>
  </si>
  <si>
    <t>OK</t>
  </si>
  <si>
    <t>2. Tính toán : (Tổ hợp BAO)</t>
  </si>
  <si>
    <t>KIỂM TRA TƯỜNG VÂY  DW1000</t>
  </si>
  <si>
    <t>TD1</t>
  </si>
  <si>
    <t>TD2</t>
  </si>
  <si>
    <t>TD3</t>
  </si>
  <si>
    <t>TD4</t>
  </si>
  <si>
    <t>TD5</t>
  </si>
  <si>
    <t>TD6</t>
  </si>
  <si>
    <t>Mặt trong</t>
  </si>
  <si>
    <t>Mặt ngoài</t>
  </si>
  <si>
    <t>Cao độ</t>
  </si>
  <si>
    <t>0 -&gt; -2,9</t>
  </si>
  <si>
    <t>-2,9-&gt; -6,8</t>
  </si>
  <si>
    <t>-6,8-&gt; -11,8</t>
  </si>
  <si>
    <t>-11,8-&gt; -15,7</t>
  </si>
  <si>
    <t>-15,7-&gt; 27,4</t>
  </si>
  <si>
    <t>-27,4-&gt; 36</t>
  </si>
  <si>
    <r>
      <t>Astt
cm</t>
    </r>
    <r>
      <rPr>
        <b/>
        <vertAlign val="superscript"/>
        <sz val="10"/>
        <rFont val="Times New Roman"/>
        <family val="1"/>
      </rPr>
      <t>2</t>
    </r>
  </si>
  <si>
    <r>
      <t>A</t>
    </r>
    <r>
      <rPr>
        <b/>
        <vertAlign val="subscript"/>
        <sz val="10"/>
        <rFont val="Times New Roman"/>
        <family val="1"/>
      </rPr>
      <t>s</t>
    </r>
    <r>
      <rPr>
        <b/>
        <vertAlign val="superscript"/>
        <sz val="10"/>
        <rFont val="Times New Roman"/>
        <family val="1"/>
      </rPr>
      <t>ch</t>
    </r>
    <r>
      <rPr>
        <b/>
        <sz val="10"/>
        <rFont val="Times New Roman"/>
        <family val="1"/>
      </rPr>
      <t xml:space="preserve">
&gt; A</t>
    </r>
    <r>
      <rPr>
        <b/>
        <vertAlign val="subscript"/>
        <sz val="10"/>
        <rFont val="Times New Roman"/>
        <family val="1"/>
      </rPr>
      <t>stt</t>
    </r>
  </si>
  <si>
    <t>hsat</t>
  </si>
  <si>
    <t>KIỂM TRA TƯỜNG VÂY  DW1200</t>
  </si>
  <si>
    <t>-2,9-&gt; -5,8</t>
  </si>
  <si>
    <t>-5,8-&gt; -11,7</t>
  </si>
  <si>
    <t>-11,7-&gt;-17,5</t>
  </si>
  <si>
    <t>-17,5-&gt; 25,4</t>
  </si>
  <si>
    <t>-25,4-&gt; 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</si>
</sst>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"/>
    <numFmt numFmtId="166" formatCode="\Ø#"/>
    <numFmt numFmtId="167" formatCode="0.000%"/>
  </numFmts>
  <fonts count="108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12"/>
      <name val=".VnTime"/>
      <family val="2"/>
    </font>
    <font>
      <sz val="10"/>
      <color rgb="FF0000FF"/>
      <name val="Arial"/>
      <family val="2"/>
    </font>
    <font>
      <b/>
      <sz val="10"/>
      <color theme="1"/>
      <name val="Arial"/>
      <family val="2"/>
    </font>
    <font>
      <b/>
      <sz val="12"/>
      <name val="Times New Roman"/>
      <family val="1"/>
    </font>
    <font>
      <sz val="9"/>
      <color indexed="81"/>
      <name val="Tahoma"/>
      <family val="2"/>
    </font>
    <font>
      <vertAlign val="subscript"/>
      <sz val="10"/>
      <color theme="1"/>
      <name val="Arial"/>
      <family val="2"/>
    </font>
    <font>
      <sz val="10"/>
      <color theme="8" tint="0.79998168889431442"/>
      <name val="Times New Roman"/>
      <family val="1"/>
    </font>
    <font>
      <b/>
      <sz val="18"/>
      <color theme="1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u/>
      <sz val="10"/>
      <name val="Times New Roman"/>
      <family val="1"/>
    </font>
    <font>
      <sz val="10"/>
      <color rgb="FF0000FF"/>
      <name val="Times New Roman"/>
      <family val="1"/>
    </font>
    <font>
      <vertAlign val="subscript"/>
      <sz val="10"/>
      <name val="Times New Roman"/>
      <family val="1"/>
    </font>
    <font>
      <b/>
      <sz val="10"/>
      <color indexed="10"/>
      <name val="Times New Roman"/>
      <family val="1"/>
    </font>
    <font>
      <sz val="10"/>
      <color indexed="10"/>
      <name val="Times New Roman"/>
      <family val="1"/>
    </font>
    <font>
      <b/>
      <vertAlign val="subscript"/>
      <sz val="10"/>
      <name val="Times New Roman"/>
      <family val="1"/>
    </font>
    <font>
      <b/>
      <vertAlign val="superscript"/>
      <sz val="10"/>
      <name val="Times New Roman"/>
      <family val="1"/>
    </font>
    <font>
      <b/>
      <sz val="10"/>
      <color theme="1"/>
      <name val="Times New Roman"/>
      <family val="1"/>
    </font>
    <font>
      <b/>
      <vertAlign val="subscript"/>
      <sz val="10"/>
      <color theme="1"/>
      <name val="Times New Roman"/>
      <family val="1"/>
    </font>
    <font>
      <b/>
      <vertAlign val="subscript"/>
      <sz val="8"/>
      <name val="Times New Roman"/>
      <family val="1"/>
    </font>
    <font>
      <sz val="10"/>
      <color theme="1"/>
      <name val="Times New Roman"/>
      <family val="1"/>
    </font>
    <font>
      <sz val="10"/>
      <color rgb="FFFF0000"/>
      <name val="Times New Roman"/>
      <family val="1"/>
    </font>
    <font>
      <vertAlign val="subscript"/>
      <sz val="11"/>
      <color indexed="8"/>
      <name val="Times New Roman"/>
      <family val="1"/>
    </font>
    <font>
      <vertAlign val="superscript"/>
      <sz val="11"/>
      <color indexed="8"/>
      <name val="Times New Roman"/>
      <family val="1"/>
    </font>
    <font>
      <sz val="11"/>
      <color indexed="8"/>
      <name val="Times New Roman"/>
      <family val="1"/>
    </font>
    <font>
      <b/>
      <vertAlign val="subscript"/>
      <sz val="11"/>
      <color indexed="8"/>
      <name val="Times New Roman"/>
      <family val="1"/>
    </font>
    <font>
      <b/>
      <sz val="10"/>
      <name val="Calibri"/>
      <family val="2"/>
    </font>
    <font>
      <vertAlign val="subscript"/>
      <sz val="10"/>
      <color indexed="8"/>
      <name val="Times New Roman"/>
      <family val="1"/>
    </font>
    <font>
      <b/>
      <sz val="8"/>
      <color theme="1"/>
      <name val="Times New Roman"/>
      <family val="1"/>
    </font>
    <font>
      <sz val="8"/>
      <name val="Times New Roman"/>
      <family val="1"/>
    </font>
    <font>
      <b/>
      <u/>
      <sz val="8"/>
      <name val="Times New Roman"/>
      <family val="1"/>
    </font>
    <font>
      <b/>
      <sz val="8"/>
      <name val="Times New Roman"/>
      <family val="1"/>
    </font>
    <font>
      <b/>
      <sz val="8"/>
      <color indexed="10"/>
      <name val="Times New Roman"/>
      <family val="1"/>
    </font>
    <font>
      <sz val="8"/>
      <color indexed="10"/>
      <name val="Times New Roman"/>
      <family val="1"/>
    </font>
    <font>
      <sz val="8"/>
      <color rgb="FFFF0000"/>
      <name val="Times New Roman"/>
      <family val="1"/>
    </font>
    <font>
      <b/>
      <sz val="16"/>
      <color theme="1"/>
      <name val="Times New Roman"/>
      <family val="1"/>
    </font>
    <font>
      <sz val="11"/>
      <color rgb="FF000000"/>
      <name val="Times New Roman"/>
      <family val="1"/>
    </font>
    <font>
      <vertAlign val="subscript"/>
      <sz val="10"/>
      <color theme="1"/>
      <name val="Times New Roman"/>
      <family val="1"/>
    </font>
    <font>
      <sz val="10"/>
      <name val="Calibri"/>
      <family val="2"/>
    </font>
    <font>
      <vertAlign val="superscript"/>
      <sz val="10"/>
      <name val="Times New Roman"/>
      <family val="1"/>
    </font>
    <font>
      <b/>
      <sz val="11"/>
      <color indexed="8"/>
      <name val="Times New Roman"/>
      <family val="1"/>
    </font>
    <font>
      <b/>
      <sz val="9"/>
      <name val="Times New Roman"/>
      <family val="1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92D05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60">
    <xf numFmtId="0" fontId="0" fillId="0" borderId="0"/>
    <xf numFmtId="0" fontId="66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2" fillId="0" borderId="0"/>
    <xf numFmtId="0" fontId="62" fillId="0" borderId="0"/>
    <xf numFmtId="0" fontId="62" fillId="0" borderId="0"/>
    <xf numFmtId="0" fontId="62" fillId="0" borderId="0"/>
    <xf numFmtId="0" fontId="62" fillId="0" borderId="0"/>
    <xf numFmtId="0" fontId="61" fillId="0" borderId="0"/>
    <xf numFmtId="0" fontId="61" fillId="0" borderId="0"/>
    <xf numFmtId="0" fontId="61" fillId="0" borderId="0"/>
    <xf numFmtId="0" fontId="60" fillId="0" borderId="0"/>
    <xf numFmtId="0" fontId="60" fillId="0" borderId="0"/>
    <xf numFmtId="0" fontId="60" fillId="0" borderId="0"/>
    <xf numFmtId="0" fontId="60" fillId="0" borderId="0"/>
    <xf numFmtId="0" fontId="60" fillId="0" borderId="0"/>
    <xf numFmtId="0" fontId="60" fillId="0" borderId="0"/>
    <xf numFmtId="0" fontId="60" fillId="0" borderId="0"/>
    <xf numFmtId="0" fontId="60" fillId="0" borderId="0"/>
    <xf numFmtId="0" fontId="60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3" fillId="0" borderId="0"/>
    <xf numFmtId="0" fontId="52" fillId="0" borderId="0"/>
    <xf numFmtId="0" fontId="52" fillId="0" borderId="0"/>
    <xf numFmtId="0" fontId="52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49" fillId="0" borderId="0"/>
    <xf numFmtId="0" fontId="48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6" fillId="0" borderId="0"/>
    <xf numFmtId="0" fontId="46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4" fillId="0" borderId="0"/>
    <xf numFmtId="0" fontId="43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1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6" fillId="0" borderId="0"/>
    <xf numFmtId="0" fontId="25" fillId="0" borderId="0"/>
    <xf numFmtId="0" fontId="24" fillId="0" borderId="0"/>
    <xf numFmtId="0" fontId="2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</cellStyleXfs>
  <cellXfs count="219">
    <xf numFmtId="0" fontId="0" fillId="0" borderId="0" xfId="0"/>
    <xf numFmtId="0" fontId="59" fillId="0" borderId="0" xfId="0" applyFont="1" applyAlignment="1">
      <alignment vertical="center"/>
    </xf>
    <xf numFmtId="0" fontId="0" fillId="0" borderId="0" xfId="0" applyAlignment="1">
      <alignment vertical="center"/>
    </xf>
    <xf numFmtId="0" fontId="68" fillId="0" borderId="0" xfId="0" applyFont="1" applyFill="1" applyAlignment="1" applyProtection="1">
      <alignment vertical="center"/>
      <protection hidden="1"/>
    </xf>
    <xf numFmtId="0" fontId="59" fillId="0" borderId="0" xfId="0" applyFont="1" applyFill="1" applyAlignment="1" applyProtection="1">
      <alignment vertical="center"/>
      <protection hidden="1"/>
    </xf>
    <xf numFmtId="0" fontId="68" fillId="7" borderId="3" xfId="0" applyFont="1" applyFill="1" applyBorder="1" applyAlignment="1" applyProtection="1">
      <alignment vertical="center"/>
      <protection hidden="1"/>
    </xf>
    <xf numFmtId="0" fontId="68" fillId="8" borderId="1" xfId="0" applyFont="1" applyFill="1" applyBorder="1" applyAlignment="1" applyProtection="1">
      <alignment vertical="center"/>
      <protection locked="0" hidden="1"/>
    </xf>
    <xf numFmtId="0" fontId="59" fillId="8" borderId="1" xfId="0" applyFont="1" applyFill="1" applyBorder="1" applyAlignment="1">
      <alignment vertical="center"/>
    </xf>
    <xf numFmtId="0" fontId="65" fillId="8" borderId="1" xfId="0" applyFont="1" applyFill="1" applyBorder="1" applyAlignment="1">
      <alignment vertical="center"/>
    </xf>
    <xf numFmtId="2" fontId="59" fillId="9" borderId="1" xfId="0" applyNumberFormat="1" applyFont="1" applyFill="1" applyBorder="1" applyAlignment="1" applyProtection="1">
      <alignment vertical="center"/>
      <protection hidden="1"/>
    </xf>
    <xf numFmtId="165" fontId="59" fillId="0" borderId="1" xfId="0" applyNumberFormat="1" applyFont="1" applyFill="1" applyBorder="1" applyAlignment="1">
      <alignment vertical="center"/>
    </xf>
    <xf numFmtId="2" fontId="59" fillId="0" borderId="1" xfId="0" applyNumberFormat="1" applyFont="1" applyFill="1" applyBorder="1" applyAlignment="1">
      <alignment vertical="center"/>
    </xf>
    <xf numFmtId="1" fontId="59" fillId="0" borderId="1" xfId="0" applyNumberFormat="1" applyFont="1" applyFill="1" applyBorder="1" applyAlignment="1">
      <alignment vertical="center"/>
    </xf>
    <xf numFmtId="0" fontId="68" fillId="8" borderId="1" xfId="0" applyFont="1" applyFill="1" applyBorder="1" applyAlignment="1" applyProtection="1">
      <alignment vertical="center"/>
      <protection hidden="1"/>
    </xf>
    <xf numFmtId="0" fontId="59" fillId="8" borderId="1" xfId="0" applyFont="1" applyFill="1" applyBorder="1" applyAlignment="1" applyProtection="1">
      <alignment vertical="center"/>
      <protection hidden="1"/>
    </xf>
    <xf numFmtId="1" fontId="59" fillId="0" borderId="1" xfId="0" applyNumberFormat="1" applyFont="1" applyFill="1" applyBorder="1" applyAlignment="1" applyProtection="1">
      <alignment vertical="center"/>
      <protection hidden="1"/>
    </xf>
    <xf numFmtId="0" fontId="59" fillId="0" borderId="1" xfId="0" applyFont="1" applyFill="1" applyBorder="1" applyAlignment="1" applyProtection="1">
      <alignment vertical="center"/>
      <protection locked="0" hidden="1"/>
    </xf>
    <xf numFmtId="0" fontId="0" fillId="0" borderId="1" xfId="0" applyFill="1" applyBorder="1" applyAlignment="1">
      <alignment vertical="center"/>
    </xf>
    <xf numFmtId="1" fontId="59" fillId="0" borderId="1" xfId="0" applyNumberFormat="1" applyFont="1" applyFill="1" applyBorder="1" applyAlignment="1" applyProtection="1">
      <alignment vertical="center"/>
      <protection locked="0" hidden="1"/>
    </xf>
    <xf numFmtId="2" fontId="59" fillId="6" borderId="1" xfId="0" applyNumberFormat="1" applyFont="1" applyFill="1" applyBorder="1" applyAlignment="1" applyProtection="1">
      <alignment vertical="center"/>
      <protection hidden="1"/>
    </xf>
    <xf numFmtId="0" fontId="0" fillId="0" borderId="0" xfId="0" applyAlignment="1"/>
    <xf numFmtId="0" fontId="67" fillId="5" borderId="1" xfId="0" applyFont="1" applyFill="1" applyBorder="1" applyAlignment="1" applyProtection="1">
      <alignment horizontal="center" vertical="center"/>
      <protection hidden="1"/>
    </xf>
    <xf numFmtId="165" fontId="67" fillId="5" borderId="1" xfId="0" applyNumberFormat="1" applyFont="1" applyFill="1" applyBorder="1" applyAlignment="1" applyProtection="1">
      <alignment horizontal="center" vertical="center"/>
      <protection locked="0" hidden="1"/>
    </xf>
    <xf numFmtId="2" fontId="67" fillId="5" borderId="1" xfId="0" applyNumberFormat="1" applyFont="1" applyFill="1" applyBorder="1" applyAlignment="1" applyProtection="1">
      <alignment horizontal="center" vertical="center"/>
      <protection locked="0" hidden="1"/>
    </xf>
    <xf numFmtId="0" fontId="67" fillId="5" borderId="1" xfId="0" applyFont="1" applyFill="1" applyBorder="1" applyAlignment="1" applyProtection="1">
      <alignment horizontal="center"/>
      <protection hidden="1"/>
    </xf>
    <xf numFmtId="1" fontId="67" fillId="5" borderId="1" xfId="0" applyNumberFormat="1" applyFont="1" applyFill="1" applyBorder="1" applyAlignment="1" applyProtection="1">
      <alignment horizontal="center"/>
      <protection hidden="1"/>
    </xf>
    <xf numFmtId="0" fontId="72" fillId="6" borderId="0" xfId="0" applyFont="1" applyFill="1" applyBorder="1"/>
    <xf numFmtId="0" fontId="74" fillId="0" borderId="0" xfId="0" applyFont="1" applyFill="1"/>
    <xf numFmtId="0" fontId="74" fillId="2" borderId="0" xfId="0" applyFont="1" applyFill="1" applyBorder="1"/>
    <xf numFmtId="0" fontId="72" fillId="6" borderId="0" xfId="0" applyFont="1" applyFill="1" applyBorder="1" applyProtection="1">
      <protection locked="0"/>
    </xf>
    <xf numFmtId="1" fontId="74" fillId="3" borderId="0" xfId="0" applyNumberFormat="1" applyFont="1" applyFill="1" applyBorder="1" applyAlignment="1" applyProtection="1">
      <alignment horizontal="left" vertical="center"/>
    </xf>
    <xf numFmtId="1" fontId="75" fillId="2" borderId="0" xfId="0" applyNumberFormat="1" applyFont="1" applyFill="1" applyBorder="1" applyAlignment="1" applyProtection="1">
      <alignment vertical="center"/>
      <protection locked="0"/>
    </xf>
    <xf numFmtId="0" fontId="75" fillId="2" borderId="0" xfId="0" applyFont="1" applyFill="1" applyBorder="1" applyAlignment="1">
      <alignment horizontal="center" vertical="center"/>
    </xf>
    <xf numFmtId="0" fontId="74" fillId="2" borderId="0" xfId="0" applyFont="1" applyFill="1" applyBorder="1" applyAlignment="1">
      <alignment horizontal="center" vertical="center"/>
    </xf>
    <xf numFmtId="0" fontId="76" fillId="2" borderId="0" xfId="0" applyFont="1" applyFill="1" applyBorder="1" applyAlignment="1">
      <alignment vertical="center"/>
    </xf>
    <xf numFmtId="0" fontId="74" fillId="2" borderId="0" xfId="1" applyFont="1" applyFill="1" applyBorder="1" applyAlignment="1">
      <alignment horizontal="left" vertical="center"/>
    </xf>
    <xf numFmtId="0" fontId="77" fillId="4" borderId="1" xfId="0" applyFont="1" applyFill="1" applyBorder="1" applyAlignment="1">
      <alignment vertical="center"/>
    </xf>
    <xf numFmtId="0" fontId="74" fillId="2" borderId="0" xfId="1" applyFont="1" applyFill="1" applyBorder="1" applyAlignment="1">
      <alignment horizontal="right" vertical="center"/>
    </xf>
    <xf numFmtId="165" fontId="74" fillId="2" borderId="0" xfId="0" applyNumberFormat="1" applyFont="1" applyFill="1" applyBorder="1" applyAlignment="1">
      <alignment horizontal="center" vertical="center"/>
    </xf>
    <xf numFmtId="2" fontId="74" fillId="2" borderId="0" xfId="0" applyNumberFormat="1" applyFont="1" applyFill="1" applyBorder="1" applyAlignment="1">
      <alignment horizontal="center" vertical="center"/>
    </xf>
    <xf numFmtId="1" fontId="74" fillId="2" borderId="0" xfId="0" applyNumberFormat="1" applyFont="1" applyFill="1" applyBorder="1" applyAlignment="1">
      <alignment horizontal="center" vertical="center"/>
    </xf>
    <xf numFmtId="0" fontId="74" fillId="2" borderId="0" xfId="1" applyFont="1" applyFill="1" applyBorder="1" applyAlignment="1">
      <alignment vertical="center"/>
    </xf>
    <xf numFmtId="0" fontId="74" fillId="2" borderId="0" xfId="0" applyFont="1" applyFill="1" applyBorder="1" applyAlignment="1">
      <alignment horizontal="left"/>
    </xf>
    <xf numFmtId="0" fontId="74" fillId="2" borderId="0" xfId="0" applyFont="1" applyFill="1" applyBorder="1" applyAlignment="1">
      <alignment horizontal="right"/>
    </xf>
    <xf numFmtId="165" fontId="77" fillId="2" borderId="0" xfId="0" applyNumberFormat="1" applyFont="1" applyFill="1" applyBorder="1" applyAlignment="1" applyProtection="1">
      <alignment horizontal="center" vertical="center"/>
      <protection locked="0"/>
    </xf>
    <xf numFmtId="1" fontId="74" fillId="2" borderId="0" xfId="0" applyNumberFormat="1" applyFont="1" applyFill="1" applyBorder="1" applyAlignment="1" applyProtection="1">
      <alignment horizontal="right" vertical="center"/>
    </xf>
    <xf numFmtId="0" fontId="74" fillId="2" borderId="0" xfId="0" applyFont="1" applyFill="1" applyBorder="1" applyAlignment="1" applyProtection="1">
      <alignment vertical="center"/>
    </xf>
    <xf numFmtId="0" fontId="74" fillId="2" borderId="0" xfId="0" applyFont="1" applyFill="1" applyBorder="1" applyAlignment="1">
      <alignment horizontal="left" vertical="center"/>
    </xf>
    <xf numFmtId="1" fontId="77" fillId="2" borderId="0" xfId="0" applyNumberFormat="1" applyFont="1" applyFill="1" applyBorder="1" applyAlignment="1" applyProtection="1">
      <alignment horizontal="center" vertical="center"/>
      <protection locked="0"/>
    </xf>
    <xf numFmtId="0" fontId="77" fillId="4" borderId="1" xfId="0" applyFont="1" applyFill="1" applyBorder="1" applyAlignment="1">
      <alignment vertical="center" wrapText="1"/>
    </xf>
    <xf numFmtId="0" fontId="75" fillId="2" borderId="0" xfId="0" applyFont="1" applyFill="1" applyBorder="1" applyAlignment="1">
      <alignment vertical="center"/>
    </xf>
    <xf numFmtId="164" fontId="74" fillId="0" borderId="0" xfId="0" applyNumberFormat="1" applyFont="1" applyFill="1" applyBorder="1" applyAlignment="1">
      <alignment horizontal="center"/>
    </xf>
    <xf numFmtId="0" fontId="79" fillId="2" borderId="0" xfId="0" applyFont="1" applyFill="1" applyBorder="1" applyAlignment="1">
      <alignment horizontal="center" vertical="center"/>
    </xf>
    <xf numFmtId="0" fontId="76" fillId="2" borderId="0" xfId="0" applyFont="1" applyFill="1" applyBorder="1" applyAlignment="1">
      <alignment horizontal="left" vertical="center"/>
    </xf>
    <xf numFmtId="0" fontId="75" fillId="2" borderId="0" xfId="1" applyFont="1" applyFill="1" applyBorder="1" applyAlignment="1">
      <alignment horizontal="center" vertical="center"/>
    </xf>
    <xf numFmtId="164" fontId="74" fillId="2" borderId="0" xfId="0" applyNumberFormat="1" applyFont="1" applyFill="1" applyBorder="1" applyAlignment="1">
      <alignment horizontal="center" vertical="center"/>
    </xf>
    <xf numFmtId="0" fontId="80" fillId="2" borderId="0" xfId="0" applyFont="1" applyFill="1" applyBorder="1" applyAlignment="1">
      <alignment horizontal="center" vertical="center"/>
    </xf>
    <xf numFmtId="0" fontId="77" fillId="2" borderId="0" xfId="0" applyFont="1" applyFill="1" applyBorder="1" applyAlignment="1">
      <alignment vertical="center" wrapText="1"/>
    </xf>
    <xf numFmtId="0" fontId="74" fillId="10" borderId="0" xfId="0" applyFont="1" applyFill="1"/>
    <xf numFmtId="0" fontId="76" fillId="2" borderId="0" xfId="0" applyFont="1" applyFill="1" applyBorder="1" applyAlignment="1">
      <alignment horizontal="center" vertical="center"/>
    </xf>
    <xf numFmtId="2" fontId="87" fillId="2" borderId="1" xfId="0" applyNumberFormat="1" applyFont="1" applyFill="1" applyBorder="1" applyAlignment="1" applyProtection="1">
      <alignment horizontal="center" vertical="center"/>
    </xf>
    <xf numFmtId="165" fontId="74" fillId="0" borderId="1" xfId="0" applyNumberFormat="1" applyFont="1" applyFill="1" applyBorder="1" applyAlignment="1">
      <alignment horizontal="center"/>
    </xf>
    <xf numFmtId="165" fontId="74" fillId="0" borderId="0" xfId="0" applyNumberFormat="1" applyFont="1" applyFill="1" applyAlignment="1">
      <alignment horizontal="center" vertical="center"/>
    </xf>
    <xf numFmtId="165" fontId="74" fillId="0" borderId="1" xfId="0" applyNumberFormat="1" applyFont="1" applyFill="1" applyBorder="1" applyAlignment="1">
      <alignment horizontal="center" vertical="center"/>
    </xf>
    <xf numFmtId="0" fontId="75" fillId="2" borderId="0" xfId="0" applyFont="1" applyFill="1" applyBorder="1" applyAlignment="1">
      <alignment horizontal="left" vertical="center"/>
    </xf>
    <xf numFmtId="0" fontId="74" fillId="10" borderId="0" xfId="0" applyFont="1" applyFill="1" applyAlignment="1">
      <alignment vertical="center"/>
    </xf>
    <xf numFmtId="0" fontId="73" fillId="2" borderId="6" xfId="0" applyFont="1" applyFill="1" applyBorder="1" applyAlignment="1">
      <alignment vertical="center"/>
    </xf>
    <xf numFmtId="0" fontId="74" fillId="2" borderId="1" xfId="0" applyFont="1" applyFill="1" applyBorder="1" applyAlignment="1">
      <alignment horizontal="left" vertical="center"/>
    </xf>
    <xf numFmtId="0" fontId="74" fillId="2" borderId="1" xfId="0" applyFont="1" applyFill="1" applyBorder="1" applyAlignment="1">
      <alignment horizontal="right" vertical="center"/>
    </xf>
    <xf numFmtId="2" fontId="75" fillId="11" borderId="1" xfId="0" applyNumberFormat="1" applyFont="1" applyFill="1" applyBorder="1" applyAlignment="1">
      <alignment horizontal="center" vertical="center" wrapText="1"/>
    </xf>
    <xf numFmtId="0" fontId="74" fillId="0" borderId="0" xfId="0" applyFont="1" applyFill="1" applyAlignment="1">
      <alignment horizontal="center" vertical="center"/>
    </xf>
    <xf numFmtId="2" fontId="74" fillId="0" borderId="0" xfId="0" applyNumberFormat="1" applyFont="1" applyFill="1" applyAlignment="1">
      <alignment horizontal="center" vertical="center"/>
    </xf>
    <xf numFmtId="0" fontId="76" fillId="12" borderId="0" xfId="0" quotePrefix="1" applyFont="1" applyFill="1" applyAlignment="1">
      <alignment vertical="center"/>
    </xf>
    <xf numFmtId="0" fontId="76" fillId="12" borderId="0" xfId="0" applyFont="1" applyFill="1"/>
    <xf numFmtId="164" fontId="74" fillId="0" borderId="0" xfId="0" applyNumberFormat="1" applyFont="1" applyFill="1" applyAlignment="1">
      <alignment horizontal="center" vertical="center"/>
    </xf>
    <xf numFmtId="0" fontId="76" fillId="2" borderId="0" xfId="0" quotePrefix="1" applyFont="1" applyFill="1" applyAlignment="1">
      <alignment vertical="center"/>
    </xf>
    <xf numFmtId="1" fontId="77" fillId="2" borderId="1" xfId="0" applyNumberFormat="1" applyFont="1" applyFill="1" applyBorder="1" applyAlignment="1" applyProtection="1">
      <alignment horizontal="center" vertical="center"/>
    </xf>
    <xf numFmtId="166" fontId="77" fillId="2" borderId="1" xfId="0" applyNumberFormat="1" applyFont="1" applyFill="1" applyBorder="1" applyAlignment="1" applyProtection="1">
      <alignment horizontal="left" vertical="center"/>
      <protection locked="0"/>
    </xf>
    <xf numFmtId="0" fontId="77" fillId="2" borderId="1" xfId="0" applyFont="1" applyFill="1" applyBorder="1" applyAlignment="1">
      <alignment horizontal="center" vertical="center"/>
    </xf>
    <xf numFmtId="1" fontId="86" fillId="2" borderId="1" xfId="0" applyNumberFormat="1" applyFont="1" applyFill="1" applyBorder="1" applyAlignment="1" applyProtection="1">
      <alignment horizontal="center"/>
    </xf>
    <xf numFmtId="1" fontId="74" fillId="2" borderId="1" xfId="0" applyNumberFormat="1" applyFont="1" applyFill="1" applyBorder="1" applyAlignment="1">
      <alignment horizontal="center" vertical="center"/>
    </xf>
    <xf numFmtId="1" fontId="77" fillId="2" borderId="1" xfId="0" applyNumberFormat="1" applyFont="1" applyFill="1" applyBorder="1" applyAlignment="1">
      <alignment horizontal="center" vertical="center"/>
    </xf>
    <xf numFmtId="164" fontId="74" fillId="2" borderId="1" xfId="0" applyNumberFormat="1" applyFont="1" applyFill="1" applyBorder="1" applyAlignment="1">
      <alignment horizontal="center" vertical="center"/>
    </xf>
    <xf numFmtId="164" fontId="87" fillId="2" borderId="1" xfId="0" applyNumberFormat="1" applyFont="1" applyFill="1" applyBorder="1" applyAlignment="1" applyProtection="1">
      <alignment horizontal="center"/>
    </xf>
    <xf numFmtId="165" fontId="87" fillId="2" borderId="1" xfId="0" applyNumberFormat="1" applyFont="1" applyFill="1" applyBorder="1" applyAlignment="1">
      <alignment horizontal="right" vertical="center"/>
    </xf>
    <xf numFmtId="10" fontId="74" fillId="2" borderId="1" xfId="0" applyNumberFormat="1" applyFont="1" applyFill="1" applyBorder="1" applyAlignment="1">
      <alignment horizontal="center" vertical="center"/>
    </xf>
    <xf numFmtId="0" fontId="77" fillId="2" borderId="1" xfId="0" applyFont="1" applyFill="1" applyBorder="1" applyAlignment="1" applyProtection="1">
      <alignment horizontal="right" vertical="center"/>
      <protection locked="0"/>
    </xf>
    <xf numFmtId="0" fontId="86" fillId="2" borderId="1" xfId="0" applyFont="1" applyFill="1" applyBorder="1" applyAlignment="1" applyProtection="1">
      <alignment horizontal="center" vertical="center"/>
      <protection locked="0"/>
    </xf>
    <xf numFmtId="165" fontId="87" fillId="2" borderId="1" xfId="0" applyNumberFormat="1" applyFont="1" applyFill="1" applyBorder="1" applyAlignment="1" applyProtection="1">
      <alignment horizontal="center" vertical="center"/>
    </xf>
    <xf numFmtId="1" fontId="87" fillId="2" borderId="1" xfId="0" applyNumberFormat="1" applyFont="1" applyFill="1" applyBorder="1" applyAlignment="1" applyProtection="1">
      <alignment horizontal="center" vertical="center"/>
    </xf>
    <xf numFmtId="165" fontId="74" fillId="2" borderId="1" xfId="0" applyNumberFormat="1" applyFont="1" applyFill="1" applyBorder="1" applyAlignment="1">
      <alignment horizontal="center" vertical="center"/>
    </xf>
    <xf numFmtId="0" fontId="74" fillId="13" borderId="1" xfId="0" applyFont="1" applyFill="1" applyBorder="1" applyAlignment="1">
      <alignment horizontal="left" vertical="center"/>
    </xf>
    <xf numFmtId="1" fontId="86" fillId="13" borderId="1" xfId="0" applyNumberFormat="1" applyFont="1" applyFill="1" applyBorder="1" applyAlignment="1" applyProtection="1">
      <alignment horizontal="center"/>
    </xf>
    <xf numFmtId="1" fontId="74" fillId="13" borderId="1" xfId="0" applyNumberFormat="1" applyFont="1" applyFill="1" applyBorder="1" applyAlignment="1">
      <alignment horizontal="center" vertical="center"/>
    </xf>
    <xf numFmtId="1" fontId="77" fillId="13" borderId="1" xfId="0" applyNumberFormat="1" applyFont="1" applyFill="1" applyBorder="1" applyAlignment="1">
      <alignment horizontal="center" vertical="center"/>
    </xf>
    <xf numFmtId="164" fontId="74" fillId="13" borderId="1" xfId="0" applyNumberFormat="1" applyFont="1" applyFill="1" applyBorder="1" applyAlignment="1">
      <alignment horizontal="center" vertical="center"/>
    </xf>
    <xf numFmtId="164" fontId="87" fillId="13" borderId="1" xfId="0" applyNumberFormat="1" applyFont="1" applyFill="1" applyBorder="1" applyAlignment="1" applyProtection="1">
      <alignment horizontal="center"/>
    </xf>
    <xf numFmtId="165" fontId="87" fillId="13" borderId="1" xfId="0" applyNumberFormat="1" applyFont="1" applyFill="1" applyBorder="1" applyAlignment="1">
      <alignment horizontal="right" vertical="center"/>
    </xf>
    <xf numFmtId="10" fontId="74" fillId="13" borderId="1" xfId="0" applyNumberFormat="1" applyFont="1" applyFill="1" applyBorder="1" applyAlignment="1">
      <alignment horizontal="center" vertical="center"/>
    </xf>
    <xf numFmtId="0" fontId="77" fillId="13" borderId="1" xfId="0" applyFont="1" applyFill="1" applyBorder="1" applyAlignment="1" applyProtection="1">
      <alignment horizontal="right" vertical="center"/>
      <protection locked="0"/>
    </xf>
    <xf numFmtId="166" fontId="77" fillId="13" borderId="1" xfId="0" applyNumberFormat="1" applyFont="1" applyFill="1" applyBorder="1" applyAlignment="1" applyProtection="1">
      <alignment horizontal="left" vertical="center"/>
      <protection locked="0"/>
    </xf>
    <xf numFmtId="0" fontId="86" fillId="13" borderId="1" xfId="0" applyFont="1" applyFill="1" applyBorder="1" applyAlignment="1" applyProtection="1">
      <alignment horizontal="center" vertical="center"/>
      <protection locked="0"/>
    </xf>
    <xf numFmtId="165" fontId="87" fillId="13" borderId="1" xfId="0" applyNumberFormat="1" applyFont="1" applyFill="1" applyBorder="1" applyAlignment="1" applyProtection="1">
      <alignment horizontal="center" vertical="center"/>
    </xf>
    <xf numFmtId="1" fontId="87" fillId="13" borderId="1" xfId="0" applyNumberFormat="1" applyFont="1" applyFill="1" applyBorder="1" applyAlignment="1" applyProtection="1">
      <alignment horizontal="center" vertical="center"/>
    </xf>
    <xf numFmtId="2" fontId="87" fillId="13" borderId="1" xfId="0" applyNumberFormat="1" applyFont="1" applyFill="1" applyBorder="1" applyAlignment="1" applyProtection="1">
      <alignment horizontal="center" vertical="center"/>
    </xf>
    <xf numFmtId="1" fontId="77" fillId="13" borderId="1" xfId="0" applyNumberFormat="1" applyFont="1" applyFill="1" applyBorder="1" applyAlignment="1" applyProtection="1">
      <alignment horizontal="center" vertical="center"/>
    </xf>
    <xf numFmtId="0" fontId="74" fillId="13" borderId="1" xfId="0" applyFont="1" applyFill="1" applyBorder="1" applyAlignment="1">
      <alignment horizontal="right" vertical="center"/>
    </xf>
    <xf numFmtId="0" fontId="94" fillId="14" borderId="1" xfId="258" applyFont="1" applyFill="1" applyBorder="1" applyAlignment="1">
      <alignment horizontal="center"/>
    </xf>
    <xf numFmtId="0" fontId="94" fillId="2" borderId="0" xfId="0" applyFont="1" applyFill="1" applyBorder="1" applyAlignment="1">
      <alignment horizontal="center" vertical="center"/>
    </xf>
    <xf numFmtId="0" fontId="95" fillId="2" borderId="0" xfId="0" applyFont="1" applyFill="1" applyBorder="1"/>
    <xf numFmtId="0" fontId="96" fillId="2" borderId="0" xfId="0" applyFont="1" applyFill="1" applyBorder="1" applyAlignment="1">
      <alignment vertical="center"/>
    </xf>
    <xf numFmtId="0" fontId="96" fillId="2" borderId="0" xfId="0" applyFont="1" applyFill="1" applyBorder="1" applyAlignment="1">
      <alignment horizontal="center" vertical="center"/>
    </xf>
    <xf numFmtId="0" fontId="97" fillId="2" borderId="0" xfId="0" applyFont="1" applyFill="1" applyBorder="1" applyAlignment="1">
      <alignment vertical="center"/>
    </xf>
    <xf numFmtId="0" fontId="98" fillId="2" borderId="0" xfId="0" applyFont="1" applyFill="1" applyBorder="1" applyAlignment="1">
      <alignment horizontal="center" vertical="center"/>
    </xf>
    <xf numFmtId="0" fontId="99" fillId="2" borderId="0" xfId="0" applyFont="1" applyFill="1" applyBorder="1" applyAlignment="1">
      <alignment horizontal="center" vertical="center"/>
    </xf>
    <xf numFmtId="0" fontId="97" fillId="13" borderId="0" xfId="0" applyFont="1" applyFill="1" applyBorder="1" applyAlignment="1">
      <alignment horizontal="center" vertical="center" wrapText="1"/>
    </xf>
    <xf numFmtId="0" fontId="97" fillId="11" borderId="0" xfId="0" applyFont="1" applyFill="1" applyBorder="1" applyAlignment="1">
      <alignment horizontal="center" vertical="center" wrapText="1"/>
    </xf>
    <xf numFmtId="0" fontId="94" fillId="15" borderId="0" xfId="0" applyFont="1" applyFill="1" applyBorder="1" applyAlignment="1">
      <alignment horizontal="center" vertical="center"/>
    </xf>
    <xf numFmtId="0" fontId="95" fillId="15" borderId="0" xfId="0" applyFont="1" applyFill="1" applyBorder="1"/>
    <xf numFmtId="0" fontId="96" fillId="15" borderId="0" xfId="0" applyFont="1" applyFill="1" applyBorder="1" applyAlignment="1">
      <alignment vertical="center"/>
    </xf>
    <xf numFmtId="0" fontId="96" fillId="15" borderId="0" xfId="0" applyFont="1" applyFill="1" applyBorder="1" applyAlignment="1">
      <alignment horizontal="center" vertical="center"/>
    </xf>
    <xf numFmtId="0" fontId="97" fillId="15" borderId="0" xfId="0" applyFont="1" applyFill="1" applyBorder="1" applyAlignment="1">
      <alignment vertical="center"/>
    </xf>
    <xf numFmtId="0" fontId="98" fillId="15" borderId="0" xfId="0" applyFont="1" applyFill="1" applyBorder="1" applyAlignment="1">
      <alignment horizontal="center" vertical="center"/>
    </xf>
    <xf numFmtId="0" fontId="99" fillId="15" borderId="0" xfId="0" applyFont="1" applyFill="1" applyBorder="1" applyAlignment="1">
      <alignment horizontal="center" vertical="center"/>
    </xf>
    <xf numFmtId="0" fontId="97" fillId="15" borderId="0" xfId="0" applyFont="1" applyFill="1" applyBorder="1" applyAlignment="1">
      <alignment horizontal="center" vertical="center" wrapText="1"/>
    </xf>
    <xf numFmtId="0" fontId="94" fillId="15" borderId="0" xfId="258" applyFont="1" applyFill="1" applyBorder="1" applyAlignment="1">
      <alignment horizontal="center"/>
    </xf>
    <xf numFmtId="0" fontId="3" fillId="15" borderId="0" xfId="258" applyFill="1"/>
    <xf numFmtId="2" fontId="100" fillId="15" borderId="0" xfId="0" applyNumberFormat="1" applyFont="1" applyFill="1" applyBorder="1" applyAlignment="1" applyProtection="1">
      <alignment horizontal="center" vertical="center"/>
    </xf>
    <xf numFmtId="0" fontId="2" fillId="0" borderId="0" xfId="259"/>
    <xf numFmtId="0" fontId="2" fillId="0" borderId="0" xfId="259"/>
    <xf numFmtId="0" fontId="95" fillId="2" borderId="1" xfId="0" applyFont="1" applyFill="1" applyBorder="1" applyAlignment="1">
      <alignment horizontal="right"/>
    </xf>
    <xf numFmtId="167" fontId="74" fillId="2" borderId="1" xfId="0" applyNumberFormat="1" applyFont="1" applyFill="1" applyBorder="1" applyAlignment="1">
      <alignment horizontal="center" vertical="center"/>
    </xf>
    <xf numFmtId="167" fontId="74" fillId="13" borderId="1" xfId="0" applyNumberFormat="1" applyFont="1" applyFill="1" applyBorder="1" applyAlignment="1">
      <alignment horizontal="center" vertical="center"/>
    </xf>
    <xf numFmtId="1" fontId="74" fillId="0" borderId="1" xfId="0" applyNumberFormat="1" applyFont="1" applyFill="1" applyBorder="1" applyAlignment="1">
      <alignment horizontal="center" vertical="center"/>
    </xf>
    <xf numFmtId="0" fontId="83" fillId="13" borderId="1" xfId="0" applyFont="1" applyFill="1" applyBorder="1" applyAlignment="1">
      <alignment horizontal="center" vertical="center" wrapText="1"/>
    </xf>
    <xf numFmtId="0" fontId="74" fillId="0" borderId="1" xfId="0" applyFont="1" applyFill="1" applyBorder="1"/>
    <xf numFmtId="0" fontId="74" fillId="0" borderId="1" xfId="0" applyFont="1" applyFill="1" applyBorder="1" applyAlignment="1">
      <alignment horizontal="center"/>
    </xf>
    <xf numFmtId="0" fontId="74" fillId="0" borderId="0" xfId="0" quotePrefix="1" applyFont="1" applyFill="1" applyBorder="1" applyAlignment="1">
      <alignment wrapText="1"/>
    </xf>
    <xf numFmtId="0" fontId="75" fillId="0" borderId="1" xfId="0" applyFont="1" applyFill="1" applyBorder="1" applyAlignment="1">
      <alignment horizontal="center" vertical="center" wrapText="1"/>
    </xf>
    <xf numFmtId="0" fontId="74" fillId="0" borderId="1" xfId="0" applyFont="1" applyFill="1" applyBorder="1" applyAlignment="1">
      <alignment horizontal="center" vertical="center"/>
    </xf>
    <xf numFmtId="165" fontId="74" fillId="0" borderId="1" xfId="0" applyNumberFormat="1" applyFont="1" applyFill="1" applyBorder="1"/>
    <xf numFmtId="2" fontId="74" fillId="0" borderId="1" xfId="0" applyNumberFormat="1" applyFont="1" applyFill="1" applyBorder="1" applyAlignment="1">
      <alignment horizontal="center" vertical="center"/>
    </xf>
    <xf numFmtId="0" fontId="1" fillId="0" borderId="0" xfId="259" applyFont="1"/>
    <xf numFmtId="0" fontId="74" fillId="0" borderId="0" xfId="0" applyFont="1" applyFill="1" applyAlignment="1">
      <alignment vertical="center"/>
    </xf>
    <xf numFmtId="0" fontId="74" fillId="0" borderId="0" xfId="0" applyFont="1" applyFill="1" applyBorder="1"/>
    <xf numFmtId="0" fontId="86" fillId="0" borderId="1" xfId="0" applyFont="1" applyFill="1" applyBorder="1" applyAlignment="1">
      <alignment horizontal="center"/>
    </xf>
    <xf numFmtId="0" fontId="74" fillId="0" borderId="0" xfId="0" applyFont="1" applyFill="1" applyBorder="1" applyAlignment="1">
      <alignment horizontal="center"/>
    </xf>
    <xf numFmtId="0" fontId="83" fillId="0" borderId="0" xfId="0" applyFont="1" applyFill="1" applyBorder="1" applyAlignment="1">
      <alignment horizontal="center"/>
    </xf>
    <xf numFmtId="0" fontId="86" fillId="0" borderId="0" xfId="0" applyFont="1" applyFill="1" applyBorder="1" applyAlignment="1">
      <alignment horizontal="center"/>
    </xf>
    <xf numFmtId="0" fontId="86" fillId="0" borderId="0" xfId="0" applyFont="1" applyFill="1" applyBorder="1" applyAlignment="1"/>
    <xf numFmtId="0" fontId="86" fillId="0" borderId="0" xfId="0" applyFont="1" applyFill="1" applyBorder="1" applyAlignment="1">
      <alignment horizontal="left"/>
    </xf>
    <xf numFmtId="0" fontId="75" fillId="11" borderId="3" xfId="0" applyFont="1" applyFill="1" applyBorder="1" applyAlignment="1">
      <alignment horizontal="center" vertical="center" wrapText="1"/>
    </xf>
    <xf numFmtId="0" fontId="69" fillId="11" borderId="3" xfId="0" applyFont="1" applyFill="1" applyBorder="1" applyAlignment="1">
      <alignment horizontal="center" vertical="center" wrapText="1"/>
    </xf>
    <xf numFmtId="2" fontId="75" fillId="11" borderId="1" xfId="0" applyNumberFormat="1" applyFont="1" applyFill="1" applyBorder="1" applyAlignment="1">
      <alignment horizontal="center" vertical="center" wrapText="1"/>
    </xf>
    <xf numFmtId="2" fontId="75" fillId="11" borderId="3" xfId="0" applyNumberFormat="1" applyFont="1" applyFill="1" applyBorder="1" applyAlignment="1">
      <alignment horizontal="center" vertical="center" wrapText="1"/>
    </xf>
    <xf numFmtId="0" fontId="74" fillId="11" borderId="1" xfId="0" applyFont="1" applyFill="1" applyBorder="1" applyAlignment="1">
      <alignment horizontal="left" vertical="center"/>
    </xf>
    <xf numFmtId="0" fontId="77" fillId="11" borderId="1" xfId="0" applyFont="1" applyFill="1" applyBorder="1" applyAlignment="1">
      <alignment horizontal="center" vertical="center"/>
    </xf>
    <xf numFmtId="1" fontId="86" fillId="11" borderId="1" xfId="0" applyNumberFormat="1" applyFont="1" applyFill="1" applyBorder="1" applyAlignment="1" applyProtection="1">
      <alignment horizontal="center"/>
    </xf>
    <xf numFmtId="1" fontId="74" fillId="11" borderId="1" xfId="0" applyNumberFormat="1" applyFont="1" applyFill="1" applyBorder="1" applyAlignment="1">
      <alignment horizontal="center" vertical="center"/>
    </xf>
    <xf numFmtId="1" fontId="77" fillId="11" borderId="1" xfId="0" applyNumberFormat="1" applyFont="1" applyFill="1" applyBorder="1" applyAlignment="1">
      <alignment horizontal="center" vertical="center"/>
    </xf>
    <xf numFmtId="164" fontId="74" fillId="11" borderId="1" xfId="0" applyNumberFormat="1" applyFont="1" applyFill="1" applyBorder="1" applyAlignment="1">
      <alignment horizontal="center" vertical="center"/>
    </xf>
    <xf numFmtId="164" fontId="87" fillId="11" borderId="1" xfId="0" applyNumberFormat="1" applyFont="1" applyFill="1" applyBorder="1" applyAlignment="1" applyProtection="1">
      <alignment horizontal="center"/>
    </xf>
    <xf numFmtId="165" fontId="87" fillId="11" borderId="1" xfId="0" applyNumberFormat="1" applyFont="1" applyFill="1" applyBorder="1" applyAlignment="1">
      <alignment horizontal="right" vertical="center"/>
    </xf>
    <xf numFmtId="167" fontId="74" fillId="11" borderId="1" xfId="0" applyNumberFormat="1" applyFont="1" applyFill="1" applyBorder="1" applyAlignment="1">
      <alignment horizontal="center" vertical="center"/>
    </xf>
    <xf numFmtId="0" fontId="77" fillId="11" borderId="1" xfId="0" applyFont="1" applyFill="1" applyBorder="1" applyAlignment="1" applyProtection="1">
      <alignment horizontal="right" vertical="center"/>
      <protection locked="0"/>
    </xf>
    <xf numFmtId="166" fontId="77" fillId="11" borderId="1" xfId="0" applyNumberFormat="1" applyFont="1" applyFill="1" applyBorder="1" applyAlignment="1" applyProtection="1">
      <alignment horizontal="left" vertical="center"/>
      <protection locked="0"/>
    </xf>
    <xf numFmtId="0" fontId="86" fillId="11" borderId="1" xfId="0" applyFont="1" applyFill="1" applyBorder="1" applyAlignment="1" applyProtection="1">
      <alignment horizontal="center" vertical="center"/>
      <protection locked="0"/>
    </xf>
    <xf numFmtId="165" fontId="87" fillId="11" borderId="1" xfId="0" applyNumberFormat="1" applyFont="1" applyFill="1" applyBorder="1" applyAlignment="1" applyProtection="1">
      <alignment horizontal="center" vertical="center"/>
    </xf>
    <xf numFmtId="1" fontId="87" fillId="11" borderId="1" xfId="0" applyNumberFormat="1" applyFont="1" applyFill="1" applyBorder="1" applyAlignment="1" applyProtection="1">
      <alignment horizontal="center" vertical="center"/>
    </xf>
    <xf numFmtId="10" fontId="74" fillId="11" borderId="1" xfId="0" applyNumberFormat="1" applyFont="1" applyFill="1" applyBorder="1" applyAlignment="1">
      <alignment horizontal="center" vertical="center"/>
    </xf>
    <xf numFmtId="2" fontId="87" fillId="11" borderId="1" xfId="0" applyNumberFormat="1" applyFont="1" applyFill="1" applyBorder="1" applyAlignment="1" applyProtection="1">
      <alignment horizontal="center" vertical="center"/>
    </xf>
    <xf numFmtId="1" fontId="77" fillId="11" borderId="1" xfId="0" applyNumberFormat="1" applyFont="1" applyFill="1" applyBorder="1" applyAlignment="1" applyProtection="1">
      <alignment horizontal="center" vertical="center"/>
    </xf>
    <xf numFmtId="0" fontId="74" fillId="11" borderId="1" xfId="0" applyFont="1" applyFill="1" applyBorder="1" applyAlignment="1">
      <alignment horizontal="right" vertical="center"/>
    </xf>
    <xf numFmtId="0" fontId="83" fillId="11" borderId="3" xfId="0" applyFont="1" applyFill="1" applyBorder="1" applyAlignment="1">
      <alignment horizontal="center" vertical="center" wrapText="1"/>
    </xf>
    <xf numFmtId="0" fontId="75" fillId="11" borderId="3" xfId="0" applyFont="1" applyFill="1" applyBorder="1" applyAlignment="1">
      <alignment vertical="center" wrapText="1"/>
    </xf>
    <xf numFmtId="2" fontId="95" fillId="2" borderId="0" xfId="0" applyNumberFormat="1" applyFont="1" applyFill="1" applyBorder="1"/>
    <xf numFmtId="0" fontId="77" fillId="0" borderId="3" xfId="0" applyFont="1" applyFill="1" applyBorder="1" applyAlignment="1">
      <alignment horizontal="center" vertical="center" wrapText="1"/>
    </xf>
    <xf numFmtId="0" fontId="77" fillId="0" borderId="4" xfId="0" applyFont="1" applyFill="1" applyBorder="1" applyAlignment="1">
      <alignment horizontal="center" vertical="center" wrapText="1"/>
    </xf>
    <xf numFmtId="0" fontId="77" fillId="0" borderId="2" xfId="0" applyFont="1" applyFill="1" applyBorder="1" applyAlignment="1">
      <alignment horizontal="center" vertical="center" wrapText="1"/>
    </xf>
    <xf numFmtId="0" fontId="77" fillId="13" borderId="3" xfId="0" applyFont="1" applyFill="1" applyBorder="1" applyAlignment="1">
      <alignment horizontal="center" vertical="center" wrapText="1"/>
    </xf>
    <xf numFmtId="0" fontId="77" fillId="13" borderId="4" xfId="0" applyFont="1" applyFill="1" applyBorder="1" applyAlignment="1">
      <alignment horizontal="center" vertical="center" wrapText="1"/>
    </xf>
    <xf numFmtId="0" fontId="77" fillId="13" borderId="2" xfId="0" applyFont="1" applyFill="1" applyBorder="1" applyAlignment="1">
      <alignment horizontal="center" vertical="center" wrapText="1"/>
    </xf>
    <xf numFmtId="0" fontId="77" fillId="11" borderId="3" xfId="0" applyFont="1" applyFill="1" applyBorder="1" applyAlignment="1">
      <alignment horizontal="center" vertical="center" wrapText="1"/>
    </xf>
    <xf numFmtId="0" fontId="77" fillId="11" borderId="4" xfId="0" applyFont="1" applyFill="1" applyBorder="1" applyAlignment="1">
      <alignment horizontal="center" vertical="center" wrapText="1"/>
    </xf>
    <xf numFmtId="0" fontId="77" fillId="11" borderId="2" xfId="0" applyFont="1" applyFill="1" applyBorder="1" applyAlignment="1">
      <alignment horizontal="center" vertical="center" wrapText="1"/>
    </xf>
    <xf numFmtId="0" fontId="77" fillId="11" borderId="3" xfId="0" quotePrefix="1" applyFont="1" applyFill="1" applyBorder="1" applyAlignment="1">
      <alignment horizontal="center" vertical="center" wrapText="1"/>
    </xf>
    <xf numFmtId="0" fontId="77" fillId="2" borderId="3" xfId="0" applyFont="1" applyFill="1" applyBorder="1" applyAlignment="1">
      <alignment horizontal="center" vertical="center" wrapText="1"/>
    </xf>
    <xf numFmtId="0" fontId="77" fillId="2" borderId="4" xfId="0" applyFont="1" applyFill="1" applyBorder="1" applyAlignment="1">
      <alignment horizontal="center" vertical="center" wrapText="1"/>
    </xf>
    <xf numFmtId="0" fontId="77" fillId="2" borderId="2" xfId="0" applyFont="1" applyFill="1" applyBorder="1" applyAlignment="1">
      <alignment horizontal="center" vertical="center" wrapText="1"/>
    </xf>
    <xf numFmtId="0" fontId="77" fillId="2" borderId="3" xfId="0" quotePrefix="1" applyFont="1" applyFill="1" applyBorder="1" applyAlignment="1">
      <alignment horizontal="center" vertical="center" wrapText="1"/>
    </xf>
    <xf numFmtId="0" fontId="107" fillId="0" borderId="1" xfId="0" quotePrefix="1" applyFont="1" applyFill="1" applyBorder="1" applyAlignment="1">
      <alignment horizontal="center" vertical="center" wrapText="1"/>
    </xf>
    <xf numFmtId="0" fontId="75" fillId="11" borderId="3" xfId="0" applyFont="1" applyFill="1" applyBorder="1" applyAlignment="1">
      <alignment horizontal="center" vertical="center" wrapText="1"/>
    </xf>
    <xf numFmtId="0" fontId="75" fillId="11" borderId="2" xfId="0" applyFont="1" applyFill="1" applyBorder="1" applyAlignment="1">
      <alignment horizontal="center" vertical="center" wrapText="1"/>
    </xf>
    <xf numFmtId="0" fontId="91" fillId="11" borderId="3" xfId="0" applyFont="1" applyFill="1" applyBorder="1" applyAlignment="1">
      <alignment horizontal="center" vertical="center" wrapText="1"/>
    </xf>
    <xf numFmtId="2" fontId="75" fillId="11" borderId="3" xfId="0" applyNumberFormat="1" applyFont="1" applyFill="1" applyBorder="1" applyAlignment="1">
      <alignment horizontal="center" vertical="center" wrapText="1"/>
    </xf>
    <xf numFmtId="2" fontId="75" fillId="11" borderId="2" xfId="0" applyNumberFormat="1" applyFont="1" applyFill="1" applyBorder="1" applyAlignment="1">
      <alignment horizontal="center" vertical="center" wrapText="1"/>
    </xf>
    <xf numFmtId="0" fontId="69" fillId="11" borderId="3" xfId="0" applyFont="1" applyFill="1" applyBorder="1" applyAlignment="1">
      <alignment horizontal="center" vertical="center" wrapText="1"/>
    </xf>
    <xf numFmtId="0" fontId="69" fillId="11" borderId="2" xfId="0" applyFont="1" applyFill="1" applyBorder="1" applyAlignment="1">
      <alignment horizontal="center" vertical="center" wrapText="1"/>
    </xf>
    <xf numFmtId="0" fontId="91" fillId="11" borderId="2" xfId="0" applyFont="1" applyFill="1" applyBorder="1" applyAlignment="1">
      <alignment horizontal="center" vertical="center" wrapText="1"/>
    </xf>
    <xf numFmtId="0" fontId="75" fillId="0" borderId="3" xfId="0" applyFont="1" applyFill="1" applyBorder="1" applyAlignment="1">
      <alignment horizontal="center" vertical="center" wrapText="1"/>
    </xf>
    <xf numFmtId="0" fontId="75" fillId="0" borderId="2" xfId="0" applyFont="1" applyFill="1" applyBorder="1" applyAlignment="1">
      <alignment horizontal="center" vertical="center" wrapText="1"/>
    </xf>
    <xf numFmtId="2" fontId="75" fillId="11" borderId="1" xfId="0" applyNumberFormat="1" applyFont="1" applyFill="1" applyBorder="1" applyAlignment="1">
      <alignment horizontal="center" vertical="center" wrapText="1"/>
    </xf>
    <xf numFmtId="0" fontId="91" fillId="0" borderId="3" xfId="0" applyFont="1" applyFill="1" applyBorder="1" applyAlignment="1">
      <alignment horizontal="center" vertical="center" wrapText="1"/>
    </xf>
    <xf numFmtId="0" fontId="75" fillId="11" borderId="1" xfId="0" applyFont="1" applyFill="1" applyBorder="1" applyAlignment="1">
      <alignment horizontal="center" vertical="center"/>
    </xf>
    <xf numFmtId="0" fontId="75" fillId="11" borderId="3" xfId="0" applyFont="1" applyFill="1" applyBorder="1" applyAlignment="1">
      <alignment horizontal="center" vertical="center"/>
    </xf>
    <xf numFmtId="0" fontId="75" fillId="11" borderId="1" xfId="0" applyFont="1" applyFill="1" applyBorder="1" applyAlignment="1">
      <alignment horizontal="center" vertical="center" wrapText="1"/>
    </xf>
    <xf numFmtId="0" fontId="75" fillId="0" borderId="1" xfId="0" applyFont="1" applyFill="1" applyBorder="1" applyAlignment="1">
      <alignment horizontal="center"/>
    </xf>
    <xf numFmtId="0" fontId="75" fillId="11" borderId="1" xfId="0" applyFont="1" applyFill="1" applyBorder="1" applyAlignment="1" applyProtection="1">
      <alignment horizontal="center" vertical="center"/>
    </xf>
    <xf numFmtId="0" fontId="75" fillId="11" borderId="3" xfId="0" applyFont="1" applyFill="1" applyBorder="1" applyAlignment="1" applyProtection="1">
      <alignment horizontal="center" vertical="center"/>
    </xf>
    <xf numFmtId="0" fontId="101" fillId="2" borderId="0" xfId="0" applyFont="1" applyFill="1" applyBorder="1" applyAlignment="1">
      <alignment horizontal="center" vertical="center"/>
    </xf>
    <xf numFmtId="0" fontId="73" fillId="0" borderId="5" xfId="0" applyFont="1" applyFill="1" applyBorder="1" applyAlignment="1">
      <alignment horizontal="center" vertical="center"/>
    </xf>
    <xf numFmtId="0" fontId="73" fillId="0" borderId="6" xfId="0" applyFont="1" applyFill="1" applyBorder="1" applyAlignment="1">
      <alignment horizontal="center" vertical="center"/>
    </xf>
    <xf numFmtId="0" fontId="73" fillId="0" borderId="10" xfId="0" applyFont="1" applyFill="1" applyBorder="1" applyAlignment="1">
      <alignment horizontal="center" vertical="center"/>
    </xf>
    <xf numFmtId="0" fontId="73" fillId="2" borderId="5" xfId="0" applyFont="1" applyFill="1" applyBorder="1" applyAlignment="1">
      <alignment horizontal="center" vertical="center"/>
    </xf>
    <xf numFmtId="0" fontId="73" fillId="2" borderId="6" xfId="0" applyFont="1" applyFill="1" applyBorder="1" applyAlignment="1">
      <alignment horizontal="center" vertical="center"/>
    </xf>
    <xf numFmtId="1" fontId="75" fillId="2" borderId="0" xfId="0" applyNumberFormat="1" applyFont="1" applyFill="1" applyBorder="1" applyAlignment="1" applyProtection="1">
      <alignment horizontal="center" vertical="center"/>
      <protection locked="0"/>
    </xf>
    <xf numFmtId="0" fontId="75" fillId="0" borderId="7" xfId="0" applyFont="1" applyFill="1" applyBorder="1" applyAlignment="1">
      <alignment horizontal="center"/>
    </xf>
    <xf numFmtId="0" fontId="75" fillId="0" borderId="8" xfId="0" applyFont="1" applyFill="1" applyBorder="1" applyAlignment="1">
      <alignment horizontal="center"/>
    </xf>
    <xf numFmtId="0" fontId="75" fillId="0" borderId="9" xfId="0" applyFont="1" applyFill="1" applyBorder="1" applyAlignment="1">
      <alignment horizontal="center"/>
    </xf>
  </cellXfs>
  <cellStyles count="260">
    <cellStyle name="Normal" xfId="0" builtinId="0"/>
    <cellStyle name="Normal 10" xfId="10"/>
    <cellStyle name="Normal 100" xfId="100"/>
    <cellStyle name="Normal 101" xfId="101"/>
    <cellStyle name="Normal 102" xfId="102"/>
    <cellStyle name="Normal 103" xfId="103"/>
    <cellStyle name="Normal 104" xfId="104"/>
    <cellStyle name="Normal 105" xfId="105"/>
    <cellStyle name="Normal 106" xfId="106"/>
    <cellStyle name="Normal 107" xfId="107"/>
    <cellStyle name="Normal 108" xfId="108"/>
    <cellStyle name="Normal 109" xfId="109"/>
    <cellStyle name="Normal 11" xfId="11"/>
    <cellStyle name="Normal 110" xfId="110"/>
    <cellStyle name="Normal 111" xfId="111"/>
    <cellStyle name="Normal 112" xfId="112"/>
    <cellStyle name="Normal 113" xfId="113"/>
    <cellStyle name="Normal 114" xfId="114"/>
    <cellStyle name="Normal 115" xfId="115"/>
    <cellStyle name="Normal 116" xfId="116"/>
    <cellStyle name="Normal 117" xfId="117"/>
    <cellStyle name="Normal 118" xfId="118"/>
    <cellStyle name="Normal 119" xfId="119"/>
    <cellStyle name="Normal 12" xfId="12"/>
    <cellStyle name="Normal 120" xfId="120"/>
    <cellStyle name="Normal 121" xfId="121"/>
    <cellStyle name="Normal 122" xfId="122"/>
    <cellStyle name="Normal 123" xfId="123"/>
    <cellStyle name="Normal 124" xfId="124"/>
    <cellStyle name="Normal 125" xfId="125"/>
    <cellStyle name="Normal 126" xfId="132"/>
    <cellStyle name="Normal 127" xfId="126"/>
    <cellStyle name="Normal 128" xfId="127"/>
    <cellStyle name="Normal 129" xfId="128"/>
    <cellStyle name="Normal 13" xfId="15"/>
    <cellStyle name="Normal 130" xfId="129"/>
    <cellStyle name="Normal 131" xfId="130"/>
    <cellStyle name="Normal 132" xfId="131"/>
    <cellStyle name="Normal 133" xfId="133"/>
    <cellStyle name="Normal 134" xfId="134"/>
    <cellStyle name="Normal 135" xfId="135"/>
    <cellStyle name="Normal 136" xfId="136"/>
    <cellStyle name="Normal 137" xfId="137"/>
    <cellStyle name="Normal 138" xfId="138"/>
    <cellStyle name="Normal 139" xfId="139"/>
    <cellStyle name="Normal 14" xfId="13"/>
    <cellStyle name="Normal 140" xfId="140"/>
    <cellStyle name="Normal 141" xfId="141"/>
    <cellStyle name="Normal 142" xfId="142"/>
    <cellStyle name="Normal 143" xfId="143"/>
    <cellStyle name="Normal 144" xfId="144"/>
    <cellStyle name="Normal 145" xfId="149"/>
    <cellStyle name="Normal 146" xfId="145"/>
    <cellStyle name="Normal 147" xfId="146"/>
    <cellStyle name="Normal 148" xfId="147"/>
    <cellStyle name="Normal 149" xfId="148"/>
    <cellStyle name="Normal 15" xfId="14"/>
    <cellStyle name="Normal 150" xfId="158"/>
    <cellStyle name="Normal 151" xfId="150"/>
    <cellStyle name="Normal 152" xfId="151"/>
    <cellStyle name="Normal 153" xfId="152"/>
    <cellStyle name="Normal 154" xfId="153"/>
    <cellStyle name="Normal 155" xfId="154"/>
    <cellStyle name="Normal 156" xfId="155"/>
    <cellStyle name="Normal 157" xfId="156"/>
    <cellStyle name="Normal 158" xfId="157"/>
    <cellStyle name="Normal 159" xfId="159"/>
    <cellStyle name="Normal 16" xfId="16"/>
    <cellStyle name="Normal 160" xfId="160"/>
    <cellStyle name="Normal 161" xfId="161"/>
    <cellStyle name="Normal 162" xfId="162"/>
    <cellStyle name="Normal 163" xfId="163"/>
    <cellStyle name="Normal 164" xfId="164"/>
    <cellStyle name="Normal 165" xfId="165"/>
    <cellStyle name="Normal 166" xfId="166"/>
    <cellStyle name="Normal 167" xfId="167"/>
    <cellStyle name="Normal 168" xfId="168"/>
    <cellStyle name="Normal 169" xfId="169"/>
    <cellStyle name="Normal 17" xfId="17"/>
    <cellStyle name="Normal 170" xfId="170"/>
    <cellStyle name="Normal 171" xfId="171"/>
    <cellStyle name="Normal 172" xfId="172"/>
    <cellStyle name="Normal 173" xfId="173"/>
    <cellStyle name="Normal 174" xfId="174"/>
    <cellStyle name="Normal 175" xfId="175"/>
    <cellStyle name="Normal 176" xfId="176"/>
    <cellStyle name="Normal 177" xfId="177"/>
    <cellStyle name="Normal 178" xfId="178"/>
    <cellStyle name="Normal 179" xfId="179"/>
    <cellStyle name="Normal 18" xfId="18"/>
    <cellStyle name="Normal 180" xfId="180"/>
    <cellStyle name="Normal 181" xfId="181"/>
    <cellStyle name="Normal 182" xfId="182"/>
    <cellStyle name="Normal 183" xfId="183"/>
    <cellStyle name="Normal 184" xfId="184"/>
    <cellStyle name="Normal 185" xfId="185"/>
    <cellStyle name="Normal 186" xfId="186"/>
    <cellStyle name="Normal 187" xfId="187"/>
    <cellStyle name="Normal 188" xfId="188"/>
    <cellStyle name="Normal 189" xfId="189"/>
    <cellStyle name="Normal 19" xfId="19"/>
    <cellStyle name="Normal 190" xfId="190"/>
    <cellStyle name="Normal 191" xfId="191"/>
    <cellStyle name="Normal 192" xfId="192"/>
    <cellStyle name="Normal 193" xfId="193"/>
    <cellStyle name="Normal 194" xfId="194"/>
    <cellStyle name="Normal 195" xfId="195"/>
    <cellStyle name="Normal 196" xfId="196"/>
    <cellStyle name="Normal 197" xfId="197"/>
    <cellStyle name="Normal 198" xfId="198"/>
    <cellStyle name="Normal 199" xfId="199"/>
    <cellStyle name="Normal 2" xfId="2"/>
    <cellStyle name="Normal 20" xfId="20"/>
    <cellStyle name="Normal 200" xfId="200"/>
    <cellStyle name="Normal 201" xfId="201"/>
    <cellStyle name="Normal 202" xfId="202"/>
    <cellStyle name="Normal 203" xfId="203"/>
    <cellStyle name="Normal 204" xfId="204"/>
    <cellStyle name="Normal 205" xfId="212"/>
    <cellStyle name="Normal 206" xfId="213"/>
    <cellStyle name="Normal 207" xfId="214"/>
    <cellStyle name="Normal 208" xfId="215"/>
    <cellStyle name="Normal 209" xfId="216"/>
    <cellStyle name="Normal 21" xfId="21"/>
    <cellStyle name="Normal 210" xfId="217"/>
    <cellStyle name="Normal 211" xfId="218"/>
    <cellStyle name="Normal 212" xfId="219"/>
    <cellStyle name="Normal 213" xfId="221"/>
    <cellStyle name="Normal 214" xfId="220"/>
    <cellStyle name="Normal 215" xfId="229"/>
    <cellStyle name="Normal 216" xfId="230"/>
    <cellStyle name="Normal 217" xfId="231"/>
    <cellStyle name="Normal 218" xfId="232"/>
    <cellStyle name="Normal 219" xfId="233"/>
    <cellStyle name="Normal 22" xfId="22"/>
    <cellStyle name="Normal 220" xfId="234"/>
    <cellStyle name="Normal 221" xfId="205"/>
    <cellStyle name="Normal 222" xfId="222"/>
    <cellStyle name="Normal 223" xfId="235"/>
    <cellStyle name="Normal 224" xfId="236"/>
    <cellStyle name="Normal 225" xfId="237"/>
    <cellStyle name="Normal 226" xfId="238"/>
    <cellStyle name="Normal 227" xfId="223"/>
    <cellStyle name="Normal 228" xfId="239"/>
    <cellStyle name="Normal 229" xfId="240"/>
    <cellStyle name="Normal 23" xfId="38"/>
    <cellStyle name="Normal 230" xfId="224"/>
    <cellStyle name="Normal 231" xfId="225"/>
    <cellStyle name="Normal 232" xfId="226"/>
    <cellStyle name="Normal 233" xfId="206"/>
    <cellStyle name="Normal 234" xfId="207"/>
    <cellStyle name="Normal 235" xfId="208"/>
    <cellStyle name="Normal 236" xfId="209"/>
    <cellStyle name="Normal 237" xfId="210"/>
    <cellStyle name="Normal 238" xfId="211"/>
    <cellStyle name="Normal 239" xfId="227"/>
    <cellStyle name="Normal 24" xfId="44"/>
    <cellStyle name="Normal 240" xfId="228"/>
    <cellStyle name="Normal 241" xfId="241"/>
    <cellStyle name="Normal 242" xfId="242"/>
    <cellStyle name="Normal 243" xfId="243"/>
    <cellStyle name="Normal 244" xfId="244"/>
    <cellStyle name="Normal 245" xfId="245"/>
    <cellStyle name="Normal 246" xfId="246"/>
    <cellStyle name="Normal 247" xfId="247"/>
    <cellStyle name="Normal 248" xfId="248"/>
    <cellStyle name="Normal 249" xfId="249"/>
    <cellStyle name="Normal 25" xfId="39"/>
    <cellStyle name="Normal 250" xfId="250"/>
    <cellStyle name="Normal 251" xfId="251"/>
    <cellStyle name="Normal 252" xfId="252"/>
    <cellStyle name="Normal 253" xfId="253"/>
    <cellStyle name="Normal 254" xfId="254"/>
    <cellStyle name="Normal 255" xfId="255"/>
    <cellStyle name="Normal 256" xfId="256"/>
    <cellStyle name="Normal 257" xfId="257"/>
    <cellStyle name="Normal 258" xfId="258"/>
    <cellStyle name="Normal 259" xfId="259"/>
    <cellStyle name="Normal 26" xfId="32"/>
    <cellStyle name="Normal 27" xfId="33"/>
    <cellStyle name="Normal 28" xfId="45"/>
    <cellStyle name="Normal 29" xfId="40"/>
    <cellStyle name="Normal 3" xfId="3"/>
    <cellStyle name="Normal 30" xfId="34"/>
    <cellStyle name="Normal 31" xfId="35"/>
    <cellStyle name="Normal 32" xfId="36"/>
    <cellStyle name="Normal 33" xfId="23"/>
    <cellStyle name="Normal 34" xfId="24"/>
    <cellStyle name="Normal 35" xfId="25"/>
    <cellStyle name="Normal 36" xfId="26"/>
    <cellStyle name="Normal 37" xfId="27"/>
    <cellStyle name="Normal 38" xfId="28"/>
    <cellStyle name="Normal 39" xfId="29"/>
    <cellStyle name="Normal 4" xfId="4"/>
    <cellStyle name="Normal 40" xfId="30"/>
    <cellStyle name="Normal 41" xfId="31"/>
    <cellStyle name="Normal 42" xfId="37"/>
    <cellStyle name="Normal 43" xfId="41"/>
    <cellStyle name="Normal 44" xfId="42"/>
    <cellStyle name="Normal 45" xfId="43"/>
    <cellStyle name="Normal 46" xfId="46"/>
    <cellStyle name="Normal 47" xfId="47"/>
    <cellStyle name="Normal 48" xfId="54"/>
    <cellStyle name="Normal 49" xfId="48"/>
    <cellStyle name="Normal 5" xfId="5"/>
    <cellStyle name="Normal 50" xfId="49"/>
    <cellStyle name="Normal 51" xfId="50"/>
    <cellStyle name="Normal 52" xfId="51"/>
    <cellStyle name="Normal 53" xfId="52"/>
    <cellStyle name="Normal 54" xfId="53"/>
    <cellStyle name="Normal 55" xfId="55"/>
    <cellStyle name="Normal 56" xfId="56"/>
    <cellStyle name="Normal 57" xfId="57"/>
    <cellStyle name="Normal 58" xfId="58"/>
    <cellStyle name="Normal 59" xfId="59"/>
    <cellStyle name="Normal 6" xfId="6"/>
    <cellStyle name="Normal 60" xfId="60"/>
    <cellStyle name="Normal 61" xfId="61"/>
    <cellStyle name="Normal 62" xfId="62"/>
    <cellStyle name="Normal 63" xfId="63"/>
    <cellStyle name="Normal 64" xfId="64"/>
    <cellStyle name="Normal 65" xfId="68"/>
    <cellStyle name="Normal 66" xfId="65"/>
    <cellStyle name="Normal 67" xfId="66"/>
    <cellStyle name="Normal 68" xfId="69"/>
    <cellStyle name="Normal 69" xfId="70"/>
    <cellStyle name="Normal 7" xfId="7"/>
    <cellStyle name="Normal 70" xfId="67"/>
    <cellStyle name="Normal 71" xfId="71"/>
    <cellStyle name="Normal 72" xfId="72"/>
    <cellStyle name="Normal 73" xfId="73"/>
    <cellStyle name="Normal 74" xfId="74"/>
    <cellStyle name="Normal 75" xfId="75"/>
    <cellStyle name="Normal 76" xfId="76"/>
    <cellStyle name="Normal 77" xfId="77"/>
    <cellStyle name="Normal 78" xfId="78"/>
    <cellStyle name="Normal 79" xfId="79"/>
    <cellStyle name="Normal 8" xfId="8"/>
    <cellStyle name="Normal 80" xfId="80"/>
    <cellStyle name="Normal 81" xfId="81"/>
    <cellStyle name="Normal 82" xfId="82"/>
    <cellStyle name="Normal 83" xfId="83"/>
    <cellStyle name="Normal 84" xfId="84"/>
    <cellStyle name="Normal 85" xfId="85"/>
    <cellStyle name="Normal 86" xfId="86"/>
    <cellStyle name="Normal 87" xfId="87"/>
    <cellStyle name="Normal 88" xfId="88"/>
    <cellStyle name="Normal 89" xfId="89"/>
    <cellStyle name="Normal 9" xfId="9"/>
    <cellStyle name="Normal 90" xfId="90"/>
    <cellStyle name="Normal 91" xfId="91"/>
    <cellStyle name="Normal 92" xfId="92"/>
    <cellStyle name="Normal 93" xfId="93"/>
    <cellStyle name="Normal 94" xfId="94"/>
    <cellStyle name="Normal 95" xfId="95"/>
    <cellStyle name="Normal 96" xfId="96"/>
    <cellStyle name="Normal 97" xfId="97"/>
    <cellStyle name="Normal 98" xfId="98"/>
    <cellStyle name="Normal 99" xfId="99"/>
    <cellStyle name="Normal_Lech tam xien" xfId="1"/>
  </cellStyles>
  <dxfs count="2">
    <dxf>
      <font>
        <color rgb="FF9C0006"/>
      </font>
    </dxf>
    <dxf>
      <font>
        <color rgb="FF9C0006"/>
      </font>
    </dxf>
  </dxfs>
  <tableStyles count="0" defaultTableStyle="TableStyleMedium9" defaultPivotStyle="PivotStyleLight16"/>
  <colors>
    <mruColors>
      <color rgb="FF0000FF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346262</xdr:colOff>
      <xdr:row>7</xdr:row>
      <xdr:rowOff>246530</xdr:rowOff>
    </xdr:from>
    <xdr:ext cx="4454338" cy="44743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 txBox="1"/>
          </xdr:nvSpPr>
          <xdr:spPr>
            <a:xfrm>
              <a:off x="736787" y="1599080"/>
              <a:ext cx="4454338" cy="44743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0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000" b="0" i="1">
                            <a:latin typeface="Cambria Math"/>
                          </a:rPr>
                          <m:t>𝐴</m:t>
                        </m:r>
                      </m:e>
                      <m:sub>
                        <m:r>
                          <a:rPr lang="en-US" sz="1000" b="0" i="1">
                            <a:latin typeface="Cambria Math"/>
                          </a:rPr>
                          <m:t>𝑠</m:t>
                        </m:r>
                      </m:sub>
                    </m:sSub>
                    <m:r>
                      <a:rPr lang="en-US" sz="1000" b="0" i="1">
                        <a:latin typeface="Cambria Math"/>
                      </a:rPr>
                      <m:t>=</m:t>
                    </m:r>
                    <m:f>
                      <m:fPr>
                        <m:ctrlPr>
                          <a:rPr lang="en-US" sz="1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000" b="0" i="1">
                            <a:latin typeface="Cambria Math"/>
                          </a:rPr>
                          <m:t>𝑀</m:t>
                        </m:r>
                      </m:num>
                      <m:den>
                        <m:sSub>
                          <m:sSubPr>
                            <m:ctrlPr>
                              <a:rPr lang="en-US" sz="10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000" b="0" i="1">
                                <a:latin typeface="Cambria Math"/>
                              </a:rPr>
                              <m:t>𝑅</m:t>
                            </m:r>
                          </m:e>
                          <m:sub>
                            <m:r>
                              <a:rPr lang="en-US" sz="1000" b="0" i="1">
                                <a:latin typeface="Cambria Math"/>
                              </a:rPr>
                              <m:t>𝑠</m:t>
                            </m:r>
                          </m:sub>
                        </m:sSub>
                        <m:r>
                          <m:rPr>
                            <m:nor/>
                          </m:rPr>
                          <a:rPr lang="el-GR" sz="1000" smtClean="0"/>
                          <m:t>ζ</m:t>
                        </m:r>
                        <m:r>
                          <m:rPr>
                            <m:nor/>
                          </m:rPr>
                          <a:rPr lang="el-GR" sz="1000" smtClean="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rPr>
                          <m:t> </m:t>
                        </m:r>
                        <m:sSub>
                          <m:sSubPr>
                            <m:ctrlPr>
                              <a:rPr lang="el-GR" sz="1000" i="1" smtClean="0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000" b="0" i="1" smtClean="0">
                                <a:solidFill>
                                  <a:schemeClr val="tx1"/>
                                </a:solidFill>
                                <a:latin typeface="Cambria Math"/>
                                <a:ea typeface="+mn-ea"/>
                                <a:cs typeface="+mn-cs"/>
                              </a:rPr>
                              <m:t>h</m:t>
                            </m:r>
                          </m:e>
                          <m:sub>
                            <m:r>
                              <a:rPr lang="en-US" sz="1000" b="0" i="1" smtClean="0">
                                <a:solidFill>
                                  <a:schemeClr val="tx1"/>
                                </a:solidFill>
                                <a:latin typeface="Cambria Math"/>
                                <a:ea typeface="+mn-ea"/>
                                <a:cs typeface="+mn-cs"/>
                              </a:rPr>
                              <m:t>𝑜</m:t>
                            </m:r>
                          </m:sub>
                        </m:sSub>
                      </m:den>
                    </m:f>
                    <m:r>
                      <a:rPr lang="en-US" sz="1000" b="0" i="1">
                        <a:latin typeface="Cambria Math"/>
                      </a:rPr>
                      <m:t>          </m:t>
                    </m:r>
                    <m:r>
                      <m:rPr>
                        <m:sty m:val="p"/>
                      </m:rPr>
                      <a:rPr lang="el-GR" sz="1000" i="1" smtClean="0">
                        <a:latin typeface="Cambria Math" panose="02040503050406030204" pitchFamily="18" charset="0"/>
                      </a:rPr>
                      <m:t>γ</m:t>
                    </m:r>
                    <m:r>
                      <m:rPr>
                        <m:nor/>
                      </m:rPr>
                      <a:rPr lang="en-US" sz="1000" b="0" i="0" smtClean="0"/>
                      <m:t>=0,5</m:t>
                    </m:r>
                    <m:d>
                      <m:dPr>
                        <m:ctrlPr>
                          <a:rPr lang="en-US" sz="1000" b="0" i="1" smtClean="0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000" b="0" i="1" smtClean="0">
                            <a:latin typeface="Cambria Math"/>
                          </a:rPr>
                          <m:t>1+</m:t>
                        </m:r>
                        <m:rad>
                          <m:radPr>
                            <m:degHide m:val="on"/>
                            <m:ctrlPr>
                              <a:rPr lang="en-US" sz="1000" b="0" i="1" smtClean="0"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r>
                              <a:rPr lang="en-US" sz="1000" b="0" i="1" smtClean="0">
                                <a:latin typeface="Cambria Math"/>
                              </a:rPr>
                              <m:t>1−2</m:t>
                            </m:r>
                            <m:sSub>
                              <m:sSubPr>
                                <m:ctrlPr>
                                  <a:rPr lang="en-US" sz="1000" b="0" i="1" smtClean="0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000" b="0" i="1" smtClean="0">
                                    <a:latin typeface="Cambria Math"/>
                                    <a:ea typeface="Cambria Math"/>
                                  </a:rPr>
                                  <m:t>𝛼</m:t>
                                </m:r>
                              </m:e>
                              <m:sub>
                                <m:r>
                                  <a:rPr lang="en-US" sz="1000" b="0" i="1" smtClean="0">
                                    <a:latin typeface="Cambria Math"/>
                                  </a:rPr>
                                  <m:t>𝑚</m:t>
                                </m:r>
                              </m:sub>
                            </m:sSub>
                          </m:e>
                        </m:rad>
                      </m:e>
                    </m:d>
                    <m:r>
                      <a:rPr lang="en-US" sz="1000" b="0" i="1" smtClean="0">
                        <a:latin typeface="Cambria Math"/>
                      </a:rPr>
                      <m:t>        </m:t>
                    </m:r>
                    <m:sSub>
                      <m:sSubPr>
                        <m:ctrlPr>
                          <a:rPr lang="en-US" sz="1000" b="0" i="1" smtClean="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000" b="0" i="1" smtClean="0">
                            <a:latin typeface="Cambria Math"/>
                            <a:ea typeface="Cambria Math"/>
                          </a:rPr>
                          <m:t>𝛼</m:t>
                        </m:r>
                      </m:e>
                      <m:sub>
                        <m:r>
                          <a:rPr lang="en-US" sz="1000" b="0" i="1" smtClean="0">
                            <a:latin typeface="Cambria Math"/>
                          </a:rPr>
                          <m:t>𝑚</m:t>
                        </m:r>
                      </m:sub>
                    </m:sSub>
                    <m:r>
                      <a:rPr lang="en-US" sz="1000" b="0" i="1" smtClean="0">
                        <a:latin typeface="Cambria Math"/>
                      </a:rPr>
                      <m:t>=</m:t>
                    </m:r>
                    <m:f>
                      <m:fPr>
                        <m:ctrlPr>
                          <a:rPr lang="en-US" sz="1000" b="0" i="1" smtClean="0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000" b="0" i="1" smtClean="0">
                            <a:latin typeface="Cambria Math"/>
                          </a:rPr>
                          <m:t>𝑀</m:t>
                        </m:r>
                      </m:num>
                      <m:den>
                        <m:sSub>
                          <m:sSubPr>
                            <m:ctrlPr>
                              <a:rPr lang="en-US" sz="1000" b="0" i="1" smtClean="0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000" b="0" i="1" smtClean="0">
                                <a:latin typeface="Cambria Math"/>
                              </a:rPr>
                              <m:t>𝑅</m:t>
                            </m:r>
                          </m:e>
                          <m:sub>
                            <m:r>
                              <a:rPr lang="en-US" sz="1000" b="0" i="1" smtClean="0">
                                <a:latin typeface="Cambria Math"/>
                              </a:rPr>
                              <m:t>𝑏</m:t>
                            </m:r>
                          </m:sub>
                        </m:sSub>
                        <m:r>
                          <a:rPr lang="en-US" sz="1000" b="0" i="1" smtClean="0">
                            <a:latin typeface="Cambria Math"/>
                          </a:rPr>
                          <m:t>𝑏h</m:t>
                        </m:r>
                        <m:sPre>
                          <m:sPrePr>
                            <m:ctrlPr>
                              <a:rPr lang="en-US" sz="1000" b="0" i="1" smtClean="0">
                                <a:latin typeface="Cambria Math" panose="02040503050406030204" pitchFamily="18" charset="0"/>
                              </a:rPr>
                            </m:ctrlPr>
                          </m:sPrePr>
                          <m:sub>
                            <m:r>
                              <a:rPr lang="en-US" sz="1000" b="0" i="1" smtClean="0">
                                <a:latin typeface="Cambria Math"/>
                              </a:rPr>
                              <m:t>𝑜</m:t>
                            </m:r>
                          </m:sub>
                          <m:sup>
                            <m:r>
                              <a:rPr lang="en-US" sz="1000" b="0" i="1" smtClean="0">
                                <a:latin typeface="Cambria Math"/>
                              </a:rPr>
                              <m:t>2</m:t>
                            </m:r>
                          </m:sup>
                          <m:e/>
                        </m:sPre>
                      </m:den>
                    </m:f>
                    <m:r>
                      <a:rPr lang="en-US" sz="1000" b="0" i="1" smtClean="0">
                        <a:latin typeface="Cambria Math"/>
                      </a:rPr>
                      <m:t>               </m:t>
                    </m:r>
                    <m:sSub>
                      <m:sSubPr>
                        <m:ctrlPr>
                          <a:rPr lang="en-US" sz="1000" b="0" i="1" smtClean="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000" b="0" i="1" smtClean="0">
                            <a:latin typeface="Cambria Math"/>
                          </a:rPr>
                          <m:t>h</m:t>
                        </m:r>
                      </m:e>
                      <m:sub>
                        <m:r>
                          <a:rPr lang="en-US" sz="1000" b="0" i="1" smtClean="0">
                            <a:latin typeface="Cambria Math"/>
                          </a:rPr>
                          <m:t>0</m:t>
                        </m:r>
                      </m:sub>
                    </m:sSub>
                    <m:r>
                      <a:rPr lang="en-US" sz="1000" b="0" i="1" smtClean="0">
                        <a:latin typeface="Cambria Math"/>
                      </a:rPr>
                      <m:t>=</m:t>
                    </m:r>
                    <m:r>
                      <a:rPr lang="en-US" sz="1000" b="0" i="1" smtClean="0">
                        <a:latin typeface="Cambria Math"/>
                      </a:rPr>
                      <m:t>h</m:t>
                    </m:r>
                    <m:r>
                      <a:rPr lang="en-US" sz="1000" b="0" i="1" smtClean="0">
                        <a:latin typeface="Cambria Math"/>
                      </a:rPr>
                      <m:t>−</m:t>
                    </m:r>
                    <m:r>
                      <a:rPr lang="en-US" sz="1000" b="0" i="1" smtClean="0">
                        <a:latin typeface="Cambria Math"/>
                      </a:rPr>
                      <m:t>𝑎</m:t>
                    </m:r>
                  </m:oMath>
                </m:oMathPara>
              </a14:m>
              <a:endParaRPr lang="el-GR" sz="1000">
                <a:solidFill>
                  <a:schemeClr val="tx1"/>
                </a:solidFill>
                <a:latin typeface="+mn-lt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 txBox="1"/>
          </xdr:nvSpPr>
          <xdr:spPr>
            <a:xfrm>
              <a:off x="736787" y="1599080"/>
              <a:ext cx="4454338" cy="44743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000" b="0" i="0">
                  <a:latin typeface="Cambria Math"/>
                </a:rPr>
                <a:t>𝐴</a:t>
              </a:r>
              <a:r>
                <a:rPr lang="en-US" sz="1000" b="0" i="0">
                  <a:latin typeface="Cambria Math" panose="02040503050406030204" pitchFamily="18" charset="0"/>
                </a:rPr>
                <a:t>_</a:t>
              </a:r>
              <a:r>
                <a:rPr lang="en-US" sz="1000" b="0" i="0">
                  <a:latin typeface="Cambria Math"/>
                </a:rPr>
                <a:t>𝑠=𝑀</a:t>
              </a:r>
              <a:r>
                <a:rPr lang="en-US" sz="1000" b="0" i="0">
                  <a:latin typeface="Cambria Math" panose="02040503050406030204" pitchFamily="18" charset="0"/>
                </a:rPr>
                <a:t>/(</a:t>
              </a:r>
              <a:r>
                <a:rPr lang="en-US" sz="1000" b="0" i="0">
                  <a:latin typeface="Cambria Math"/>
                </a:rPr>
                <a:t>𝑅</a:t>
              </a:r>
              <a:r>
                <a:rPr lang="en-US" sz="1000" b="0" i="0">
                  <a:latin typeface="Cambria Math" panose="02040503050406030204" pitchFamily="18" charset="0"/>
                </a:rPr>
                <a:t>_</a:t>
              </a:r>
              <a:r>
                <a:rPr lang="en-US" sz="1000" b="0" i="0">
                  <a:latin typeface="Cambria Math"/>
                </a:rPr>
                <a:t>𝑠</a:t>
              </a:r>
              <a:r>
                <a:rPr lang="el-GR" sz="1000" b="0" i="0" smtClean="0">
                  <a:latin typeface="Cambria Math"/>
                </a:rPr>
                <a:t> "</a:t>
              </a:r>
              <a:r>
                <a:rPr lang="el-GR" sz="1000" i="0" smtClean="0"/>
                <a:t>ζ</a:t>
              </a:r>
              <a:r>
                <a:rPr lang="el-GR" sz="1000" i="0" smtClean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 </a:t>
              </a:r>
              <a:r>
                <a:rPr lang="el-GR" sz="1000" i="0" smtClean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" </a:t>
              </a:r>
              <a:r>
                <a:rPr lang="en-US" sz="1000" b="0" i="0" smtClean="0">
                  <a:solidFill>
                    <a:schemeClr val="tx1"/>
                  </a:solidFill>
                  <a:latin typeface="Cambria Math"/>
                  <a:ea typeface="+mn-ea"/>
                  <a:cs typeface="+mn-cs"/>
                </a:rPr>
                <a:t>ℎ</a:t>
              </a:r>
              <a:r>
                <a:rPr lang="el-GR" sz="1000" b="0" i="0" smtClean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000" b="0" i="0" smtClean="0">
                  <a:solidFill>
                    <a:schemeClr val="tx1"/>
                  </a:solidFill>
                  <a:latin typeface="Cambria Math"/>
                  <a:ea typeface="+mn-ea"/>
                  <a:cs typeface="+mn-cs"/>
                </a:rPr>
                <a:t>𝑜</a:t>
              </a:r>
              <a:r>
                <a:rPr lang="en-US" sz="1000" b="0" i="0" smtClean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000" b="0" i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en-US" sz="1000" b="0" i="0">
                  <a:solidFill>
                    <a:schemeClr val="tx1"/>
                  </a:solidFill>
                  <a:latin typeface="Cambria Math"/>
                  <a:ea typeface="+mn-ea"/>
                  <a:cs typeface="+mn-cs"/>
                </a:rPr>
                <a:t> </a:t>
              </a:r>
              <a:r>
                <a:rPr lang="en-US" sz="1000" b="0" i="0">
                  <a:latin typeface="Cambria Math"/>
                </a:rPr>
                <a:t>          </a:t>
              </a:r>
              <a:r>
                <a:rPr lang="el-GR" sz="1000" i="0" smtClean="0">
                  <a:latin typeface="Cambria Math" panose="02040503050406030204" pitchFamily="18" charset="0"/>
                </a:rPr>
                <a:t>γ</a:t>
              </a:r>
              <a:r>
                <a:rPr lang="en-US" sz="1000" b="0" i="0" smtClean="0">
                  <a:latin typeface="Cambria Math" panose="02040503050406030204" pitchFamily="18" charset="0"/>
                </a:rPr>
                <a:t>"=0,5" (</a:t>
              </a:r>
              <a:r>
                <a:rPr lang="en-US" sz="1000" b="0" i="0" smtClean="0">
                  <a:latin typeface="Cambria Math"/>
                </a:rPr>
                <a:t>1+</a:t>
              </a:r>
              <a:r>
                <a:rPr lang="en-US" sz="1000" b="0" i="0" smtClean="0">
                  <a:latin typeface="Cambria Math" panose="02040503050406030204" pitchFamily="18" charset="0"/>
                </a:rPr>
                <a:t>√(</a:t>
              </a:r>
              <a:r>
                <a:rPr lang="en-US" sz="1000" b="0" i="0" smtClean="0">
                  <a:latin typeface="Cambria Math"/>
                </a:rPr>
                <a:t>1−2</a:t>
              </a:r>
              <a:r>
                <a:rPr lang="en-US" sz="1000" b="0" i="0" smtClean="0">
                  <a:latin typeface="Cambria Math"/>
                  <a:ea typeface="Cambria Math"/>
                </a:rPr>
                <a:t>𝛼</a:t>
              </a:r>
              <a:r>
                <a:rPr lang="en-US" sz="1000" b="0" i="0" smtClean="0">
                  <a:latin typeface="Cambria Math" panose="02040503050406030204" pitchFamily="18" charset="0"/>
                  <a:ea typeface="Cambria Math"/>
                </a:rPr>
                <a:t>_</a:t>
              </a:r>
              <a:r>
                <a:rPr lang="en-US" sz="1000" b="0" i="0" smtClean="0">
                  <a:latin typeface="Cambria Math"/>
                </a:rPr>
                <a:t>𝑚</a:t>
              </a:r>
              <a:r>
                <a:rPr lang="en-US" sz="1000" b="0" i="0" smtClean="0">
                  <a:latin typeface="Cambria Math" panose="02040503050406030204" pitchFamily="18" charset="0"/>
                </a:rPr>
                <a:t> ))</a:t>
              </a:r>
              <a:r>
                <a:rPr lang="en-US" sz="1000" b="0" i="0" smtClean="0">
                  <a:latin typeface="Cambria Math"/>
                </a:rPr>
                <a:t>         </a:t>
              </a:r>
              <a:r>
                <a:rPr lang="en-US" sz="1000" b="0" i="0" smtClean="0">
                  <a:latin typeface="Cambria Math"/>
                  <a:ea typeface="Cambria Math"/>
                </a:rPr>
                <a:t>𝛼</a:t>
              </a:r>
              <a:r>
                <a:rPr lang="en-US" sz="1000" b="0" i="0" smtClean="0">
                  <a:latin typeface="Cambria Math" panose="02040503050406030204" pitchFamily="18" charset="0"/>
                  <a:ea typeface="Cambria Math"/>
                </a:rPr>
                <a:t>_</a:t>
              </a:r>
              <a:r>
                <a:rPr lang="en-US" sz="1000" b="0" i="0" smtClean="0">
                  <a:latin typeface="Cambria Math"/>
                </a:rPr>
                <a:t>𝑚=𝑀</a:t>
              </a:r>
              <a:r>
                <a:rPr lang="en-US" sz="1000" b="0" i="0" smtClean="0">
                  <a:latin typeface="Cambria Math" panose="02040503050406030204" pitchFamily="18" charset="0"/>
                </a:rPr>
                <a:t>/(</a:t>
              </a:r>
              <a:r>
                <a:rPr lang="en-US" sz="1000" b="0" i="0" smtClean="0">
                  <a:latin typeface="Cambria Math"/>
                </a:rPr>
                <a:t>𝑅</a:t>
              </a:r>
              <a:r>
                <a:rPr lang="en-US" sz="1000" b="0" i="0" smtClean="0">
                  <a:latin typeface="Cambria Math" panose="02040503050406030204" pitchFamily="18" charset="0"/>
                </a:rPr>
                <a:t>_</a:t>
              </a:r>
              <a:r>
                <a:rPr lang="en-US" sz="1000" b="0" i="0" smtClean="0">
                  <a:latin typeface="Cambria Math"/>
                </a:rPr>
                <a:t>𝑏 𝑏ℎ</a:t>
              </a:r>
              <a:r>
                <a:rPr lang="en-US" sz="1000" b="0" i="0" smtClean="0">
                  <a:latin typeface="Cambria Math" panose="02040503050406030204" pitchFamily="18" charset="0"/>
                </a:rPr>
                <a:t>(_</a:t>
              </a:r>
              <a:r>
                <a:rPr lang="en-US" sz="1000" b="0" i="0" smtClean="0">
                  <a:latin typeface="Cambria Math"/>
                </a:rPr>
                <a:t>𝑜</a:t>
              </a:r>
              <a:r>
                <a:rPr lang="en-US" sz="1000" b="0" i="0" smtClean="0">
                  <a:latin typeface="Cambria Math" panose="02040503050406030204" pitchFamily="18" charset="0"/>
                </a:rPr>
                <a:t>^</a:t>
              </a:r>
              <a:r>
                <a:rPr lang="en-US" sz="1000" b="0" i="0" smtClean="0">
                  <a:latin typeface="Cambria Math"/>
                </a:rPr>
                <a:t>2</a:t>
              </a:r>
              <a:r>
                <a:rPr lang="en-US" sz="1000" b="0" i="0" smtClean="0">
                  <a:latin typeface="Cambria Math" panose="02040503050406030204" pitchFamily="18" charset="0"/>
                </a:rPr>
                <a:t>)  )</a:t>
              </a:r>
              <a:r>
                <a:rPr lang="en-US" sz="1000" b="0" i="0" smtClean="0">
                  <a:latin typeface="Cambria Math"/>
                </a:rPr>
                <a:t>                ℎ</a:t>
              </a:r>
              <a:r>
                <a:rPr lang="en-US" sz="1000" b="0" i="0" smtClean="0">
                  <a:latin typeface="Cambria Math" panose="02040503050406030204" pitchFamily="18" charset="0"/>
                </a:rPr>
                <a:t>_</a:t>
              </a:r>
              <a:r>
                <a:rPr lang="en-US" sz="1000" b="0" i="0" smtClean="0">
                  <a:latin typeface="Cambria Math"/>
                </a:rPr>
                <a:t>0=ℎ−𝑎</a:t>
              </a:r>
              <a:endParaRPr lang="el-GR" sz="1000">
                <a:solidFill>
                  <a:schemeClr val="tx1"/>
                </a:solidFill>
                <a:latin typeface="+mn-lt"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53</xdr:col>
      <xdr:colOff>598004</xdr:colOff>
      <xdr:row>3</xdr:row>
      <xdr:rowOff>50938</xdr:rowOff>
    </xdr:from>
    <xdr:ext cx="1383177" cy="3938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100-00000C000000}"/>
                </a:ext>
              </a:extLst>
            </xdr:cNvPr>
            <xdr:cNvSpPr txBox="1"/>
          </xdr:nvSpPr>
          <xdr:spPr>
            <a:xfrm>
              <a:off x="17323904" y="717688"/>
              <a:ext cx="1383177" cy="3938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0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000" b="0" i="1">
                            <a:latin typeface="Cambria Math"/>
                          </a:rPr>
                          <m:t>𝑞</m:t>
                        </m:r>
                      </m:e>
                      <m:sub>
                        <m:r>
                          <a:rPr lang="en-US" sz="1000" b="0" i="1">
                            <a:latin typeface="Cambria Math"/>
                          </a:rPr>
                          <m:t>𝑠𝑤</m:t>
                        </m:r>
                      </m:sub>
                    </m:sSub>
                    <m:r>
                      <a:rPr lang="en-US" sz="1000" b="0" i="1">
                        <a:latin typeface="Cambria Math"/>
                      </a:rPr>
                      <m:t>=</m:t>
                    </m:r>
                    <m:f>
                      <m:fPr>
                        <m:ctrlPr>
                          <a:rPr lang="en-US" sz="1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0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000" b="0" i="1">
                                <a:latin typeface="Cambria Math"/>
                              </a:rPr>
                              <m:t>𝑅</m:t>
                            </m:r>
                          </m:e>
                          <m:sub>
                            <m:r>
                              <a:rPr lang="en-US" sz="1000" b="0" i="1">
                                <a:latin typeface="Cambria Math"/>
                              </a:rPr>
                              <m:t>𝑠𝑤</m:t>
                            </m:r>
                          </m:sub>
                        </m:sSub>
                        <m:sSub>
                          <m:sSubPr>
                            <m:ctrlPr>
                              <a:rPr lang="en-US" sz="10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000" b="0" i="1">
                                <a:latin typeface="Cambria Math"/>
                              </a:rPr>
                              <m:t>𝐴</m:t>
                            </m:r>
                          </m:e>
                          <m:sub>
                            <m:r>
                              <a:rPr lang="en-US" sz="1000" b="0" i="1">
                                <a:latin typeface="Cambria Math"/>
                              </a:rPr>
                              <m:t>𝑠𝑤</m:t>
                            </m:r>
                          </m:sub>
                        </m:sSub>
                      </m:num>
                      <m:den>
                        <m:r>
                          <a:rPr lang="en-US" sz="1000" b="0" i="1">
                            <a:latin typeface="Cambria Math"/>
                          </a:rPr>
                          <m:t>𝑠</m:t>
                        </m:r>
                      </m:den>
                    </m:f>
                  </m:oMath>
                </m:oMathPara>
              </a14:m>
              <a:endParaRPr lang="en-US" sz="10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100-00000C000000}"/>
                </a:ext>
              </a:extLst>
            </xdr:cNvPr>
            <xdr:cNvSpPr txBox="1"/>
          </xdr:nvSpPr>
          <xdr:spPr>
            <a:xfrm>
              <a:off x="17323904" y="717688"/>
              <a:ext cx="1383177" cy="3938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pPr/>
              <a:r>
                <a:rPr lang="en-US" sz="1000" b="0" i="0">
                  <a:latin typeface="Cambria Math"/>
                </a:rPr>
                <a:t>𝑞</a:t>
              </a:r>
              <a:r>
                <a:rPr lang="en-US" sz="1000" b="0" i="0">
                  <a:latin typeface="Cambria Math" panose="02040503050406030204" pitchFamily="18" charset="0"/>
                </a:rPr>
                <a:t>_</a:t>
              </a:r>
              <a:r>
                <a:rPr lang="en-US" sz="1000" b="0" i="0">
                  <a:latin typeface="Cambria Math"/>
                </a:rPr>
                <a:t>𝑠𝑤=</a:t>
              </a:r>
              <a:r>
                <a:rPr lang="en-US" sz="1000" b="0" i="0">
                  <a:latin typeface="Cambria Math" panose="02040503050406030204" pitchFamily="18" charset="0"/>
                </a:rPr>
                <a:t>(</a:t>
              </a:r>
              <a:r>
                <a:rPr lang="en-US" sz="1000" b="0" i="0">
                  <a:latin typeface="Cambria Math"/>
                </a:rPr>
                <a:t>𝑅</a:t>
              </a:r>
              <a:r>
                <a:rPr lang="en-US" sz="1000" b="0" i="0">
                  <a:latin typeface="Cambria Math" panose="02040503050406030204" pitchFamily="18" charset="0"/>
                </a:rPr>
                <a:t>_</a:t>
              </a:r>
              <a:r>
                <a:rPr lang="en-US" sz="1000" b="0" i="0">
                  <a:latin typeface="Cambria Math"/>
                </a:rPr>
                <a:t>𝑠𝑤</a:t>
              </a:r>
              <a:r>
                <a:rPr lang="en-US" sz="1000" b="0" i="0">
                  <a:latin typeface="Cambria Math" panose="02040503050406030204" pitchFamily="18" charset="0"/>
                </a:rPr>
                <a:t> </a:t>
              </a:r>
              <a:r>
                <a:rPr lang="en-US" sz="1000" b="0" i="0">
                  <a:latin typeface="Cambria Math"/>
                </a:rPr>
                <a:t>𝐴</a:t>
              </a:r>
              <a:r>
                <a:rPr lang="en-US" sz="1000" b="0" i="0">
                  <a:latin typeface="Cambria Math" panose="02040503050406030204" pitchFamily="18" charset="0"/>
                </a:rPr>
                <a:t>_</a:t>
              </a:r>
              <a:r>
                <a:rPr lang="en-US" sz="1000" b="0" i="0">
                  <a:latin typeface="Cambria Math"/>
                </a:rPr>
                <a:t>𝑠𝑤</a:t>
              </a:r>
              <a:r>
                <a:rPr lang="en-US" sz="1000" b="0" i="0">
                  <a:latin typeface="Cambria Math" panose="02040503050406030204" pitchFamily="18" charset="0"/>
                </a:rPr>
                <a:t>)/</a:t>
              </a:r>
              <a:r>
                <a:rPr lang="en-US" sz="1000" b="0" i="0">
                  <a:latin typeface="Cambria Math"/>
                </a:rPr>
                <a:t>𝑠</a:t>
              </a:r>
              <a:endParaRPr lang="en-US" sz="1000"/>
            </a:p>
          </xdr:txBody>
        </xdr:sp>
      </mc:Fallback>
    </mc:AlternateContent>
    <xdr:clientData/>
  </xdr:oneCellAnchor>
  <xdr:oneCellAnchor>
    <xdr:from>
      <xdr:col>48</xdr:col>
      <xdr:colOff>49105</xdr:colOff>
      <xdr:row>11</xdr:row>
      <xdr:rowOff>102468</xdr:rowOff>
    </xdr:from>
    <xdr:ext cx="1307520" cy="44903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100-00000F000000}"/>
                </a:ext>
              </a:extLst>
            </xdr:cNvPr>
            <xdr:cNvSpPr txBox="1"/>
          </xdr:nvSpPr>
          <xdr:spPr>
            <a:xfrm>
              <a:off x="13679380" y="2302743"/>
              <a:ext cx="1307520" cy="4490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US" sz="1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0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000" b="0" i="1">
                                <a:latin typeface="Cambria Math"/>
                              </a:rPr>
                              <m:t>𝐴</m:t>
                            </m:r>
                          </m:e>
                          <m:sub>
                            <m:r>
                              <a:rPr lang="en-US" sz="1000" b="0" i="1">
                                <a:latin typeface="Cambria Math"/>
                              </a:rPr>
                              <m:t>𝑠𝑤</m:t>
                            </m:r>
                          </m:sub>
                        </m:sSub>
                      </m:num>
                      <m:den>
                        <m:r>
                          <a:rPr lang="en-US" sz="1000" b="0" i="1">
                            <a:latin typeface="Cambria Math"/>
                          </a:rPr>
                          <m:t>𝑠</m:t>
                        </m:r>
                      </m:den>
                    </m:f>
                    <m:r>
                      <a:rPr lang="en-US" sz="1000" b="0" i="1">
                        <a:latin typeface="Cambria Math"/>
                      </a:rPr>
                      <m:t>=</m:t>
                    </m:r>
                    <m:f>
                      <m:fPr>
                        <m:ctrlPr>
                          <a:rPr lang="en-US" sz="1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b>
                            <m:r>
                              <a:rPr lang="en-US" sz="1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𝑠𝑤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𝑅</m:t>
                            </m:r>
                          </m:e>
                          <m:sub>
                            <m:r>
                              <a:rPr lang="en-US" sz="1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𝑠𝑤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0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100-00000F000000}"/>
                </a:ext>
              </a:extLst>
            </xdr:cNvPr>
            <xdr:cNvSpPr txBox="1"/>
          </xdr:nvSpPr>
          <xdr:spPr>
            <a:xfrm>
              <a:off x="13679380" y="2302743"/>
              <a:ext cx="1307520" cy="4490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pPr/>
              <a:r>
                <a:rPr lang="en-US" sz="1000" b="0" i="0">
                  <a:latin typeface="Cambria Math"/>
                </a:rPr>
                <a:t>𝐴</a:t>
              </a:r>
              <a:r>
                <a:rPr lang="en-US" sz="1000" b="0" i="0">
                  <a:latin typeface="Cambria Math" panose="02040503050406030204" pitchFamily="18" charset="0"/>
                </a:rPr>
                <a:t>_</a:t>
              </a:r>
              <a:r>
                <a:rPr lang="en-US" sz="1000" b="0" i="0">
                  <a:latin typeface="Cambria Math"/>
                </a:rPr>
                <a:t>𝑠𝑤</a:t>
              </a:r>
              <a:r>
                <a:rPr lang="en-US" sz="1000" b="0" i="0">
                  <a:latin typeface="Cambria Math" panose="02040503050406030204" pitchFamily="18" charset="0"/>
                </a:rPr>
                <a:t>/</a:t>
              </a:r>
              <a:r>
                <a:rPr lang="en-US" sz="1000" b="0" i="0">
                  <a:latin typeface="Cambria Math"/>
                </a:rPr>
                <a:t>𝑠=</a:t>
              </a:r>
              <a:r>
                <a:rPr lang="en-US" sz="10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𝑞</a:t>
              </a:r>
              <a:r>
                <a:rPr lang="en-US" sz="10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0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𝑠𝑤</a:t>
              </a:r>
              <a:r>
                <a:rPr lang="en-US" sz="10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en-US" sz="10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𝑅</a:t>
              </a:r>
              <a:r>
                <a:rPr lang="en-US" sz="10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0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𝑠𝑤</a:t>
              </a:r>
              <a:r>
                <a:rPr lang="en-US" sz="10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endParaRPr lang="en-US" sz="1000"/>
            </a:p>
          </xdr:txBody>
        </xdr:sp>
      </mc:Fallback>
    </mc:AlternateContent>
    <xdr:clientData/>
  </xdr:oneCellAnchor>
  <xdr:twoCellAnchor editAs="oneCell">
    <xdr:from>
      <xdr:col>54</xdr:col>
      <xdr:colOff>351013</xdr:colOff>
      <xdr:row>5</xdr:row>
      <xdr:rowOff>103409</xdr:rowOff>
    </xdr:from>
    <xdr:to>
      <xdr:col>58</xdr:col>
      <xdr:colOff>464997</xdr:colOff>
      <xdr:row>12</xdr:row>
      <xdr:rowOff>93615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791288" y="1141634"/>
          <a:ext cx="2685734" cy="1352281"/>
        </a:xfrm>
        <a:prstGeom prst="rect">
          <a:avLst/>
        </a:prstGeom>
      </xdr:spPr>
    </xdr:pic>
    <xdr:clientData/>
  </xdr:twoCellAnchor>
  <xdr:twoCellAnchor editAs="oneCell">
    <xdr:from>
      <xdr:col>85</xdr:col>
      <xdr:colOff>147430</xdr:colOff>
      <xdr:row>1</xdr:row>
      <xdr:rowOff>84484</xdr:rowOff>
    </xdr:from>
    <xdr:to>
      <xdr:col>90</xdr:col>
      <xdr:colOff>304800</xdr:colOff>
      <xdr:row>12</xdr:row>
      <xdr:rowOff>54961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4008805" y="341659"/>
          <a:ext cx="2357645" cy="2113602"/>
        </a:xfrm>
        <a:prstGeom prst="rect">
          <a:avLst/>
        </a:prstGeom>
      </xdr:spPr>
    </xdr:pic>
    <xdr:clientData/>
  </xdr:twoCellAnchor>
  <xdr:twoCellAnchor editAs="oneCell">
    <xdr:from>
      <xdr:col>101</xdr:col>
      <xdr:colOff>420565</xdr:colOff>
      <xdr:row>10</xdr:row>
      <xdr:rowOff>161925</xdr:rowOff>
    </xdr:from>
    <xdr:to>
      <xdr:col>102</xdr:col>
      <xdr:colOff>649480</xdr:colOff>
      <xdr:row>12</xdr:row>
      <xdr:rowOff>98995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454265" y="2162175"/>
          <a:ext cx="667065" cy="337120"/>
        </a:xfrm>
        <a:prstGeom prst="rect">
          <a:avLst/>
        </a:prstGeom>
      </xdr:spPr>
    </xdr:pic>
    <xdr:clientData/>
  </xdr:twoCellAnchor>
  <xdr:twoCellAnchor editAs="oneCell">
    <xdr:from>
      <xdr:col>107</xdr:col>
      <xdr:colOff>139213</xdr:colOff>
      <xdr:row>11</xdr:row>
      <xdr:rowOff>733</xdr:rowOff>
    </xdr:from>
    <xdr:to>
      <xdr:col>108</xdr:col>
      <xdr:colOff>347103</xdr:colOff>
      <xdr:row>12</xdr:row>
      <xdr:rowOff>134815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5116263" y="2201008"/>
          <a:ext cx="750815" cy="33410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346262</xdr:colOff>
      <xdr:row>7</xdr:row>
      <xdr:rowOff>246530</xdr:rowOff>
    </xdr:from>
    <xdr:ext cx="4454338" cy="44743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 txBox="1"/>
          </xdr:nvSpPr>
          <xdr:spPr>
            <a:xfrm>
              <a:off x="2079812" y="2075330"/>
              <a:ext cx="4454338" cy="44743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0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000" b="0" i="1">
                            <a:latin typeface="Cambria Math"/>
                          </a:rPr>
                          <m:t>𝐴</m:t>
                        </m:r>
                      </m:e>
                      <m:sub>
                        <m:r>
                          <a:rPr lang="en-US" sz="1000" b="0" i="1">
                            <a:latin typeface="Cambria Math"/>
                          </a:rPr>
                          <m:t>𝑠</m:t>
                        </m:r>
                      </m:sub>
                    </m:sSub>
                    <m:r>
                      <a:rPr lang="en-US" sz="1000" b="0" i="1">
                        <a:latin typeface="Cambria Math"/>
                      </a:rPr>
                      <m:t>=</m:t>
                    </m:r>
                    <m:f>
                      <m:fPr>
                        <m:ctrlPr>
                          <a:rPr lang="en-US" sz="1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000" b="0" i="1">
                            <a:latin typeface="Cambria Math"/>
                          </a:rPr>
                          <m:t>𝑀</m:t>
                        </m:r>
                      </m:num>
                      <m:den>
                        <m:sSub>
                          <m:sSubPr>
                            <m:ctrlPr>
                              <a:rPr lang="en-US" sz="10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000" b="0" i="1">
                                <a:latin typeface="Cambria Math"/>
                              </a:rPr>
                              <m:t>𝑅</m:t>
                            </m:r>
                          </m:e>
                          <m:sub>
                            <m:r>
                              <a:rPr lang="en-US" sz="1000" b="0" i="1">
                                <a:latin typeface="Cambria Math"/>
                              </a:rPr>
                              <m:t>𝑠</m:t>
                            </m:r>
                          </m:sub>
                        </m:sSub>
                        <m:r>
                          <m:rPr>
                            <m:nor/>
                          </m:rPr>
                          <a:rPr lang="el-GR" sz="1000" smtClean="0"/>
                          <m:t>ζ</m:t>
                        </m:r>
                        <m:r>
                          <m:rPr>
                            <m:nor/>
                          </m:rPr>
                          <a:rPr lang="el-GR" sz="1000" smtClean="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rPr>
                          <m:t> </m:t>
                        </m:r>
                        <m:sSub>
                          <m:sSubPr>
                            <m:ctrlPr>
                              <a:rPr lang="el-GR" sz="1000" i="1" smtClean="0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000" b="0" i="1" smtClean="0">
                                <a:solidFill>
                                  <a:schemeClr val="tx1"/>
                                </a:solidFill>
                                <a:latin typeface="Cambria Math"/>
                                <a:ea typeface="+mn-ea"/>
                                <a:cs typeface="+mn-cs"/>
                              </a:rPr>
                              <m:t>h</m:t>
                            </m:r>
                          </m:e>
                          <m:sub>
                            <m:r>
                              <a:rPr lang="en-US" sz="1000" b="0" i="1" smtClean="0">
                                <a:solidFill>
                                  <a:schemeClr val="tx1"/>
                                </a:solidFill>
                                <a:latin typeface="Cambria Math"/>
                                <a:ea typeface="+mn-ea"/>
                                <a:cs typeface="+mn-cs"/>
                              </a:rPr>
                              <m:t>𝑜</m:t>
                            </m:r>
                          </m:sub>
                        </m:sSub>
                      </m:den>
                    </m:f>
                    <m:r>
                      <a:rPr lang="en-US" sz="1000" b="0" i="1">
                        <a:latin typeface="Cambria Math"/>
                      </a:rPr>
                      <m:t>          </m:t>
                    </m:r>
                    <m:r>
                      <m:rPr>
                        <m:sty m:val="p"/>
                      </m:rPr>
                      <a:rPr lang="el-GR" sz="1000" i="1" smtClean="0">
                        <a:latin typeface="Cambria Math" panose="02040503050406030204" pitchFamily="18" charset="0"/>
                      </a:rPr>
                      <m:t>γ</m:t>
                    </m:r>
                    <m:r>
                      <m:rPr>
                        <m:nor/>
                      </m:rPr>
                      <a:rPr lang="en-US" sz="1000" b="0" i="0" smtClean="0"/>
                      <m:t>=0,5</m:t>
                    </m:r>
                    <m:d>
                      <m:dPr>
                        <m:ctrlPr>
                          <a:rPr lang="en-US" sz="1000" b="0" i="1" smtClean="0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000" b="0" i="1" smtClean="0">
                            <a:latin typeface="Cambria Math"/>
                          </a:rPr>
                          <m:t>1+</m:t>
                        </m:r>
                        <m:rad>
                          <m:radPr>
                            <m:degHide m:val="on"/>
                            <m:ctrlPr>
                              <a:rPr lang="en-US" sz="1000" b="0" i="1" smtClean="0"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r>
                              <a:rPr lang="en-US" sz="1000" b="0" i="1" smtClean="0">
                                <a:latin typeface="Cambria Math"/>
                              </a:rPr>
                              <m:t>1−2</m:t>
                            </m:r>
                            <m:sSub>
                              <m:sSubPr>
                                <m:ctrlPr>
                                  <a:rPr lang="en-US" sz="1000" b="0" i="1" smtClean="0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000" b="0" i="1" smtClean="0">
                                    <a:latin typeface="Cambria Math"/>
                                    <a:ea typeface="Cambria Math"/>
                                  </a:rPr>
                                  <m:t>𝛼</m:t>
                                </m:r>
                              </m:e>
                              <m:sub>
                                <m:r>
                                  <a:rPr lang="en-US" sz="1000" b="0" i="1" smtClean="0">
                                    <a:latin typeface="Cambria Math"/>
                                  </a:rPr>
                                  <m:t>𝑚</m:t>
                                </m:r>
                              </m:sub>
                            </m:sSub>
                          </m:e>
                        </m:rad>
                      </m:e>
                    </m:d>
                    <m:r>
                      <a:rPr lang="en-US" sz="1000" b="0" i="1" smtClean="0">
                        <a:latin typeface="Cambria Math"/>
                      </a:rPr>
                      <m:t>        </m:t>
                    </m:r>
                    <m:sSub>
                      <m:sSubPr>
                        <m:ctrlPr>
                          <a:rPr lang="en-US" sz="1000" b="0" i="1" smtClean="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000" b="0" i="1" smtClean="0">
                            <a:latin typeface="Cambria Math"/>
                            <a:ea typeface="Cambria Math"/>
                          </a:rPr>
                          <m:t>𝛼</m:t>
                        </m:r>
                      </m:e>
                      <m:sub>
                        <m:r>
                          <a:rPr lang="en-US" sz="1000" b="0" i="1" smtClean="0">
                            <a:latin typeface="Cambria Math"/>
                          </a:rPr>
                          <m:t>𝑚</m:t>
                        </m:r>
                      </m:sub>
                    </m:sSub>
                    <m:r>
                      <a:rPr lang="en-US" sz="1000" b="0" i="1" smtClean="0">
                        <a:latin typeface="Cambria Math"/>
                      </a:rPr>
                      <m:t>=</m:t>
                    </m:r>
                    <m:f>
                      <m:fPr>
                        <m:ctrlPr>
                          <a:rPr lang="en-US" sz="1000" b="0" i="1" smtClean="0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000" b="0" i="1" smtClean="0">
                            <a:latin typeface="Cambria Math"/>
                          </a:rPr>
                          <m:t>𝑀</m:t>
                        </m:r>
                      </m:num>
                      <m:den>
                        <m:sSub>
                          <m:sSubPr>
                            <m:ctrlPr>
                              <a:rPr lang="en-US" sz="1000" b="0" i="1" smtClean="0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000" b="0" i="1" smtClean="0">
                                <a:latin typeface="Cambria Math"/>
                              </a:rPr>
                              <m:t>𝑅</m:t>
                            </m:r>
                          </m:e>
                          <m:sub>
                            <m:r>
                              <a:rPr lang="en-US" sz="1000" b="0" i="1" smtClean="0">
                                <a:latin typeface="Cambria Math"/>
                              </a:rPr>
                              <m:t>𝑏</m:t>
                            </m:r>
                          </m:sub>
                        </m:sSub>
                        <m:r>
                          <a:rPr lang="en-US" sz="1000" b="0" i="1" smtClean="0">
                            <a:latin typeface="Cambria Math"/>
                          </a:rPr>
                          <m:t>𝑏h</m:t>
                        </m:r>
                        <m:sPre>
                          <m:sPrePr>
                            <m:ctrlPr>
                              <a:rPr lang="en-US" sz="1000" b="0" i="1" smtClean="0">
                                <a:latin typeface="Cambria Math" panose="02040503050406030204" pitchFamily="18" charset="0"/>
                              </a:rPr>
                            </m:ctrlPr>
                          </m:sPrePr>
                          <m:sub>
                            <m:r>
                              <a:rPr lang="en-US" sz="1000" b="0" i="1" smtClean="0">
                                <a:latin typeface="Cambria Math"/>
                              </a:rPr>
                              <m:t>𝑜</m:t>
                            </m:r>
                          </m:sub>
                          <m:sup>
                            <m:r>
                              <a:rPr lang="en-US" sz="1000" b="0" i="1" smtClean="0">
                                <a:latin typeface="Cambria Math"/>
                              </a:rPr>
                              <m:t>2</m:t>
                            </m:r>
                          </m:sup>
                          <m:e/>
                        </m:sPre>
                      </m:den>
                    </m:f>
                    <m:r>
                      <a:rPr lang="en-US" sz="1000" b="0" i="1" smtClean="0">
                        <a:latin typeface="Cambria Math"/>
                      </a:rPr>
                      <m:t>               </m:t>
                    </m:r>
                    <m:sSub>
                      <m:sSubPr>
                        <m:ctrlPr>
                          <a:rPr lang="en-US" sz="1000" b="0" i="1" smtClean="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000" b="0" i="1" smtClean="0">
                            <a:latin typeface="Cambria Math"/>
                          </a:rPr>
                          <m:t>h</m:t>
                        </m:r>
                      </m:e>
                      <m:sub>
                        <m:r>
                          <a:rPr lang="en-US" sz="1000" b="0" i="1" smtClean="0">
                            <a:latin typeface="Cambria Math"/>
                          </a:rPr>
                          <m:t>0</m:t>
                        </m:r>
                      </m:sub>
                    </m:sSub>
                    <m:r>
                      <a:rPr lang="en-US" sz="1000" b="0" i="1" smtClean="0">
                        <a:latin typeface="Cambria Math"/>
                      </a:rPr>
                      <m:t>=</m:t>
                    </m:r>
                    <m:r>
                      <a:rPr lang="en-US" sz="1000" b="0" i="1" smtClean="0">
                        <a:latin typeface="Cambria Math"/>
                      </a:rPr>
                      <m:t>h</m:t>
                    </m:r>
                    <m:r>
                      <a:rPr lang="en-US" sz="1000" b="0" i="1" smtClean="0">
                        <a:latin typeface="Cambria Math"/>
                      </a:rPr>
                      <m:t>−</m:t>
                    </m:r>
                    <m:r>
                      <a:rPr lang="en-US" sz="1000" b="0" i="1" smtClean="0">
                        <a:latin typeface="Cambria Math"/>
                      </a:rPr>
                      <m:t>𝑎</m:t>
                    </m:r>
                  </m:oMath>
                </m:oMathPara>
              </a14:m>
              <a:endParaRPr lang="el-GR" sz="1000">
                <a:solidFill>
                  <a:schemeClr val="tx1"/>
                </a:solidFill>
                <a:latin typeface="+mn-lt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2" name="TextBox 1"/>
            <xdr:cNvSpPr txBox="1"/>
          </xdr:nvSpPr>
          <xdr:spPr>
            <a:xfrm>
              <a:off x="2079812" y="2075330"/>
              <a:ext cx="4454338" cy="44743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000" b="0" i="0">
                  <a:latin typeface="Cambria Math"/>
                </a:rPr>
                <a:t>𝐴</a:t>
              </a:r>
              <a:r>
                <a:rPr lang="en-US" sz="1000" b="0" i="0">
                  <a:latin typeface="Cambria Math" panose="02040503050406030204" pitchFamily="18" charset="0"/>
                </a:rPr>
                <a:t>_</a:t>
              </a:r>
              <a:r>
                <a:rPr lang="en-US" sz="1000" b="0" i="0">
                  <a:latin typeface="Cambria Math"/>
                </a:rPr>
                <a:t>𝑠=𝑀</a:t>
              </a:r>
              <a:r>
                <a:rPr lang="en-US" sz="1000" b="0" i="0">
                  <a:latin typeface="Cambria Math" panose="02040503050406030204" pitchFamily="18" charset="0"/>
                </a:rPr>
                <a:t>/(</a:t>
              </a:r>
              <a:r>
                <a:rPr lang="en-US" sz="1000" b="0" i="0">
                  <a:latin typeface="Cambria Math"/>
                </a:rPr>
                <a:t>𝑅</a:t>
              </a:r>
              <a:r>
                <a:rPr lang="en-US" sz="1000" b="0" i="0">
                  <a:latin typeface="Cambria Math" panose="02040503050406030204" pitchFamily="18" charset="0"/>
                </a:rPr>
                <a:t>_</a:t>
              </a:r>
              <a:r>
                <a:rPr lang="en-US" sz="1000" b="0" i="0">
                  <a:latin typeface="Cambria Math"/>
                </a:rPr>
                <a:t>𝑠</a:t>
              </a:r>
              <a:r>
                <a:rPr lang="el-GR" sz="1000" b="0" i="0" smtClean="0">
                  <a:latin typeface="Cambria Math"/>
                </a:rPr>
                <a:t> "</a:t>
              </a:r>
              <a:r>
                <a:rPr lang="el-GR" sz="1000" i="0" smtClean="0"/>
                <a:t>ζ</a:t>
              </a:r>
              <a:r>
                <a:rPr lang="el-GR" sz="1000" i="0" smtClean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 </a:t>
              </a:r>
              <a:r>
                <a:rPr lang="el-GR" sz="1000" i="0" smtClean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" </a:t>
              </a:r>
              <a:r>
                <a:rPr lang="en-US" sz="1000" b="0" i="0" smtClean="0">
                  <a:solidFill>
                    <a:schemeClr val="tx1"/>
                  </a:solidFill>
                  <a:latin typeface="Cambria Math"/>
                  <a:ea typeface="+mn-ea"/>
                  <a:cs typeface="+mn-cs"/>
                </a:rPr>
                <a:t>ℎ</a:t>
              </a:r>
              <a:r>
                <a:rPr lang="el-GR" sz="1000" b="0" i="0" smtClean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000" b="0" i="0" smtClean="0">
                  <a:solidFill>
                    <a:schemeClr val="tx1"/>
                  </a:solidFill>
                  <a:latin typeface="Cambria Math"/>
                  <a:ea typeface="+mn-ea"/>
                  <a:cs typeface="+mn-cs"/>
                </a:rPr>
                <a:t>𝑜</a:t>
              </a:r>
              <a:r>
                <a:rPr lang="en-US" sz="1000" b="0" i="0" smtClean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000" b="0" i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en-US" sz="1000" b="0" i="0">
                  <a:solidFill>
                    <a:schemeClr val="tx1"/>
                  </a:solidFill>
                  <a:latin typeface="Cambria Math"/>
                  <a:ea typeface="+mn-ea"/>
                  <a:cs typeface="+mn-cs"/>
                </a:rPr>
                <a:t> </a:t>
              </a:r>
              <a:r>
                <a:rPr lang="en-US" sz="1000" b="0" i="0">
                  <a:latin typeface="Cambria Math"/>
                </a:rPr>
                <a:t>          </a:t>
              </a:r>
              <a:r>
                <a:rPr lang="el-GR" sz="1000" i="0" smtClean="0">
                  <a:latin typeface="Cambria Math" panose="02040503050406030204" pitchFamily="18" charset="0"/>
                </a:rPr>
                <a:t>γ</a:t>
              </a:r>
              <a:r>
                <a:rPr lang="en-US" sz="1000" b="0" i="0" smtClean="0">
                  <a:latin typeface="Cambria Math" panose="02040503050406030204" pitchFamily="18" charset="0"/>
                </a:rPr>
                <a:t>"=0,5" (</a:t>
              </a:r>
              <a:r>
                <a:rPr lang="en-US" sz="1000" b="0" i="0" smtClean="0">
                  <a:latin typeface="Cambria Math"/>
                </a:rPr>
                <a:t>1+</a:t>
              </a:r>
              <a:r>
                <a:rPr lang="en-US" sz="1000" b="0" i="0" smtClean="0">
                  <a:latin typeface="Cambria Math" panose="02040503050406030204" pitchFamily="18" charset="0"/>
                </a:rPr>
                <a:t>√(</a:t>
              </a:r>
              <a:r>
                <a:rPr lang="en-US" sz="1000" b="0" i="0" smtClean="0">
                  <a:latin typeface="Cambria Math"/>
                </a:rPr>
                <a:t>1−2</a:t>
              </a:r>
              <a:r>
                <a:rPr lang="en-US" sz="1000" b="0" i="0" smtClean="0">
                  <a:latin typeface="Cambria Math"/>
                  <a:ea typeface="Cambria Math"/>
                </a:rPr>
                <a:t>𝛼</a:t>
              </a:r>
              <a:r>
                <a:rPr lang="en-US" sz="1000" b="0" i="0" smtClean="0">
                  <a:latin typeface="Cambria Math" panose="02040503050406030204" pitchFamily="18" charset="0"/>
                  <a:ea typeface="Cambria Math"/>
                </a:rPr>
                <a:t>_</a:t>
              </a:r>
              <a:r>
                <a:rPr lang="en-US" sz="1000" b="0" i="0" smtClean="0">
                  <a:latin typeface="Cambria Math"/>
                </a:rPr>
                <a:t>𝑚</a:t>
              </a:r>
              <a:r>
                <a:rPr lang="en-US" sz="1000" b="0" i="0" smtClean="0">
                  <a:latin typeface="Cambria Math" panose="02040503050406030204" pitchFamily="18" charset="0"/>
                </a:rPr>
                <a:t> ))</a:t>
              </a:r>
              <a:r>
                <a:rPr lang="en-US" sz="1000" b="0" i="0" smtClean="0">
                  <a:latin typeface="Cambria Math"/>
                </a:rPr>
                <a:t>         </a:t>
              </a:r>
              <a:r>
                <a:rPr lang="en-US" sz="1000" b="0" i="0" smtClean="0">
                  <a:latin typeface="Cambria Math"/>
                  <a:ea typeface="Cambria Math"/>
                </a:rPr>
                <a:t>𝛼</a:t>
              </a:r>
              <a:r>
                <a:rPr lang="en-US" sz="1000" b="0" i="0" smtClean="0">
                  <a:latin typeface="Cambria Math" panose="02040503050406030204" pitchFamily="18" charset="0"/>
                  <a:ea typeface="Cambria Math"/>
                </a:rPr>
                <a:t>_</a:t>
              </a:r>
              <a:r>
                <a:rPr lang="en-US" sz="1000" b="0" i="0" smtClean="0">
                  <a:latin typeface="Cambria Math"/>
                </a:rPr>
                <a:t>𝑚=𝑀</a:t>
              </a:r>
              <a:r>
                <a:rPr lang="en-US" sz="1000" b="0" i="0" smtClean="0">
                  <a:latin typeface="Cambria Math" panose="02040503050406030204" pitchFamily="18" charset="0"/>
                </a:rPr>
                <a:t>/(</a:t>
              </a:r>
              <a:r>
                <a:rPr lang="en-US" sz="1000" b="0" i="0" smtClean="0">
                  <a:latin typeface="Cambria Math"/>
                </a:rPr>
                <a:t>𝑅</a:t>
              </a:r>
              <a:r>
                <a:rPr lang="en-US" sz="1000" b="0" i="0" smtClean="0">
                  <a:latin typeface="Cambria Math" panose="02040503050406030204" pitchFamily="18" charset="0"/>
                </a:rPr>
                <a:t>_</a:t>
              </a:r>
              <a:r>
                <a:rPr lang="en-US" sz="1000" b="0" i="0" smtClean="0">
                  <a:latin typeface="Cambria Math"/>
                </a:rPr>
                <a:t>𝑏 𝑏ℎ</a:t>
              </a:r>
              <a:r>
                <a:rPr lang="en-US" sz="1000" b="0" i="0" smtClean="0">
                  <a:latin typeface="Cambria Math" panose="02040503050406030204" pitchFamily="18" charset="0"/>
                </a:rPr>
                <a:t>(_</a:t>
              </a:r>
              <a:r>
                <a:rPr lang="en-US" sz="1000" b="0" i="0" smtClean="0">
                  <a:latin typeface="Cambria Math"/>
                </a:rPr>
                <a:t>𝑜</a:t>
              </a:r>
              <a:r>
                <a:rPr lang="en-US" sz="1000" b="0" i="0" smtClean="0">
                  <a:latin typeface="Cambria Math" panose="02040503050406030204" pitchFamily="18" charset="0"/>
                </a:rPr>
                <a:t>^</a:t>
              </a:r>
              <a:r>
                <a:rPr lang="en-US" sz="1000" b="0" i="0" smtClean="0">
                  <a:latin typeface="Cambria Math"/>
                </a:rPr>
                <a:t>2</a:t>
              </a:r>
              <a:r>
                <a:rPr lang="en-US" sz="1000" b="0" i="0" smtClean="0">
                  <a:latin typeface="Cambria Math" panose="02040503050406030204" pitchFamily="18" charset="0"/>
                </a:rPr>
                <a:t>)  )</a:t>
              </a:r>
              <a:r>
                <a:rPr lang="en-US" sz="1000" b="0" i="0" smtClean="0">
                  <a:latin typeface="Cambria Math"/>
                </a:rPr>
                <a:t>                ℎ</a:t>
              </a:r>
              <a:r>
                <a:rPr lang="en-US" sz="1000" b="0" i="0" smtClean="0">
                  <a:latin typeface="Cambria Math" panose="02040503050406030204" pitchFamily="18" charset="0"/>
                </a:rPr>
                <a:t>_</a:t>
              </a:r>
              <a:r>
                <a:rPr lang="en-US" sz="1000" b="0" i="0" smtClean="0">
                  <a:latin typeface="Cambria Math"/>
                </a:rPr>
                <a:t>0=ℎ−𝑎</a:t>
              </a:r>
              <a:endParaRPr lang="el-GR" sz="1000" smtClean="0">
                <a:solidFill>
                  <a:schemeClr val="tx1"/>
                </a:solidFill>
                <a:latin typeface="+mn-lt"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53</xdr:col>
      <xdr:colOff>598004</xdr:colOff>
      <xdr:row>3</xdr:row>
      <xdr:rowOff>50938</xdr:rowOff>
    </xdr:from>
    <xdr:ext cx="1383177" cy="3938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00000000-0008-0000-0100-00000C000000}"/>
                </a:ext>
              </a:extLst>
            </xdr:cNvPr>
            <xdr:cNvSpPr txBox="1"/>
          </xdr:nvSpPr>
          <xdr:spPr>
            <a:xfrm>
              <a:off x="18927417" y="489916"/>
              <a:ext cx="1383177" cy="3938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0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000" b="0" i="1">
                            <a:latin typeface="Cambria Math"/>
                          </a:rPr>
                          <m:t>𝑞</m:t>
                        </m:r>
                      </m:e>
                      <m:sub>
                        <m:r>
                          <a:rPr lang="en-US" sz="1000" b="0" i="1">
                            <a:latin typeface="Cambria Math"/>
                          </a:rPr>
                          <m:t>𝑠𝑤</m:t>
                        </m:r>
                      </m:sub>
                    </m:sSub>
                    <m:r>
                      <a:rPr lang="en-US" sz="1000" b="0" i="1">
                        <a:latin typeface="Cambria Math"/>
                      </a:rPr>
                      <m:t>=</m:t>
                    </m:r>
                    <m:f>
                      <m:fPr>
                        <m:ctrlPr>
                          <a:rPr lang="en-US" sz="1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0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000" b="0" i="1">
                                <a:latin typeface="Cambria Math"/>
                              </a:rPr>
                              <m:t>𝑅</m:t>
                            </m:r>
                          </m:e>
                          <m:sub>
                            <m:r>
                              <a:rPr lang="en-US" sz="1000" b="0" i="1">
                                <a:latin typeface="Cambria Math"/>
                              </a:rPr>
                              <m:t>𝑠𝑤</m:t>
                            </m:r>
                          </m:sub>
                        </m:sSub>
                        <m:sSub>
                          <m:sSubPr>
                            <m:ctrlPr>
                              <a:rPr lang="en-US" sz="10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000" b="0" i="1">
                                <a:latin typeface="Cambria Math"/>
                              </a:rPr>
                              <m:t>𝐴</m:t>
                            </m:r>
                          </m:e>
                          <m:sub>
                            <m:r>
                              <a:rPr lang="en-US" sz="1000" b="0" i="1">
                                <a:latin typeface="Cambria Math"/>
                              </a:rPr>
                              <m:t>𝑠𝑤</m:t>
                            </m:r>
                          </m:sub>
                        </m:sSub>
                      </m:num>
                      <m:den>
                        <m:r>
                          <a:rPr lang="en-US" sz="1000" b="0" i="1">
                            <a:latin typeface="Cambria Math"/>
                          </a:rPr>
                          <m:t>𝑠</m:t>
                        </m:r>
                      </m:den>
                    </m:f>
                  </m:oMath>
                </m:oMathPara>
              </a14:m>
              <a:endParaRPr lang="en-US" sz="1000"/>
            </a:p>
          </xdr:txBody>
        </xdr:sp>
      </mc:Choice>
      <mc:Fallback xmlns="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00000000-0008-0000-0100-00000C000000}"/>
                </a:ext>
              </a:extLst>
            </xdr:cNvPr>
            <xdr:cNvSpPr txBox="1"/>
          </xdr:nvSpPr>
          <xdr:spPr>
            <a:xfrm>
              <a:off x="18927417" y="489916"/>
              <a:ext cx="1383177" cy="3938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pPr/>
              <a:r>
                <a:rPr lang="en-US" sz="1000" b="0" i="0">
                  <a:latin typeface="Cambria Math"/>
                </a:rPr>
                <a:t>𝑞</a:t>
              </a:r>
              <a:r>
                <a:rPr lang="en-US" sz="1000" b="0" i="0">
                  <a:latin typeface="Cambria Math" panose="02040503050406030204" pitchFamily="18" charset="0"/>
                </a:rPr>
                <a:t>_</a:t>
              </a:r>
              <a:r>
                <a:rPr lang="en-US" sz="1000" b="0" i="0">
                  <a:latin typeface="Cambria Math"/>
                </a:rPr>
                <a:t>𝑠𝑤=</a:t>
              </a:r>
              <a:r>
                <a:rPr lang="en-US" sz="1000" b="0" i="0">
                  <a:latin typeface="Cambria Math" panose="02040503050406030204" pitchFamily="18" charset="0"/>
                </a:rPr>
                <a:t>(</a:t>
              </a:r>
              <a:r>
                <a:rPr lang="en-US" sz="1000" b="0" i="0">
                  <a:latin typeface="Cambria Math"/>
                </a:rPr>
                <a:t>𝑅</a:t>
              </a:r>
              <a:r>
                <a:rPr lang="en-US" sz="1000" b="0" i="0">
                  <a:latin typeface="Cambria Math" panose="02040503050406030204" pitchFamily="18" charset="0"/>
                </a:rPr>
                <a:t>_</a:t>
              </a:r>
              <a:r>
                <a:rPr lang="en-US" sz="1000" b="0" i="0">
                  <a:latin typeface="Cambria Math"/>
                </a:rPr>
                <a:t>𝑠𝑤</a:t>
              </a:r>
              <a:r>
                <a:rPr lang="en-US" sz="1000" b="0" i="0">
                  <a:latin typeface="Cambria Math" panose="02040503050406030204" pitchFamily="18" charset="0"/>
                </a:rPr>
                <a:t> </a:t>
              </a:r>
              <a:r>
                <a:rPr lang="en-US" sz="1000" b="0" i="0">
                  <a:latin typeface="Cambria Math"/>
                </a:rPr>
                <a:t>𝐴</a:t>
              </a:r>
              <a:r>
                <a:rPr lang="en-US" sz="1000" b="0" i="0">
                  <a:latin typeface="Cambria Math" panose="02040503050406030204" pitchFamily="18" charset="0"/>
                </a:rPr>
                <a:t>_</a:t>
              </a:r>
              <a:r>
                <a:rPr lang="en-US" sz="1000" b="0" i="0">
                  <a:latin typeface="Cambria Math"/>
                </a:rPr>
                <a:t>𝑠𝑤</a:t>
              </a:r>
              <a:r>
                <a:rPr lang="en-US" sz="1000" b="0" i="0">
                  <a:latin typeface="Cambria Math" panose="02040503050406030204" pitchFamily="18" charset="0"/>
                </a:rPr>
                <a:t>)/</a:t>
              </a:r>
              <a:r>
                <a:rPr lang="en-US" sz="1000" b="0" i="0">
                  <a:latin typeface="Cambria Math"/>
                </a:rPr>
                <a:t>𝑠</a:t>
              </a:r>
              <a:endParaRPr lang="en-US" sz="1000"/>
            </a:p>
          </xdr:txBody>
        </xdr:sp>
      </mc:Fallback>
    </mc:AlternateContent>
    <xdr:clientData/>
  </xdr:oneCellAnchor>
  <xdr:oneCellAnchor>
    <xdr:from>
      <xdr:col>48</xdr:col>
      <xdr:colOff>49105</xdr:colOff>
      <xdr:row>11</xdr:row>
      <xdr:rowOff>102468</xdr:rowOff>
    </xdr:from>
    <xdr:ext cx="1307520" cy="44903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00000000-0008-0000-0100-00000F000000}"/>
                </a:ext>
              </a:extLst>
            </xdr:cNvPr>
            <xdr:cNvSpPr txBox="1"/>
          </xdr:nvSpPr>
          <xdr:spPr>
            <a:xfrm>
              <a:off x="15413344" y="2181403"/>
              <a:ext cx="1307520" cy="4490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US" sz="1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0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000" b="0" i="1">
                                <a:latin typeface="Cambria Math"/>
                              </a:rPr>
                              <m:t>𝐴</m:t>
                            </m:r>
                          </m:e>
                          <m:sub>
                            <m:r>
                              <a:rPr lang="en-US" sz="1000" b="0" i="1">
                                <a:latin typeface="Cambria Math"/>
                              </a:rPr>
                              <m:t>𝑠𝑤</m:t>
                            </m:r>
                          </m:sub>
                        </m:sSub>
                      </m:num>
                      <m:den>
                        <m:r>
                          <a:rPr lang="en-US" sz="1000" b="0" i="1">
                            <a:latin typeface="Cambria Math"/>
                          </a:rPr>
                          <m:t>𝑠</m:t>
                        </m:r>
                      </m:den>
                    </m:f>
                    <m:r>
                      <a:rPr lang="en-US" sz="1000" b="0" i="1">
                        <a:latin typeface="Cambria Math"/>
                      </a:rPr>
                      <m:t>=</m:t>
                    </m:r>
                    <m:f>
                      <m:fPr>
                        <m:ctrlPr>
                          <a:rPr lang="en-US" sz="1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b>
                            <m:r>
                              <a:rPr lang="en-US" sz="1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𝑠𝑤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𝑅</m:t>
                            </m:r>
                          </m:e>
                          <m:sub>
                            <m:r>
                              <a:rPr lang="en-US" sz="1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𝑠𝑤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000"/>
            </a:p>
          </xdr:txBody>
        </xdr:sp>
      </mc:Choice>
      <mc:Fallback xmlns="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00000000-0008-0000-0100-00000F000000}"/>
                </a:ext>
              </a:extLst>
            </xdr:cNvPr>
            <xdr:cNvSpPr txBox="1"/>
          </xdr:nvSpPr>
          <xdr:spPr>
            <a:xfrm>
              <a:off x="15413344" y="2181403"/>
              <a:ext cx="1307520" cy="4490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pPr/>
              <a:r>
                <a:rPr lang="en-US" sz="1000" b="0" i="0">
                  <a:latin typeface="Cambria Math"/>
                </a:rPr>
                <a:t>𝐴</a:t>
              </a:r>
              <a:r>
                <a:rPr lang="en-US" sz="1000" b="0" i="0">
                  <a:latin typeface="Cambria Math" panose="02040503050406030204" pitchFamily="18" charset="0"/>
                </a:rPr>
                <a:t>_</a:t>
              </a:r>
              <a:r>
                <a:rPr lang="en-US" sz="1000" b="0" i="0">
                  <a:latin typeface="Cambria Math"/>
                </a:rPr>
                <a:t>𝑠𝑤</a:t>
              </a:r>
              <a:r>
                <a:rPr lang="en-US" sz="1000" b="0" i="0">
                  <a:latin typeface="Cambria Math" panose="02040503050406030204" pitchFamily="18" charset="0"/>
                </a:rPr>
                <a:t>/</a:t>
              </a:r>
              <a:r>
                <a:rPr lang="en-US" sz="1000" b="0" i="0">
                  <a:latin typeface="Cambria Math"/>
                </a:rPr>
                <a:t>𝑠=</a:t>
              </a:r>
              <a:r>
                <a:rPr lang="en-US" sz="10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𝑞</a:t>
              </a:r>
              <a:r>
                <a:rPr lang="en-US" sz="10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0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𝑠𝑤</a:t>
              </a:r>
              <a:r>
                <a:rPr lang="en-US" sz="10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en-US" sz="10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𝑅</a:t>
              </a:r>
              <a:r>
                <a:rPr lang="en-US" sz="10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0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𝑠𝑤</a:t>
              </a:r>
              <a:r>
                <a:rPr lang="en-US" sz="10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endParaRPr lang="en-US" sz="1000"/>
            </a:p>
          </xdr:txBody>
        </xdr:sp>
      </mc:Fallback>
    </mc:AlternateContent>
    <xdr:clientData/>
  </xdr:oneCellAnchor>
  <xdr:twoCellAnchor editAs="oneCell">
    <xdr:from>
      <xdr:col>54</xdr:col>
      <xdr:colOff>351013</xdr:colOff>
      <xdr:row>5</xdr:row>
      <xdr:rowOff>103409</xdr:rowOff>
    </xdr:from>
    <xdr:to>
      <xdr:col>58</xdr:col>
      <xdr:colOff>464997</xdr:colOff>
      <xdr:row>12</xdr:row>
      <xdr:rowOff>93615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25252" y="1022779"/>
          <a:ext cx="2689875" cy="1348553"/>
        </a:xfrm>
        <a:prstGeom prst="rect">
          <a:avLst/>
        </a:prstGeom>
      </xdr:spPr>
    </xdr:pic>
    <xdr:clientData/>
  </xdr:twoCellAnchor>
  <xdr:twoCellAnchor editAs="oneCell">
    <xdr:from>
      <xdr:col>85</xdr:col>
      <xdr:colOff>147430</xdr:colOff>
      <xdr:row>1</xdr:row>
      <xdr:rowOff>84484</xdr:rowOff>
    </xdr:from>
    <xdr:to>
      <xdr:col>90</xdr:col>
      <xdr:colOff>304800</xdr:colOff>
      <xdr:row>12</xdr:row>
      <xdr:rowOff>54961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523655" y="341659"/>
          <a:ext cx="2357645" cy="2113602"/>
        </a:xfrm>
        <a:prstGeom prst="rect">
          <a:avLst/>
        </a:prstGeom>
      </xdr:spPr>
    </xdr:pic>
    <xdr:clientData/>
  </xdr:twoCellAnchor>
  <xdr:twoCellAnchor editAs="oneCell">
    <xdr:from>
      <xdr:col>101</xdr:col>
      <xdr:colOff>420565</xdr:colOff>
      <xdr:row>10</xdr:row>
      <xdr:rowOff>161925</xdr:rowOff>
    </xdr:from>
    <xdr:to>
      <xdr:col>102</xdr:col>
      <xdr:colOff>649480</xdr:colOff>
      <xdr:row>12</xdr:row>
      <xdr:rowOff>98995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5969115" y="2162175"/>
          <a:ext cx="667065" cy="337120"/>
        </a:xfrm>
        <a:prstGeom prst="rect">
          <a:avLst/>
        </a:prstGeom>
      </xdr:spPr>
    </xdr:pic>
    <xdr:clientData/>
  </xdr:twoCellAnchor>
  <xdr:twoCellAnchor editAs="oneCell">
    <xdr:from>
      <xdr:col>107</xdr:col>
      <xdr:colOff>139213</xdr:colOff>
      <xdr:row>11</xdr:row>
      <xdr:rowOff>733</xdr:rowOff>
    </xdr:from>
    <xdr:to>
      <xdr:col>108</xdr:col>
      <xdr:colOff>347103</xdr:colOff>
      <xdr:row>12</xdr:row>
      <xdr:rowOff>134815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9612063" y="2201008"/>
          <a:ext cx="750815" cy="33410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D19" sqref="D19"/>
    </sheetView>
  </sheetViews>
  <sheetFormatPr defaultRowHeight="12.7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0000"/>
    <pageSetUpPr fitToPage="1"/>
  </sheetPr>
  <dimension ref="A1:DH163"/>
  <sheetViews>
    <sheetView showGridLines="0" view="pageBreakPreview" topLeftCell="D1" zoomScaleNormal="100" zoomScaleSheetLayoutView="100" workbookViewId="0">
      <pane xSplit="2" ySplit="19" topLeftCell="F20" activePane="bottomRight" state="frozen"/>
      <selection activeCell="D1" sqref="D1"/>
      <selection pane="topRight" activeCell="F1" sqref="F1"/>
      <selection pane="bottomLeft" activeCell="D20" sqref="D20"/>
      <selection pane="bottomRight" activeCell="AO4" sqref="AO4"/>
    </sheetView>
  </sheetViews>
  <sheetFormatPr defaultRowHeight="12.75"/>
  <cols>
    <col min="1" max="3" width="6.7109375" style="26" hidden="1" customWidth="1"/>
    <col min="4" max="4" width="5.85546875" style="28" customWidth="1"/>
    <col min="5" max="5" width="10.5703125" style="28" customWidth="1"/>
    <col min="6" max="6" width="13" style="28" customWidth="1"/>
    <col min="7" max="7" width="7.85546875" style="28" customWidth="1"/>
    <col min="8" max="8" width="6.28515625" style="28" customWidth="1"/>
    <col min="9" max="9" width="4.7109375" style="28" customWidth="1"/>
    <col min="10" max="11" width="5.42578125" style="28" customWidth="1"/>
    <col min="12" max="12" width="4.85546875" style="28" bestFit="1" customWidth="1"/>
    <col min="13" max="13" width="6" style="28" hidden="1" customWidth="1"/>
    <col min="14" max="14" width="5.140625" style="28" bestFit="1" customWidth="1"/>
    <col min="15" max="15" width="6.28515625" style="28" customWidth="1"/>
    <col min="16" max="16" width="6.7109375" style="28" customWidth="1"/>
    <col min="17" max="17" width="6.28515625" style="28" hidden="1" customWidth="1"/>
    <col min="18" max="18" width="6" style="28" customWidth="1"/>
    <col min="19" max="19" width="7" style="28" customWidth="1"/>
    <col min="20" max="20" width="3" style="28" hidden="1" customWidth="1"/>
    <col min="21" max="21" width="5.28515625" style="28" hidden="1" customWidth="1"/>
    <col min="22" max="22" width="2" style="28" hidden="1" customWidth="1"/>
    <col min="23" max="23" width="3.140625" style="28" hidden="1" customWidth="1"/>
    <col min="24" max="24" width="5.85546875" style="28" hidden="1" customWidth="1"/>
    <col min="25" max="25" width="5.85546875" style="28" customWidth="1"/>
    <col min="26" max="26" width="6.42578125" style="28" bestFit="1" customWidth="1"/>
    <col min="27" max="27" width="6" style="28" hidden="1" customWidth="1"/>
    <col min="28" max="29" width="5.85546875" style="28" hidden="1" customWidth="1"/>
    <col min="30" max="31" width="6.42578125" style="28" hidden="1" customWidth="1"/>
    <col min="32" max="32" width="11.140625" style="28" hidden="1" customWidth="1"/>
    <col min="33" max="33" width="4.5703125" style="28" customWidth="1"/>
    <col min="34" max="34" width="5.85546875" style="28" customWidth="1"/>
    <col min="35" max="35" width="6.7109375" style="28" customWidth="1"/>
    <col min="36" max="36" width="6.5703125" style="28" customWidth="1"/>
    <col min="37" max="37" width="6.7109375" style="28" customWidth="1"/>
    <col min="38" max="38" width="6" style="109" hidden="1" customWidth="1"/>
    <col min="39" max="39" width="7.85546875" style="109" customWidth="1"/>
    <col min="40" max="40" width="9.85546875" style="109" customWidth="1"/>
    <col min="41" max="41" width="7" style="109" customWidth="1"/>
    <col min="42" max="42" width="10.140625" style="109" customWidth="1"/>
    <col min="43" max="43" width="2.7109375" style="118" customWidth="1"/>
    <col min="44" max="44" width="6.5703125" style="109" customWidth="1"/>
    <col min="45" max="45" width="4.28515625" style="109" customWidth="1"/>
    <col min="46" max="46" width="6.28515625" style="109" customWidth="1"/>
    <col min="47" max="47" width="2.7109375" style="58" customWidth="1"/>
    <col min="48" max="48" width="9.140625" style="27"/>
    <col min="49" max="49" width="10.28515625" style="27" customWidth="1"/>
    <col min="50" max="50" width="9.5703125" style="27" customWidth="1"/>
    <col min="51" max="52" width="9.28515625" style="27" bestFit="1" customWidth="1"/>
    <col min="53" max="53" width="8" style="27" customWidth="1"/>
    <col min="54" max="55" width="10.7109375" style="27" customWidth="1"/>
    <col min="56" max="60" width="9.28515625" style="27" bestFit="1" customWidth="1"/>
    <col min="61" max="61" width="6.7109375" style="27" customWidth="1"/>
    <col min="62" max="62" width="7.140625" style="27" customWidth="1"/>
    <col min="63" max="64" width="9.28515625" style="27" bestFit="1" customWidth="1"/>
    <col min="65" max="65" width="9.5703125" style="27" customWidth="1"/>
    <col min="66" max="67" width="7.42578125" style="27" customWidth="1"/>
    <col min="68" max="68" width="9.28515625" style="27" bestFit="1" customWidth="1"/>
    <col min="69" max="69" width="9.7109375" style="27" customWidth="1"/>
    <col min="70" max="70" width="8.140625" style="27" customWidth="1"/>
    <col min="71" max="71" width="4.5703125" style="58" customWidth="1"/>
    <col min="72" max="72" width="2" style="27" customWidth="1"/>
    <col min="73" max="75" width="9.140625" style="27"/>
    <col min="76" max="76" width="13.85546875" style="27" customWidth="1"/>
    <col min="77" max="77" width="5.42578125" style="27" customWidth="1"/>
    <col min="78" max="78" width="5.140625" style="27" customWidth="1"/>
    <col min="79" max="79" width="4.42578125" style="27" customWidth="1"/>
    <col min="80" max="80" width="6.42578125" style="27" customWidth="1"/>
    <col min="81" max="81" width="5.7109375" style="27" customWidth="1"/>
    <col min="82" max="82" width="6.42578125" style="27" customWidth="1"/>
    <col min="83" max="83" width="7" style="27" customWidth="1"/>
    <col min="84" max="84" width="7.42578125" style="27" customWidth="1"/>
    <col min="85" max="85" width="9.28515625" style="27" customWidth="1"/>
    <col min="86" max="86" width="7" style="27" customWidth="1"/>
    <col min="87" max="87" width="6.140625" style="27" customWidth="1"/>
    <col min="88" max="88" width="10.28515625" style="27" customWidth="1"/>
    <col min="89" max="89" width="4" style="27" customWidth="1"/>
    <col min="90" max="90" width="5.5703125" style="27" customWidth="1"/>
    <col min="91" max="91" width="4.85546875" style="27" customWidth="1"/>
    <col min="92" max="92" width="6.42578125" style="27" customWidth="1"/>
    <col min="93" max="93" width="5.28515625" style="27" customWidth="1"/>
    <col min="94" max="94" width="6.42578125" style="27" customWidth="1"/>
    <col min="95" max="95" width="7.42578125" style="27" customWidth="1"/>
    <col min="96" max="96" width="7.28515625" style="27" customWidth="1"/>
    <col min="97" max="97" width="8.85546875" style="27" customWidth="1"/>
    <col min="98" max="98" width="6.85546875" style="27" customWidth="1"/>
    <col min="99" max="99" width="6.28515625" style="27" customWidth="1"/>
    <col min="100" max="100" width="9.140625" style="27"/>
    <col min="101" max="101" width="5.7109375" style="27" customWidth="1"/>
    <col min="102" max="102" width="6.5703125" style="27" customWidth="1"/>
    <col min="103" max="103" width="14.85546875" style="27" customWidth="1"/>
    <col min="104" max="104" width="5.85546875" style="27" customWidth="1"/>
    <col min="105" max="106" width="10.85546875" style="27" customWidth="1"/>
    <col min="107" max="107" width="10.140625" style="27" customWidth="1"/>
    <col min="108" max="108" width="8.140625" style="27" customWidth="1"/>
    <col min="109" max="109" width="7.140625" style="27" customWidth="1"/>
    <col min="110" max="110" width="8" style="27" customWidth="1"/>
    <col min="111" max="111" width="11.7109375" style="27" customWidth="1"/>
    <col min="112" max="112" width="11.5703125" style="27" customWidth="1"/>
    <col min="113" max="16384" width="9.140625" style="27"/>
  </cols>
  <sheetData>
    <row r="1" spans="1:112" ht="20.25" customHeight="1" thickBot="1">
      <c r="D1" s="209" t="s">
        <v>339</v>
      </c>
      <c r="E1" s="209"/>
      <c r="F1" s="209"/>
      <c r="G1" s="209"/>
      <c r="H1" s="209"/>
      <c r="I1" s="209"/>
      <c r="J1" s="209"/>
      <c r="K1" s="209"/>
      <c r="L1" s="209"/>
      <c r="M1" s="209"/>
      <c r="N1" s="209"/>
      <c r="O1" s="209"/>
      <c r="P1" s="209"/>
      <c r="Q1" s="209"/>
      <c r="R1" s="209"/>
      <c r="S1" s="209"/>
      <c r="T1" s="209"/>
      <c r="U1" s="209"/>
      <c r="V1" s="209"/>
      <c r="W1" s="209"/>
      <c r="X1" s="209"/>
      <c r="Y1" s="209"/>
      <c r="Z1" s="209"/>
      <c r="AA1" s="209"/>
      <c r="AB1" s="209"/>
      <c r="AC1" s="209"/>
      <c r="AD1" s="209"/>
      <c r="AE1" s="209"/>
      <c r="AF1" s="209"/>
      <c r="AG1" s="209"/>
      <c r="AH1" s="209"/>
      <c r="AI1" s="209"/>
      <c r="AJ1" s="209"/>
      <c r="AK1" s="209"/>
      <c r="AL1" s="108">
        <f>0.25*$K$4*G20</f>
        <v>287.5</v>
      </c>
      <c r="AM1" s="108"/>
      <c r="AN1" s="108"/>
      <c r="AO1" s="108"/>
      <c r="AP1" s="108"/>
      <c r="AQ1" s="117"/>
      <c r="AR1" s="108"/>
      <c r="AS1" s="108"/>
      <c r="AT1" s="108"/>
      <c r="AU1" s="27"/>
      <c r="AV1" s="210" t="s">
        <v>76</v>
      </c>
      <c r="AW1" s="211"/>
      <c r="AX1" s="211"/>
      <c r="AY1" s="211"/>
      <c r="AZ1" s="211"/>
      <c r="BA1" s="211"/>
      <c r="BB1" s="211"/>
      <c r="BC1" s="211"/>
      <c r="BD1" s="211"/>
      <c r="BE1" s="211"/>
      <c r="BF1" s="211"/>
      <c r="BG1" s="211"/>
      <c r="BH1" s="211"/>
      <c r="BI1" s="211"/>
      <c r="BJ1" s="211"/>
      <c r="BK1" s="211"/>
      <c r="BL1" s="211"/>
      <c r="BM1" s="211"/>
      <c r="BN1" s="211"/>
      <c r="BO1" s="211"/>
      <c r="BP1" s="211"/>
      <c r="BQ1" s="211"/>
      <c r="BR1" s="212"/>
      <c r="BS1" s="66"/>
      <c r="BT1" s="213" t="s">
        <v>88</v>
      </c>
      <c r="BU1" s="214"/>
      <c r="BV1" s="214"/>
      <c r="BW1" s="214"/>
      <c r="BX1" s="214"/>
      <c r="BY1" s="214"/>
      <c r="BZ1" s="214"/>
      <c r="CA1" s="214"/>
      <c r="CB1" s="214"/>
      <c r="CC1" s="214"/>
      <c r="CD1" s="214"/>
      <c r="CE1" s="214"/>
      <c r="CF1" s="214"/>
      <c r="CG1" s="214"/>
      <c r="CH1" s="214"/>
      <c r="CI1" s="214"/>
      <c r="CJ1" s="214"/>
      <c r="CK1" s="214"/>
      <c r="CL1" s="214"/>
      <c r="CM1" s="214"/>
      <c r="CN1" s="214"/>
      <c r="CO1" s="214"/>
      <c r="CP1" s="214"/>
      <c r="CQ1" s="214"/>
      <c r="CR1" s="214"/>
      <c r="CS1" s="214"/>
      <c r="CT1" s="214"/>
      <c r="CU1" s="214"/>
      <c r="CV1" s="214"/>
      <c r="CW1" s="214"/>
      <c r="CX1" s="214"/>
      <c r="CY1" s="214"/>
      <c r="CZ1" s="214"/>
    </row>
    <row r="2" spans="1:112" ht="18.75" customHeight="1"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  <c r="O2" s="209"/>
      <c r="P2" s="209"/>
      <c r="Q2" s="209"/>
      <c r="R2" s="209"/>
      <c r="S2" s="209"/>
      <c r="T2" s="209"/>
      <c r="U2" s="209"/>
      <c r="V2" s="209"/>
      <c r="W2" s="209"/>
      <c r="X2" s="209"/>
      <c r="Y2" s="209"/>
      <c r="Z2" s="209"/>
      <c r="AA2" s="209"/>
      <c r="AB2" s="209"/>
      <c r="AC2" s="209"/>
      <c r="AD2" s="209"/>
      <c r="AE2" s="209"/>
      <c r="AF2" s="209"/>
      <c r="AG2" s="209"/>
      <c r="AH2" s="209"/>
      <c r="AI2" s="209"/>
      <c r="AJ2" s="209"/>
      <c r="AK2" s="209"/>
      <c r="AU2" s="27">
        <v>1</v>
      </c>
      <c r="AV2" s="27" t="s">
        <v>77</v>
      </c>
      <c r="AW2" s="143"/>
      <c r="AX2" s="143"/>
      <c r="AY2" s="143"/>
      <c r="AZ2" s="143"/>
      <c r="BA2" s="143"/>
      <c r="BB2" s="143"/>
      <c r="BC2" s="143"/>
      <c r="BD2" s="143"/>
      <c r="BE2" s="143"/>
      <c r="BF2" s="143"/>
      <c r="BG2" s="143"/>
      <c r="BI2" s="143"/>
      <c r="BJ2" s="143"/>
      <c r="BK2" s="143"/>
      <c r="BL2" s="143"/>
      <c r="BM2" s="143"/>
      <c r="BN2" s="143"/>
      <c r="BO2" s="143"/>
      <c r="BP2" s="143"/>
      <c r="BR2" s="143"/>
      <c r="BS2" s="65"/>
    </row>
    <row r="3" spans="1:112" ht="13.5" customHeight="1">
      <c r="A3" s="29"/>
      <c r="B3" s="29"/>
      <c r="C3" s="29"/>
      <c r="D3" s="64" t="s">
        <v>21</v>
      </c>
      <c r="E3" s="30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2"/>
      <c r="U3" s="33"/>
      <c r="V3" s="33"/>
      <c r="W3" s="215"/>
      <c r="X3" s="215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110"/>
      <c r="AM3" s="110"/>
      <c r="AN3" s="110"/>
      <c r="AO3" s="110"/>
      <c r="AP3" s="110"/>
      <c r="AQ3" s="119"/>
      <c r="AR3" s="110"/>
      <c r="AS3" s="110"/>
      <c r="AT3" s="110"/>
      <c r="AU3" s="27"/>
      <c r="AV3" s="27" t="s">
        <v>247</v>
      </c>
      <c r="AW3" s="143"/>
      <c r="AX3" s="143"/>
      <c r="AY3" s="143"/>
      <c r="AZ3" s="143"/>
      <c r="BA3" s="143"/>
      <c r="BB3" s="143"/>
      <c r="BC3" s="143"/>
      <c r="BD3" s="143"/>
      <c r="BE3" s="143"/>
      <c r="BF3" s="143"/>
      <c r="BG3" s="143"/>
      <c r="BH3" s="27">
        <v>4</v>
      </c>
      <c r="BI3" s="27" t="s">
        <v>289</v>
      </c>
      <c r="BJ3" s="143"/>
      <c r="BK3" s="143"/>
      <c r="BL3" s="143"/>
      <c r="BM3" s="143"/>
      <c r="BN3" s="143"/>
      <c r="BO3" s="143"/>
      <c r="BP3" s="143"/>
      <c r="BR3" s="143"/>
      <c r="BS3" s="65"/>
    </row>
    <row r="4" spans="1:112" ht="15.75" customHeight="1">
      <c r="A4" s="29"/>
      <c r="B4" s="29"/>
      <c r="C4" s="29"/>
      <c r="D4" s="35" t="s">
        <v>28</v>
      </c>
      <c r="F4" s="36" t="s">
        <v>0</v>
      </c>
      <c r="G4" s="37" t="s">
        <v>57</v>
      </c>
      <c r="H4" s="38">
        <f>HLOOKUP($F$4,'Bang tra'!$B$5:$M$10,2,0)</f>
        <v>17</v>
      </c>
      <c r="I4" s="35" t="s">
        <v>9</v>
      </c>
      <c r="J4" s="37" t="s">
        <v>58</v>
      </c>
      <c r="K4" s="39">
        <f>HLOOKUP($F$4,'Bang tra'!$B$5:$M$10,3,0)</f>
        <v>1.1499999999999999</v>
      </c>
      <c r="L4" s="35" t="s">
        <v>9</v>
      </c>
      <c r="N4" s="37" t="s">
        <v>59</v>
      </c>
      <c r="O4" s="40">
        <f>HLOOKUP($F$4,'Bang tra'!$B$5:$M$10,6,0)</f>
        <v>32500</v>
      </c>
      <c r="P4" s="41" t="s">
        <v>9</v>
      </c>
      <c r="AF4" s="59"/>
      <c r="AG4" s="59"/>
      <c r="AH4" s="59"/>
      <c r="AI4" s="59"/>
      <c r="AJ4" s="59"/>
      <c r="AK4" s="59"/>
      <c r="AL4" s="111"/>
      <c r="AM4" s="111"/>
      <c r="AN4" s="111"/>
      <c r="AO4" s="111"/>
      <c r="AP4" s="111"/>
      <c r="AQ4" s="120"/>
      <c r="AR4" s="111"/>
      <c r="AS4" s="111"/>
      <c r="AT4" s="111"/>
      <c r="AU4" s="27"/>
      <c r="AV4" s="27" t="s">
        <v>253</v>
      </c>
      <c r="AX4" s="27" t="s">
        <v>252</v>
      </c>
      <c r="AZ4" s="143"/>
      <c r="BA4" s="27" t="s">
        <v>248</v>
      </c>
      <c r="BB4" s="143"/>
      <c r="BC4" s="143"/>
      <c r="BG4" s="143"/>
      <c r="BI4" s="143"/>
      <c r="BJ4" s="143"/>
      <c r="BK4" s="143"/>
      <c r="BL4" s="143"/>
      <c r="BM4" s="143"/>
      <c r="BN4" s="143"/>
      <c r="BO4" s="143"/>
      <c r="BP4" s="143"/>
      <c r="BR4" s="143"/>
      <c r="BS4" s="65"/>
    </row>
    <row r="5" spans="1:112" ht="13.5" customHeight="1">
      <c r="A5" s="29"/>
      <c r="B5" s="29"/>
      <c r="C5" s="29"/>
      <c r="F5" s="45"/>
      <c r="J5" s="37" t="s">
        <v>61</v>
      </c>
      <c r="K5" s="39">
        <f>HLOOKUP($F$4,'Bang tra'!$B$5:$M$10,4,0)</f>
        <v>22</v>
      </c>
      <c r="L5" s="35" t="s">
        <v>9</v>
      </c>
      <c r="U5" s="46"/>
      <c r="AF5" s="59"/>
      <c r="AG5" s="59"/>
      <c r="AH5" s="59"/>
      <c r="AI5" s="59"/>
      <c r="AJ5" s="59"/>
      <c r="AK5" s="59"/>
      <c r="AL5" s="111"/>
      <c r="AM5" s="111"/>
      <c r="AN5" s="111"/>
      <c r="AO5" s="111"/>
      <c r="AP5" s="111"/>
      <c r="AQ5" s="120"/>
      <c r="AR5" s="111"/>
      <c r="AS5" s="111"/>
      <c r="AT5" s="111"/>
      <c r="AU5" s="27"/>
      <c r="AV5" s="27" t="s">
        <v>249</v>
      </c>
      <c r="AZ5" s="144"/>
      <c r="BB5" s="27" t="s">
        <v>251</v>
      </c>
      <c r="BI5" s="143"/>
      <c r="BJ5" s="143"/>
      <c r="BK5" s="143"/>
      <c r="BL5" s="143"/>
      <c r="BM5" s="143"/>
      <c r="BN5" s="143"/>
      <c r="BO5" s="143"/>
      <c r="BP5" s="143"/>
      <c r="BQ5" s="143"/>
      <c r="BR5" s="143"/>
      <c r="BS5" s="65"/>
    </row>
    <row r="6" spans="1:112" ht="14.25" customHeight="1">
      <c r="D6" s="28" t="s">
        <v>29</v>
      </c>
      <c r="E6" s="37" t="s">
        <v>227</v>
      </c>
      <c r="F6" s="49" t="s">
        <v>46</v>
      </c>
      <c r="G6" s="37" t="s">
        <v>63</v>
      </c>
      <c r="H6" s="40">
        <f>HLOOKUP($F$6,'Bang tra'!$B$14:$I$19,3,0)</f>
        <v>435</v>
      </c>
      <c r="I6" s="35" t="s">
        <v>9</v>
      </c>
      <c r="J6" s="37" t="s">
        <v>64</v>
      </c>
      <c r="K6" s="40">
        <f>HLOOKUP($F$6,'Bang tra'!$B$14:$I$19,4,0)</f>
        <v>400</v>
      </c>
      <c r="L6" s="35" t="s">
        <v>9</v>
      </c>
      <c r="N6" s="37" t="s">
        <v>65</v>
      </c>
      <c r="O6" s="40">
        <f>HLOOKUP($F$6,'Bang tra'!$B$14:$I$19,5,0)</f>
        <v>300</v>
      </c>
      <c r="P6" s="35" t="s">
        <v>9</v>
      </c>
      <c r="R6" s="37" t="s">
        <v>66</v>
      </c>
      <c r="S6" s="40">
        <f>HLOOKUP($F$6,'Bang tra'!$B$14:$I$19,6,0)</f>
        <v>200000</v>
      </c>
      <c r="T6" s="41" t="s">
        <v>9</v>
      </c>
      <c r="U6" s="50"/>
      <c r="AF6" s="50"/>
      <c r="AG6" s="50"/>
      <c r="AH6" s="50"/>
      <c r="AI6" s="50"/>
      <c r="AJ6" s="50"/>
      <c r="AK6" s="50"/>
      <c r="AL6" s="112"/>
      <c r="AM6" s="112"/>
      <c r="AN6" s="112"/>
      <c r="AO6" s="112"/>
      <c r="AP6" s="112"/>
      <c r="AQ6" s="121"/>
      <c r="AR6" s="112"/>
      <c r="AS6" s="112"/>
      <c r="AT6" s="112"/>
      <c r="AU6" s="27"/>
      <c r="AV6" s="27" t="s">
        <v>267</v>
      </c>
      <c r="AX6" s="27" t="s">
        <v>268</v>
      </c>
      <c r="AZ6" s="144" t="s">
        <v>269</v>
      </c>
    </row>
    <row r="7" spans="1:112" ht="15.75" customHeight="1">
      <c r="E7" s="37" t="s">
        <v>22</v>
      </c>
      <c r="F7" s="49" t="s">
        <v>19</v>
      </c>
      <c r="G7" s="37" t="s">
        <v>63</v>
      </c>
      <c r="H7" s="40">
        <f>HLOOKUP($F$7,'Bang tra'!$B$14:$I$19,3,0)</f>
        <v>260</v>
      </c>
      <c r="I7" s="35" t="s">
        <v>9</v>
      </c>
      <c r="J7" s="37" t="s">
        <v>67</v>
      </c>
      <c r="K7" s="40">
        <f>HLOOKUP($F$7,'Bang tra'!$B$14:$I$19,4,0)</f>
        <v>260</v>
      </c>
      <c r="L7" s="35" t="s">
        <v>9</v>
      </c>
      <c r="N7" s="37" t="s">
        <v>65</v>
      </c>
      <c r="O7" s="40">
        <f>HLOOKUP($F$7,'Bang tra'!$B$14:$I$19,5,0)</f>
        <v>210</v>
      </c>
      <c r="P7" s="35" t="s">
        <v>9</v>
      </c>
      <c r="Q7" s="37"/>
      <c r="R7" s="37"/>
      <c r="S7" s="37"/>
      <c r="T7" s="37"/>
      <c r="U7" s="37"/>
      <c r="V7" s="37"/>
      <c r="W7" s="37"/>
      <c r="Y7" s="52"/>
      <c r="Z7" s="52"/>
      <c r="AA7" s="52"/>
      <c r="AB7" s="52"/>
      <c r="AC7" s="32"/>
      <c r="AD7" s="32"/>
      <c r="AF7" s="52"/>
      <c r="AG7" s="52"/>
      <c r="AH7" s="52"/>
      <c r="AI7" s="52"/>
      <c r="AJ7" s="52"/>
      <c r="AK7" s="52"/>
      <c r="AL7" s="113"/>
      <c r="AM7" s="113"/>
      <c r="AN7" s="113"/>
      <c r="AO7" s="113"/>
      <c r="AP7" s="113"/>
      <c r="AQ7" s="122"/>
      <c r="AR7" s="113"/>
      <c r="AS7" s="113"/>
      <c r="AT7" s="113"/>
      <c r="AU7" s="27">
        <v>2</v>
      </c>
      <c r="AV7" s="27" t="s">
        <v>250</v>
      </c>
      <c r="AZ7" s="144"/>
      <c r="BA7" s="143"/>
      <c r="BD7" s="143"/>
      <c r="BE7" s="143"/>
      <c r="BF7" s="143"/>
      <c r="BG7" s="143"/>
    </row>
    <row r="8" spans="1:112" ht="14.25" customHeight="1">
      <c r="E8" s="37" t="s">
        <v>228</v>
      </c>
      <c r="F8" s="49" t="s">
        <v>46</v>
      </c>
      <c r="G8" s="37" t="s">
        <v>63</v>
      </c>
      <c r="H8" s="40">
        <f>HLOOKUP(F8,'Bang tra'!$B$14:$I$19,3,0)</f>
        <v>435</v>
      </c>
      <c r="I8" s="35" t="s">
        <v>9</v>
      </c>
      <c r="J8" s="37" t="s">
        <v>67</v>
      </c>
      <c r="K8" s="40">
        <f>HLOOKUP(F8,'Bang tra'!$B$14:$I$19,4,0)</f>
        <v>400</v>
      </c>
      <c r="L8" s="35" t="s">
        <v>9</v>
      </c>
      <c r="N8" s="37" t="s">
        <v>65</v>
      </c>
      <c r="O8" s="40">
        <f>HLOOKUP(F8,'Bang tra'!$B$14:$I$19,5,0)</f>
        <v>300</v>
      </c>
      <c r="P8" s="35" t="s">
        <v>9</v>
      </c>
      <c r="Q8" s="37"/>
      <c r="R8" s="37"/>
      <c r="S8" s="37"/>
      <c r="T8" s="37"/>
      <c r="U8" s="37"/>
      <c r="V8" s="37"/>
      <c r="W8" s="37"/>
      <c r="Y8" s="52"/>
      <c r="Z8" s="52"/>
      <c r="AA8" s="52"/>
      <c r="AB8" s="52"/>
      <c r="AC8" s="32"/>
      <c r="AD8" s="32"/>
      <c r="AF8" s="52"/>
      <c r="AG8" s="52"/>
      <c r="AH8" s="52"/>
      <c r="AI8" s="52"/>
      <c r="AJ8" s="52"/>
      <c r="AK8" s="52"/>
      <c r="AL8" s="113"/>
      <c r="AM8" s="113"/>
      <c r="AN8" s="113"/>
      <c r="AO8" s="113"/>
      <c r="AP8" s="113"/>
      <c r="AQ8" s="122"/>
      <c r="AR8" s="113"/>
      <c r="AS8" s="113"/>
      <c r="AT8" s="113"/>
      <c r="AU8" s="27"/>
      <c r="AZ8" s="144"/>
      <c r="BB8" s="143"/>
      <c r="BC8" s="143"/>
    </row>
    <row r="9" spans="1:112" ht="15.75" customHeight="1">
      <c r="D9" s="28" t="s">
        <v>83</v>
      </c>
      <c r="E9" s="37"/>
      <c r="F9" s="57"/>
      <c r="G9" s="37"/>
      <c r="H9" s="40"/>
      <c r="I9" s="35"/>
      <c r="J9" s="37"/>
      <c r="K9" s="40"/>
      <c r="L9" s="40"/>
      <c r="M9" s="35"/>
      <c r="N9" s="37"/>
      <c r="O9" s="40"/>
      <c r="P9" s="35"/>
      <c r="Q9" s="37"/>
      <c r="R9" s="37"/>
      <c r="S9" s="37"/>
      <c r="T9" s="37"/>
      <c r="U9" s="37"/>
      <c r="V9" s="37"/>
      <c r="W9" s="37"/>
      <c r="Y9" s="52"/>
      <c r="Z9" s="52"/>
      <c r="AA9" s="52"/>
      <c r="AB9" s="52"/>
      <c r="AC9" s="32"/>
      <c r="AD9" s="32"/>
      <c r="AF9" s="52"/>
      <c r="AG9" s="52"/>
      <c r="AH9" s="52"/>
      <c r="AI9" s="52"/>
      <c r="AJ9" s="52"/>
      <c r="AK9" s="52"/>
      <c r="AL9" s="113"/>
      <c r="AM9" s="113"/>
      <c r="AN9" s="113"/>
      <c r="AO9" s="113"/>
      <c r="AP9" s="113"/>
      <c r="AQ9" s="122"/>
      <c r="AR9" s="113"/>
      <c r="AS9" s="113"/>
      <c r="AT9" s="113"/>
      <c r="AU9" s="27"/>
      <c r="AV9" s="145" t="s">
        <v>254</v>
      </c>
      <c r="AW9" s="136" t="s">
        <v>256</v>
      </c>
      <c r="AX9" s="136" t="s">
        <v>257</v>
      </c>
      <c r="AY9" s="136" t="s">
        <v>258</v>
      </c>
      <c r="AZ9" s="136" t="s">
        <v>255</v>
      </c>
      <c r="BB9" s="143"/>
      <c r="BC9" s="143"/>
    </row>
    <row r="10" spans="1:112" ht="15.75" customHeight="1">
      <c r="E10" s="33"/>
      <c r="F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52"/>
      <c r="U10" s="52"/>
      <c r="V10" s="52"/>
      <c r="W10" s="52"/>
      <c r="X10" s="52"/>
      <c r="Y10" s="52"/>
      <c r="Z10" s="52"/>
      <c r="AA10" s="52"/>
      <c r="AB10" s="52"/>
      <c r="AC10" s="52"/>
      <c r="AD10" s="32"/>
      <c r="AE10" s="32"/>
      <c r="AF10" s="52"/>
      <c r="AG10" s="52"/>
      <c r="AH10" s="52"/>
      <c r="AI10" s="52"/>
      <c r="AJ10" s="52"/>
      <c r="AK10" s="52"/>
      <c r="AL10" s="113"/>
      <c r="AM10" s="113"/>
      <c r="AN10" s="113"/>
      <c r="AO10" s="113"/>
      <c r="AP10" s="113"/>
      <c r="AQ10" s="122"/>
      <c r="AR10" s="113"/>
      <c r="AS10" s="113"/>
      <c r="AT10" s="113"/>
      <c r="AU10" s="27"/>
      <c r="AV10" s="145" t="s">
        <v>259</v>
      </c>
      <c r="AW10" s="145" t="s">
        <v>260</v>
      </c>
      <c r="AX10" s="145" t="s">
        <v>261</v>
      </c>
      <c r="AY10" s="145" t="s">
        <v>262</v>
      </c>
      <c r="AZ10" s="145" t="s">
        <v>263</v>
      </c>
      <c r="BA10" s="143"/>
      <c r="BB10" s="143"/>
      <c r="BC10" s="143"/>
      <c r="BG10" s="146"/>
    </row>
    <row r="11" spans="1:112" ht="15.75" customHeight="1">
      <c r="D11" s="42" t="s">
        <v>54</v>
      </c>
      <c r="F11" s="33"/>
      <c r="I11" s="43" t="s">
        <v>60</v>
      </c>
      <c r="J11" s="44">
        <f>0.85*0.7</f>
        <v>0.59499999999999997</v>
      </c>
      <c r="K11" s="33"/>
      <c r="L11" s="32"/>
      <c r="M11" s="32"/>
      <c r="N11" s="32"/>
      <c r="O11" s="32"/>
      <c r="P11" s="32"/>
      <c r="Q11" s="32"/>
      <c r="R11" s="32"/>
      <c r="S11" s="32"/>
      <c r="T11" s="52"/>
      <c r="U11" s="52"/>
      <c r="V11" s="52"/>
      <c r="W11" s="52"/>
      <c r="X11" s="52"/>
      <c r="Y11" s="52"/>
      <c r="Z11" s="52"/>
      <c r="AA11" s="52"/>
      <c r="AB11" s="52"/>
      <c r="AC11" s="52"/>
      <c r="AD11" s="32"/>
      <c r="AE11" s="32"/>
      <c r="AF11" s="52"/>
      <c r="AG11" s="52"/>
      <c r="AH11" s="52"/>
      <c r="AI11" s="52"/>
      <c r="AJ11" s="52"/>
      <c r="AK11" s="52"/>
      <c r="AL11" s="113"/>
      <c r="AM11" s="113"/>
      <c r="AN11" s="113"/>
      <c r="AO11" s="113"/>
      <c r="AP11" s="113"/>
      <c r="AQ11" s="122"/>
      <c r="AR11" s="113"/>
      <c r="AS11" s="113"/>
      <c r="AT11" s="113"/>
      <c r="AU11" s="27">
        <v>3</v>
      </c>
      <c r="AV11" s="143" t="s">
        <v>75</v>
      </c>
      <c r="AW11" s="143"/>
      <c r="AX11" s="143"/>
      <c r="AY11" s="143"/>
      <c r="AZ11" s="143"/>
      <c r="BA11" s="143"/>
      <c r="BB11" s="143"/>
      <c r="BC11" s="143"/>
      <c r="BD11" s="147"/>
      <c r="BE11" s="148"/>
      <c r="BF11" s="149"/>
    </row>
    <row r="12" spans="1:112" ht="15.75" customHeight="1">
      <c r="D12" s="47" t="s">
        <v>56</v>
      </c>
      <c r="F12" s="33"/>
      <c r="I12" s="43" t="s">
        <v>62</v>
      </c>
      <c r="J12" s="48">
        <v>60</v>
      </c>
      <c r="K12" s="47" t="s">
        <v>11</v>
      </c>
      <c r="L12" s="32"/>
      <c r="M12" s="32"/>
      <c r="N12" s="32"/>
      <c r="O12" s="32"/>
      <c r="P12" s="32"/>
      <c r="Q12" s="32"/>
      <c r="R12" s="32"/>
      <c r="S12" s="32"/>
      <c r="T12" s="52"/>
      <c r="U12" s="52"/>
      <c r="V12" s="52"/>
      <c r="W12" s="52"/>
      <c r="X12" s="52"/>
      <c r="Y12" s="52"/>
      <c r="Z12" s="52"/>
      <c r="AA12" s="52"/>
      <c r="AB12" s="52"/>
      <c r="AC12" s="52"/>
      <c r="AD12" s="32"/>
      <c r="AE12" s="32"/>
      <c r="AF12" s="52"/>
      <c r="AG12" s="52"/>
      <c r="AH12" s="52"/>
      <c r="AI12" s="52"/>
      <c r="AJ12" s="52"/>
      <c r="AK12" s="52"/>
      <c r="AL12" s="113"/>
      <c r="AM12" s="113"/>
      <c r="AN12" s="113"/>
      <c r="AO12" s="113"/>
      <c r="AP12" s="113"/>
      <c r="AQ12" s="122"/>
      <c r="AR12" s="113"/>
      <c r="AS12" s="113"/>
      <c r="AT12" s="113"/>
      <c r="AU12" s="27"/>
      <c r="AW12" s="143"/>
      <c r="AX12" s="143"/>
      <c r="AY12" s="143"/>
      <c r="AZ12" s="143"/>
      <c r="BA12" s="143"/>
      <c r="BB12" s="143"/>
      <c r="BC12" s="143"/>
      <c r="BD12" s="147"/>
      <c r="BE12" s="148"/>
      <c r="BF12" s="150"/>
      <c r="BG12" s="146"/>
    </row>
    <row r="13" spans="1:112" ht="15.75" customHeight="1">
      <c r="D13" s="42" t="s">
        <v>55</v>
      </c>
      <c r="F13" s="33"/>
      <c r="I13" s="37" t="s">
        <v>99</v>
      </c>
      <c r="J13" s="51">
        <f>0.8/(1+($H$6/$S$6)/0.0035)</f>
        <v>0.4933920704845815</v>
      </c>
      <c r="K13" s="33"/>
      <c r="L13" s="32"/>
      <c r="M13" s="32"/>
      <c r="N13" s="32"/>
      <c r="O13" s="32"/>
      <c r="P13" s="32"/>
      <c r="Q13" s="32"/>
      <c r="R13" s="32"/>
      <c r="S13" s="32"/>
      <c r="T13" s="52"/>
      <c r="U13" s="52"/>
      <c r="V13" s="52"/>
      <c r="W13" s="52"/>
      <c r="X13" s="52"/>
      <c r="Y13" s="52"/>
      <c r="Z13" s="52"/>
      <c r="AA13" s="52"/>
      <c r="AB13" s="52"/>
      <c r="AC13" s="52"/>
      <c r="AD13" s="32"/>
      <c r="AE13" s="32"/>
      <c r="AF13" s="52"/>
      <c r="AG13" s="52"/>
      <c r="AH13" s="52"/>
      <c r="AI13" s="52"/>
      <c r="AJ13" s="52"/>
      <c r="AK13" s="52"/>
      <c r="AL13" s="113"/>
      <c r="AM13" s="113"/>
      <c r="AN13" s="113"/>
      <c r="AO13" s="113"/>
      <c r="AP13" s="113"/>
      <c r="AQ13" s="122"/>
      <c r="AR13" s="113"/>
      <c r="AS13" s="113"/>
      <c r="AT13" s="113"/>
      <c r="AU13" s="27"/>
      <c r="AV13" s="143"/>
      <c r="AW13" s="143"/>
      <c r="AX13" s="143"/>
      <c r="AY13" s="143"/>
      <c r="AZ13" s="143"/>
      <c r="BA13" s="143"/>
      <c r="BB13" s="143"/>
      <c r="BC13" s="143"/>
      <c r="BD13" s="147"/>
      <c r="BE13" s="148"/>
      <c r="BF13" s="150"/>
    </row>
    <row r="14" spans="1:112" ht="15.75" hidden="1" customHeight="1">
      <c r="E14" s="33"/>
      <c r="F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52"/>
      <c r="U14" s="52"/>
      <c r="V14" s="52"/>
      <c r="W14" s="52"/>
      <c r="X14" s="52"/>
      <c r="Y14" s="52"/>
      <c r="Z14" s="52"/>
      <c r="AA14" s="52"/>
      <c r="AB14" s="52"/>
      <c r="AC14" s="52"/>
      <c r="AD14" s="32"/>
      <c r="AE14" s="32"/>
      <c r="AF14" s="52"/>
      <c r="AG14" s="52"/>
      <c r="AH14" s="52"/>
      <c r="AI14" s="52"/>
      <c r="AJ14" s="52"/>
      <c r="AK14" s="52"/>
      <c r="AL14" s="113"/>
      <c r="AM14" s="113"/>
      <c r="AN14" s="113"/>
      <c r="AO14" s="113"/>
      <c r="AP14" s="113"/>
      <c r="AQ14" s="122"/>
      <c r="AR14" s="113"/>
      <c r="AS14" s="113"/>
      <c r="AT14" s="113"/>
      <c r="AU14" s="27"/>
      <c r="AV14" s="143"/>
      <c r="AW14" s="143"/>
      <c r="AX14" s="143"/>
      <c r="AY14" s="143"/>
      <c r="AZ14" s="143"/>
      <c r="BA14" s="143"/>
      <c r="BB14" s="143"/>
      <c r="BC14" s="143"/>
      <c r="BD14" s="147"/>
      <c r="BE14" s="148"/>
      <c r="BF14" s="148"/>
      <c r="BG14" s="146"/>
    </row>
    <row r="15" spans="1:112" ht="15.75" hidden="1" customHeight="1">
      <c r="E15" s="33"/>
      <c r="F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52"/>
      <c r="U15" s="52"/>
      <c r="V15" s="52"/>
      <c r="W15" s="52"/>
      <c r="X15" s="52"/>
      <c r="Y15" s="52"/>
      <c r="Z15" s="52"/>
      <c r="AA15" s="52"/>
      <c r="AB15" s="52"/>
      <c r="AC15" s="52"/>
      <c r="AD15" s="32"/>
      <c r="AE15" s="32"/>
      <c r="AF15" s="52"/>
      <c r="AG15" s="52"/>
      <c r="AH15" s="52"/>
      <c r="AI15" s="52"/>
      <c r="AJ15" s="52"/>
      <c r="AK15" s="52"/>
      <c r="AL15" s="113"/>
      <c r="AM15" s="113"/>
      <c r="AN15" s="113"/>
      <c r="AO15" s="113"/>
      <c r="AP15" s="113"/>
      <c r="AQ15" s="122"/>
      <c r="AR15" s="113"/>
      <c r="AS15" s="113"/>
      <c r="AT15" s="113"/>
      <c r="AU15" s="27"/>
      <c r="AV15" s="143"/>
      <c r="AW15" s="143"/>
      <c r="AX15" s="143"/>
      <c r="AY15" s="143"/>
      <c r="AZ15" s="143"/>
      <c r="BA15" s="143"/>
      <c r="BB15" s="143"/>
      <c r="BC15" s="143"/>
      <c r="BD15" s="147"/>
      <c r="BE15" s="148"/>
      <c r="BF15" s="148"/>
      <c r="BG15" s="146"/>
    </row>
    <row r="16" spans="1:112" ht="15" customHeight="1">
      <c r="D16" s="64" t="s">
        <v>319</v>
      </c>
      <c r="E16" s="53"/>
      <c r="F16" s="33"/>
      <c r="G16" s="54"/>
      <c r="H16" s="50"/>
      <c r="I16" s="50"/>
      <c r="J16" s="54"/>
      <c r="K16" s="54"/>
      <c r="L16" s="33"/>
      <c r="M16" s="33"/>
      <c r="N16" s="33"/>
      <c r="O16" s="33"/>
      <c r="P16" s="33"/>
      <c r="Q16" s="33"/>
      <c r="R16" s="39"/>
      <c r="S16" s="55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33"/>
      <c r="AE16" s="33"/>
      <c r="AF16" s="56"/>
      <c r="AG16" s="56"/>
      <c r="AH16" s="56"/>
      <c r="AI16" s="56"/>
      <c r="AJ16" s="56"/>
      <c r="AK16" s="56"/>
      <c r="AL16" s="114"/>
      <c r="AM16" s="114"/>
      <c r="AN16" s="114"/>
      <c r="AO16" s="114"/>
      <c r="AP16" s="114"/>
      <c r="AQ16" s="123"/>
      <c r="AR16" s="114"/>
      <c r="AS16" s="114"/>
      <c r="AT16" s="114"/>
      <c r="AU16" s="27"/>
      <c r="BG16" s="146"/>
      <c r="BY16" s="206" t="s">
        <v>293</v>
      </c>
      <c r="BZ16" s="206"/>
      <c r="CA16" s="206"/>
      <c r="CB16" s="206"/>
      <c r="CC16" s="206"/>
      <c r="CD16" s="206"/>
      <c r="CE16" s="206"/>
      <c r="CF16" s="206"/>
      <c r="CG16" s="206"/>
      <c r="CH16" s="206"/>
      <c r="CI16" s="206"/>
      <c r="CJ16" s="206"/>
      <c r="CK16" s="206" t="s">
        <v>301</v>
      </c>
      <c r="CL16" s="206"/>
      <c r="CM16" s="206"/>
      <c r="CN16" s="206"/>
      <c r="CO16" s="206"/>
      <c r="CP16" s="206"/>
      <c r="CQ16" s="206"/>
      <c r="CR16" s="206"/>
      <c r="CS16" s="206"/>
      <c r="CT16" s="206"/>
      <c r="CU16" s="206"/>
      <c r="CV16" s="206"/>
      <c r="CW16" s="216" t="s">
        <v>308</v>
      </c>
      <c r="CX16" s="217"/>
      <c r="CY16" s="217"/>
      <c r="CZ16" s="218"/>
      <c r="DA16" s="206" t="s">
        <v>316</v>
      </c>
      <c r="DB16" s="206"/>
      <c r="DC16" s="206"/>
      <c r="DD16" s="206"/>
      <c r="DE16" s="206"/>
      <c r="DF16" s="206"/>
      <c r="DG16" s="206"/>
      <c r="DH16" s="206"/>
    </row>
    <row r="17" spans="4:112" ht="7.5" hidden="1" customHeight="1"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2"/>
      <c r="Y17" s="56"/>
      <c r="Z17" s="56"/>
      <c r="AA17" s="56"/>
      <c r="AB17" s="56"/>
      <c r="AC17" s="56"/>
      <c r="AD17" s="33"/>
      <c r="AE17" s="33"/>
      <c r="AF17" s="56"/>
      <c r="AG17" s="56"/>
      <c r="AH17" s="56"/>
      <c r="AI17" s="56"/>
      <c r="AJ17" s="56"/>
      <c r="AK17" s="56"/>
      <c r="AL17" s="114"/>
      <c r="AM17" s="114"/>
      <c r="AN17" s="114"/>
      <c r="AO17" s="114"/>
      <c r="AP17" s="114"/>
      <c r="AQ17" s="123"/>
      <c r="AR17" s="114"/>
      <c r="AS17" s="114"/>
      <c r="AT17" s="114"/>
      <c r="AU17" s="27"/>
      <c r="BY17" s="72" t="s">
        <v>95</v>
      </c>
      <c r="BZ17" s="73"/>
      <c r="CA17" s="73"/>
      <c r="CB17" s="73"/>
      <c r="CC17" s="73"/>
      <c r="CD17" s="73"/>
      <c r="CE17" s="73"/>
      <c r="CF17" s="73"/>
      <c r="CG17" s="73"/>
      <c r="CH17" s="73"/>
      <c r="CI17" s="73"/>
      <c r="CK17" s="72" t="s">
        <v>96</v>
      </c>
      <c r="CL17" s="73"/>
      <c r="CM17" s="73"/>
      <c r="CN17" s="73"/>
      <c r="CO17" s="73"/>
      <c r="CP17" s="73"/>
      <c r="CQ17" s="73"/>
      <c r="CR17" s="73"/>
      <c r="CS17" s="73"/>
      <c r="CT17" s="73"/>
      <c r="CU17" s="73"/>
      <c r="CW17" s="75"/>
      <c r="CX17" s="75"/>
      <c r="CY17" s="75"/>
      <c r="DA17" s="137"/>
      <c r="DB17" s="137"/>
    </row>
    <row r="18" spans="4:112" ht="15.75" customHeight="1">
      <c r="D18" s="205" t="s">
        <v>1</v>
      </c>
      <c r="E18" s="205" t="s">
        <v>329</v>
      </c>
      <c r="F18" s="205" t="s">
        <v>23</v>
      </c>
      <c r="G18" s="205" t="s">
        <v>1</v>
      </c>
      <c r="H18" s="205"/>
      <c r="I18" s="205"/>
      <c r="J18" s="205"/>
      <c r="K18" s="205" t="s">
        <v>10</v>
      </c>
      <c r="L18" s="205"/>
      <c r="M18" s="205"/>
      <c r="N18" s="205" t="s">
        <v>2</v>
      </c>
      <c r="O18" s="205"/>
      <c r="P18" s="205"/>
      <c r="Q18" s="207" t="s">
        <v>101</v>
      </c>
      <c r="R18" s="205" t="s">
        <v>27</v>
      </c>
      <c r="S18" s="205"/>
      <c r="T18" s="205" t="s">
        <v>3</v>
      </c>
      <c r="U18" s="205"/>
      <c r="V18" s="205"/>
      <c r="W18" s="205"/>
      <c r="X18" s="205"/>
      <c r="Y18" s="201" t="s">
        <v>74</v>
      </c>
      <c r="Z18" s="201" t="s">
        <v>337</v>
      </c>
      <c r="AA18" s="201" t="s">
        <v>31</v>
      </c>
      <c r="AB18" s="201" t="s">
        <v>68</v>
      </c>
      <c r="AC18" s="201" t="s">
        <v>69</v>
      </c>
      <c r="AD18" s="203" t="s">
        <v>86</v>
      </c>
      <c r="AE18" s="203" t="s">
        <v>87</v>
      </c>
      <c r="AF18" s="201" t="s">
        <v>70</v>
      </c>
      <c r="AG18" s="201" t="s">
        <v>78</v>
      </c>
      <c r="AH18" s="201"/>
      <c r="AI18" s="201"/>
      <c r="AJ18" s="205" t="s">
        <v>82</v>
      </c>
      <c r="AK18" s="191" t="s">
        <v>89</v>
      </c>
      <c r="AL18" s="115"/>
      <c r="AM18" s="115"/>
      <c r="AN18" s="115"/>
      <c r="AO18" s="115"/>
      <c r="AP18" s="116"/>
      <c r="AQ18" s="124"/>
      <c r="AR18" s="116"/>
      <c r="AS18" s="116"/>
      <c r="AT18" s="116"/>
      <c r="AU18" s="27"/>
      <c r="AV18" s="199" t="s">
        <v>266</v>
      </c>
      <c r="AW18" s="199" t="s">
        <v>270</v>
      </c>
      <c r="AX18" s="199" t="s">
        <v>264</v>
      </c>
      <c r="AY18" s="199" t="s">
        <v>265</v>
      </c>
      <c r="AZ18" s="199" t="s">
        <v>271</v>
      </c>
      <c r="BA18" s="199" t="s">
        <v>274</v>
      </c>
      <c r="BB18" s="199" t="s">
        <v>273</v>
      </c>
      <c r="BC18" s="199" t="s">
        <v>275</v>
      </c>
      <c r="BD18" s="202" t="s">
        <v>272</v>
      </c>
      <c r="BE18" s="199" t="s">
        <v>282</v>
      </c>
      <c r="BF18" s="199" t="s">
        <v>283</v>
      </c>
      <c r="BG18" s="199" t="s">
        <v>284</v>
      </c>
      <c r="BH18" s="199" t="s">
        <v>285</v>
      </c>
      <c r="BI18" s="199" t="s">
        <v>286</v>
      </c>
      <c r="BJ18" s="199" t="s">
        <v>287</v>
      </c>
      <c r="BK18" s="199" t="s">
        <v>276</v>
      </c>
      <c r="BL18" s="199" t="s">
        <v>277</v>
      </c>
      <c r="BM18" s="199" t="s">
        <v>278</v>
      </c>
      <c r="BN18" s="199" t="s">
        <v>279</v>
      </c>
      <c r="BO18" s="199" t="s">
        <v>280</v>
      </c>
      <c r="BP18" s="199" t="s">
        <v>281</v>
      </c>
      <c r="BQ18" s="199" t="s">
        <v>291</v>
      </c>
      <c r="BR18" s="199" t="s">
        <v>290</v>
      </c>
      <c r="BU18" s="201" t="s">
        <v>97</v>
      </c>
      <c r="BV18" s="201"/>
      <c r="BW18" s="191" t="s">
        <v>91</v>
      </c>
      <c r="BX18" s="193" t="s">
        <v>300</v>
      </c>
      <c r="BY18" s="191" t="s">
        <v>92</v>
      </c>
      <c r="BZ18" s="191" t="s">
        <v>93</v>
      </c>
      <c r="CA18" s="196" t="s">
        <v>94</v>
      </c>
      <c r="CB18" s="191" t="s">
        <v>295</v>
      </c>
      <c r="CC18" s="191" t="s">
        <v>296</v>
      </c>
      <c r="CD18" s="191" t="s">
        <v>297</v>
      </c>
      <c r="CE18" s="191" t="s">
        <v>298</v>
      </c>
      <c r="CF18" s="191" t="s">
        <v>302</v>
      </c>
      <c r="CG18" s="191" t="s">
        <v>303</v>
      </c>
      <c r="CH18" s="191" t="s">
        <v>304</v>
      </c>
      <c r="CI18" s="191" t="s">
        <v>305</v>
      </c>
      <c r="CJ18" s="191" t="s">
        <v>299</v>
      </c>
      <c r="CK18" s="191" t="s">
        <v>92</v>
      </c>
      <c r="CL18" s="191" t="s">
        <v>93</v>
      </c>
      <c r="CM18" s="196" t="s">
        <v>94</v>
      </c>
      <c r="CN18" s="191" t="s">
        <v>295</v>
      </c>
      <c r="CO18" s="191" t="s">
        <v>296</v>
      </c>
      <c r="CP18" s="191" t="s">
        <v>297</v>
      </c>
      <c r="CQ18" s="191" t="s">
        <v>298</v>
      </c>
      <c r="CR18" s="191" t="s">
        <v>302</v>
      </c>
      <c r="CS18" s="191" t="s">
        <v>303</v>
      </c>
      <c r="CT18" s="191" t="s">
        <v>304</v>
      </c>
      <c r="CU18" s="191" t="s">
        <v>305</v>
      </c>
      <c r="CV18" s="191" t="s">
        <v>299</v>
      </c>
      <c r="CW18" s="193" t="s">
        <v>310</v>
      </c>
      <c r="CX18" s="191" t="s">
        <v>306</v>
      </c>
      <c r="CY18" s="194" t="s">
        <v>307</v>
      </c>
      <c r="CZ18" s="194" t="s">
        <v>294</v>
      </c>
      <c r="DA18" s="190" t="s">
        <v>309</v>
      </c>
      <c r="DB18" s="190"/>
      <c r="DC18" s="190"/>
      <c r="DD18" s="190"/>
      <c r="DE18" s="190" t="s">
        <v>315</v>
      </c>
      <c r="DF18" s="190"/>
      <c r="DG18" s="190"/>
      <c r="DH18" s="190"/>
    </row>
    <row r="19" spans="4:112" ht="48" customHeight="1">
      <c r="D19" s="191"/>
      <c r="E19" s="191"/>
      <c r="F19" s="191"/>
      <c r="G19" s="151" t="s">
        <v>24</v>
      </c>
      <c r="H19" s="151" t="s">
        <v>25</v>
      </c>
      <c r="I19" s="173" t="s">
        <v>26</v>
      </c>
      <c r="J19" s="151" t="s">
        <v>71</v>
      </c>
      <c r="K19" s="173" t="s">
        <v>72</v>
      </c>
      <c r="L19" s="173" t="s">
        <v>73</v>
      </c>
      <c r="M19" s="173" t="s">
        <v>292</v>
      </c>
      <c r="N19" s="152" t="s">
        <v>84</v>
      </c>
      <c r="O19" s="152" t="s">
        <v>100</v>
      </c>
      <c r="P19" s="152" t="s">
        <v>102</v>
      </c>
      <c r="Q19" s="208"/>
      <c r="R19" s="154" t="s">
        <v>336</v>
      </c>
      <c r="S19" s="151" t="s">
        <v>85</v>
      </c>
      <c r="T19" s="191" t="s">
        <v>12</v>
      </c>
      <c r="U19" s="191"/>
      <c r="V19" s="174" t="s">
        <v>30</v>
      </c>
      <c r="W19" s="191" t="s">
        <v>13</v>
      </c>
      <c r="X19" s="191"/>
      <c r="Y19" s="194"/>
      <c r="Z19" s="194"/>
      <c r="AA19" s="194"/>
      <c r="AB19" s="194"/>
      <c r="AC19" s="194"/>
      <c r="AD19" s="204"/>
      <c r="AE19" s="204"/>
      <c r="AF19" s="194"/>
      <c r="AG19" s="154" t="s">
        <v>79</v>
      </c>
      <c r="AH19" s="154" t="s">
        <v>80</v>
      </c>
      <c r="AI19" s="154" t="s">
        <v>81</v>
      </c>
      <c r="AJ19" s="191"/>
      <c r="AK19" s="192"/>
      <c r="AL19" s="130" t="s">
        <v>229</v>
      </c>
      <c r="AM19" s="109" t="s">
        <v>338</v>
      </c>
      <c r="AT19" s="134" t="s">
        <v>288</v>
      </c>
      <c r="AU19" s="27"/>
      <c r="AV19" s="200"/>
      <c r="AW19" s="200"/>
      <c r="AX19" s="200"/>
      <c r="AY19" s="200"/>
      <c r="AZ19" s="200"/>
      <c r="BA19" s="200"/>
      <c r="BB19" s="200"/>
      <c r="BC19" s="200"/>
      <c r="BD19" s="200"/>
      <c r="BE19" s="200"/>
      <c r="BF19" s="200"/>
      <c r="BG19" s="200"/>
      <c r="BH19" s="200"/>
      <c r="BI19" s="200"/>
      <c r="BJ19" s="200"/>
      <c r="BK19" s="200"/>
      <c r="BL19" s="200"/>
      <c r="BM19" s="200"/>
      <c r="BN19" s="200"/>
      <c r="BO19" s="200"/>
      <c r="BP19" s="200"/>
      <c r="BQ19" s="200"/>
      <c r="BR19" s="200"/>
      <c r="BU19" s="153" t="s">
        <v>79</v>
      </c>
      <c r="BV19" s="153" t="s">
        <v>98</v>
      </c>
      <c r="BW19" s="192"/>
      <c r="BX19" s="198"/>
      <c r="BY19" s="192"/>
      <c r="BZ19" s="192"/>
      <c r="CA19" s="197"/>
      <c r="CB19" s="192"/>
      <c r="CC19" s="192"/>
      <c r="CD19" s="192"/>
      <c r="CE19" s="192"/>
      <c r="CF19" s="192"/>
      <c r="CG19" s="192"/>
      <c r="CH19" s="192"/>
      <c r="CI19" s="192"/>
      <c r="CJ19" s="192"/>
      <c r="CK19" s="192"/>
      <c r="CL19" s="192"/>
      <c r="CM19" s="197"/>
      <c r="CN19" s="192"/>
      <c r="CO19" s="192"/>
      <c r="CP19" s="192"/>
      <c r="CQ19" s="192"/>
      <c r="CR19" s="192"/>
      <c r="CS19" s="192"/>
      <c r="CT19" s="192"/>
      <c r="CU19" s="192"/>
      <c r="CV19" s="192"/>
      <c r="CW19" s="192"/>
      <c r="CX19" s="192"/>
      <c r="CY19" s="195"/>
      <c r="CZ19" s="195"/>
      <c r="DA19" s="138" t="s">
        <v>311</v>
      </c>
      <c r="DB19" s="138" t="s">
        <v>317</v>
      </c>
      <c r="DC19" s="138" t="s">
        <v>313</v>
      </c>
      <c r="DD19" s="138" t="s">
        <v>314</v>
      </c>
      <c r="DE19" s="138" t="s">
        <v>311</v>
      </c>
      <c r="DF19" s="138" t="s">
        <v>312</v>
      </c>
      <c r="DG19" s="138" t="s">
        <v>313</v>
      </c>
      <c r="DH19" s="138" t="s">
        <v>314</v>
      </c>
    </row>
    <row r="20" spans="4:112" ht="11.25" customHeight="1">
      <c r="D20" s="176" t="s">
        <v>321</v>
      </c>
      <c r="E20" s="176" t="s">
        <v>330</v>
      </c>
      <c r="F20" s="67" t="s">
        <v>327</v>
      </c>
      <c r="G20" s="78">
        <v>1000</v>
      </c>
      <c r="H20" s="78">
        <v>1200</v>
      </c>
      <c r="I20" s="79">
        <v>75</v>
      </c>
      <c r="J20" s="80">
        <f>H20-I20</f>
        <v>1125</v>
      </c>
      <c r="K20" s="81">
        <v>346</v>
      </c>
      <c r="L20" s="81">
        <v>455</v>
      </c>
      <c r="M20" s="81">
        <v>3</v>
      </c>
      <c r="N20" s="82">
        <f t="shared" ref="N20:N83" si="0">ABS(K20)*10^6/($J$11*$H$4*G20*J20^2)</f>
        <v>2.7027455862519301E-2</v>
      </c>
      <c r="O20" s="82">
        <f>ROUND(1-SQRT(1-2*N20),3)</f>
        <v>2.7E-2</v>
      </c>
      <c r="P20" s="82">
        <f>1-0.5*O20</f>
        <v>0.98650000000000004</v>
      </c>
      <c r="Q20" s="83" t="str">
        <f t="shared" ref="Q20:Q83" si="1">IF(O20&lt;$J$13,"Ok","Not Ok")</f>
        <v>Ok</v>
      </c>
      <c r="R20" s="84">
        <f t="shared" ref="R20:R83" si="2">MAX(ABS(K20)*10^6/($H$6*P20*J20),0.001*G20*J20)/100</f>
        <v>11.25</v>
      </c>
      <c r="S20" s="131">
        <f>(R20)/(G20*J20/100)</f>
        <v>1E-3</v>
      </c>
      <c r="T20" s="86">
        <v>2</v>
      </c>
      <c r="U20" s="77">
        <v>20</v>
      </c>
      <c r="V20" s="87" t="str">
        <f t="shared" ref="V20:V83" si="3">IF(X20="","","+")</f>
        <v>+</v>
      </c>
      <c r="W20" s="86">
        <v>0</v>
      </c>
      <c r="X20" s="77">
        <v>20</v>
      </c>
      <c r="Y20" s="88">
        <v>15.71</v>
      </c>
      <c r="Z20" s="89" t="str">
        <f t="shared" ref="Z20:Z83" si="4">IF(Y20&gt;R20,"Ok","Not Ok")</f>
        <v>Ok</v>
      </c>
      <c r="AA20" s="90">
        <f>($H$6*Y20*100-$H$6*(T21*PI()*U21^2/4))/($J$11*$H$4*G20)</f>
        <v>45.674440504352674</v>
      </c>
      <c r="AB20" s="80">
        <f>($J$11*$H$4*G20*ABS(AA20)*(J20-0.5*ABS(AA20))+$H$6*(T21*PI()*U21^2/4)*(J20-I21))*10^-6</f>
        <v>741.65329596605159</v>
      </c>
      <c r="AC20" s="89" t="str">
        <f>IF(ABS(K20)&lt;AB20,"Ok","Not Ok")</f>
        <v>Ok</v>
      </c>
      <c r="AD20" s="85">
        <f>(Y20*100)/(G20*H20)</f>
        <v>1.3091666666666666E-3</v>
      </c>
      <c r="AE20" s="85">
        <f t="shared" ref="AE20:AE83" si="5">$J$13*$H$4/$H$6</f>
        <v>1.9281988961466403E-2</v>
      </c>
      <c r="AF20" s="60" t="str">
        <f>IF(AND(AD20&gt;0.1%,AD20&lt;AE20),"Ok","No-Ok")</f>
        <v>Ok</v>
      </c>
      <c r="AG20" s="77">
        <v>12</v>
      </c>
      <c r="AH20" s="76">
        <v>3</v>
      </c>
      <c r="AI20" s="76">
        <v>200</v>
      </c>
      <c r="AJ20" s="60">
        <f t="shared" ref="AJ20:AJ83" si="6">(10/AI20)*2*(3.14*AG20^2)/4</f>
        <v>11.304000000000002</v>
      </c>
      <c r="AK20" s="60" t="str">
        <f t="shared" ref="AK20:AK83" si="7">IF(AND(AV20&gt;L20,BB20&gt;BA20,BJ20&gt;L20),"OK","NOT OK")</f>
        <v>OK</v>
      </c>
      <c r="AL20" s="109">
        <f t="shared" ref="AL20:AL83" si="8">IF(AG20&lt;10,$O$7,$O$8)</f>
        <v>300</v>
      </c>
      <c r="AM20" s="175">
        <f>Y20/R20</f>
        <v>1.3964444444444446</v>
      </c>
      <c r="AT20" s="133" t="str">
        <f t="shared" ref="AT20:AT83" si="9">IF(L20&gt;BP20, "need","no need")</f>
        <v>no need</v>
      </c>
      <c r="AU20" s="27"/>
      <c r="AV20" s="61">
        <f>0.3*$H$4*G20*J20/1000</f>
        <v>5737.5</v>
      </c>
      <c r="AW20" s="61" t="str">
        <f>IF(L20&lt;AV20,"OK","Not ok")</f>
        <v>OK</v>
      </c>
      <c r="AX20" s="63">
        <f>$K$4*G20*J20^2/(L20*1000)</f>
        <v>3198.8324175824177</v>
      </c>
      <c r="AY20" s="63">
        <f>MIN(1/2*J20,300)</f>
        <v>300</v>
      </c>
      <c r="AZ20" s="63">
        <f>AL20*AJ20*10/BA20</f>
        <v>117.95478260869568</v>
      </c>
      <c r="BA20" s="63">
        <f>0.25*$K$4*G20</f>
        <v>287.5</v>
      </c>
      <c r="BB20" s="63">
        <f>(AL20*AH20*(3.14*AG20^2/4)/AI20)</f>
        <v>508.68</v>
      </c>
      <c r="BC20" s="63" t="str">
        <f>IF(BB20&gt;BA20,"OK","NOT OK")</f>
        <v>OK</v>
      </c>
      <c r="BD20" s="63">
        <f>SQRT((2*$K$4*G20*J20^2)/BB20)</f>
        <v>2392.1813992951616</v>
      </c>
      <c r="BE20" s="63">
        <f>2.5*$K$4*G20*J20/1000+(0.75*BB20*J20)/1000</f>
        <v>3663.57375</v>
      </c>
      <c r="BF20" s="63">
        <f>1.5*$K$4*G20*J20/1000+(0.75*BB20*J20)/1000</f>
        <v>2369.8237499999996</v>
      </c>
      <c r="BG20" s="63">
        <f>IF(BD20&lt;J20,BF20,IF(BD20&lt;2*J20,(1.5*$K$4*H20*J20*J20/BD20)/1000+(0.75*BB20*BD20)/1000,(0.75*$K$4*H20*J20*J20/BD20)/1000+(1.5*BB20*BD20)/1000))</f>
        <v>2372.8669266772522</v>
      </c>
      <c r="BH20" s="63">
        <f>0.5*$K$4*G20*J20/1000+(1.5*BB20*J20)/1000</f>
        <v>1505.2725</v>
      </c>
      <c r="BI20" s="63">
        <f>0.5*$K$4*G20*J20/1000+(1.5*BB20*J20)/1000</f>
        <v>1505.2725</v>
      </c>
      <c r="BJ20" s="63">
        <f>MIN(BE20:BI20)</f>
        <v>1505.2725</v>
      </c>
      <c r="BK20" s="63" t="str">
        <f>IF(BJ20&gt;L20,"OK","NOT OK")</f>
        <v>OK</v>
      </c>
      <c r="BL20" s="63">
        <f>0.6*J20</f>
        <v>675</v>
      </c>
      <c r="BM20" s="63">
        <f>J20</f>
        <v>1125</v>
      </c>
      <c r="BN20" s="63">
        <f>2*J20</f>
        <v>2250</v>
      </c>
      <c r="BO20" s="63">
        <f>3*J20</f>
        <v>3375</v>
      </c>
      <c r="BP20" s="63">
        <f>0.5*$K$4*G20*J20/1000</f>
        <v>646.875</v>
      </c>
      <c r="BQ20" s="63"/>
      <c r="BR20" s="63"/>
      <c r="BU20" s="139">
        <v>12</v>
      </c>
      <c r="BV20" s="139">
        <v>1</v>
      </c>
      <c r="BW20" s="139">
        <f t="shared" ref="BW20:BW83" si="10">0.1*$H$4*G20^2*H20/1000000</f>
        <v>2040.0000000000002</v>
      </c>
      <c r="BX20" s="139" t="str">
        <f>IF(BW20&gt;M20,"OK","NOT OK")</f>
        <v>OK</v>
      </c>
      <c r="BY20" s="139">
        <f>G20</f>
        <v>1000</v>
      </c>
      <c r="BZ20" s="139">
        <f>H20</f>
        <v>1200</v>
      </c>
      <c r="CA20" s="139">
        <f>BY20/(2*BZ20+BY20)</f>
        <v>0.29411764705882354</v>
      </c>
      <c r="CB20" s="140">
        <f>BB20</f>
        <v>508.68</v>
      </c>
      <c r="CC20" s="63">
        <f>Y21*100</f>
        <v>1571</v>
      </c>
      <c r="CD20" s="140">
        <f>IF(MIN(CF20:CG20)&gt;SQRT((2*BZ20+BY20)*2*BY20),SQRT((2*BZ20+BY20)*2*BY20),MIN(CF20:CG20))</f>
        <v>2607.6809620810595</v>
      </c>
      <c r="CE20" s="141">
        <f>IF(MIN(CF20:CG20)&gt;SQRT((2*BZ20+BY20)*0.6666667*BY20),SQRT((2*BZ20+BY20)*0.6666667*BY20),MIN(CF20:CG20))</f>
        <v>1505.5453430567941</v>
      </c>
      <c r="CF20" s="141">
        <f>2*BZ20+BY20</f>
        <v>3400</v>
      </c>
      <c r="CG20" s="141">
        <f>BY20*SQRT(2/CA20)</f>
        <v>2607.6809620810595</v>
      </c>
      <c r="CH20" s="63">
        <f>0.9*CB20*CA20*CD20*BZ20/1000000+0.9*$H$6*CC20*BY20*BZ20*(1/CD20)/1000000</f>
        <v>704.38240977689941</v>
      </c>
      <c r="CI20" s="141">
        <f>0.9*CB20*CA20*CE20*BZ20/1000000+0.9*$H$6*CC20*BY20*BZ20*(1/CE20)/1000000</f>
        <v>733.4919691427865</v>
      </c>
      <c r="CJ20" s="139" t="str">
        <f>IF(MIN(CH20:CI20)&gt;M20,"OK","NOT OK")</f>
        <v>OK</v>
      </c>
      <c r="CK20" s="135">
        <f>BZ20</f>
        <v>1200</v>
      </c>
      <c r="CL20" s="135">
        <f>BY20</f>
        <v>1000</v>
      </c>
      <c r="CM20" s="63">
        <f>CK20/(2*CL20+CK20)</f>
        <v>0.375</v>
      </c>
      <c r="CN20" s="140">
        <f>CB20</f>
        <v>508.68</v>
      </c>
      <c r="CO20" s="63">
        <f>1*3.14*U20^2/4+1*3.14*U21^2/4+BV20*3.14*BU20^2/4</f>
        <v>681.38</v>
      </c>
      <c r="CP20" s="140">
        <f>IF(MIN(CR20:CS20)&gt;SQRT((2*CL20+CK20)*2*CK20),SQRT((2*CL20+CK20)*2*CK20),MIN(CR20:CS20))</f>
        <v>2771.2812921102036</v>
      </c>
      <c r="CQ20" s="63">
        <f>IF(MIN(CR20:CS20)&gt;SQRT((2*CL20+CK20)*0.6666667*CK20),SQRT((2*CL20+CK20)*0.6666667*CK20),MIN(CR20:CS20))</f>
        <v>1600.0000399999994</v>
      </c>
      <c r="CR20" s="133">
        <f>2*CL20+CK20</f>
        <v>3200</v>
      </c>
      <c r="CS20" s="133">
        <f>CK20*SQRT(2/CM20)</f>
        <v>2771.2812921102036</v>
      </c>
      <c r="CT20" s="63">
        <f>0.9*CN20*CM20*CP20*CL20/1000000+0.9*$H$6*CO20*CK20*CL20*(1/CP20)/1000000</f>
        <v>591.28277185903164</v>
      </c>
      <c r="CU20" s="141">
        <f>0.9*CN20*CM20*CQ20*CL20/1000000+0.9*$H$6*CO20*CK20*CL20*(1/CQ20)/1000000</f>
        <v>474.75740436542503</v>
      </c>
      <c r="CV20" s="139" t="str">
        <f>IF(MIN(CT20:CU20)&gt;W20,"OK","NOT OK")</f>
        <v>OK</v>
      </c>
      <c r="CW20" s="63">
        <f>MIN(CH20,CI20,CT20,CU20)</f>
        <v>474.75740436542503</v>
      </c>
      <c r="CX20" s="141">
        <f>AB20</f>
        <v>741.65329596605159</v>
      </c>
      <c r="CY20" s="63">
        <f>CW20*SQRT(1-(ABS(K20)/CX20)^2)</f>
        <v>419.92666199861446</v>
      </c>
      <c r="CZ20" s="136" t="str">
        <f>IF(M20&lt;CY20,"OK","NOT OK")</f>
        <v>OK</v>
      </c>
      <c r="DA20" s="139">
        <f>BW20</f>
        <v>2040.0000000000002</v>
      </c>
      <c r="DB20" s="63">
        <f>AV20</f>
        <v>5737.5</v>
      </c>
      <c r="DC20" s="133">
        <f>DA20*(1-L20/DB20)</f>
        <v>1878.2222222222224</v>
      </c>
      <c r="DD20" s="139" t="str">
        <f>IF(M20&lt;DC20,"OK","NOT OK")</f>
        <v>OK</v>
      </c>
      <c r="DE20" s="63">
        <f>CW20</f>
        <v>474.75740436542503</v>
      </c>
      <c r="DF20" s="63">
        <f>BJ20</f>
        <v>1505.2725</v>
      </c>
      <c r="DG20" s="133">
        <f>DE20*(1-L20/DF20)</f>
        <v>331.25207959116102</v>
      </c>
      <c r="DH20" s="139" t="str">
        <f>IF(M20&lt;DG20,"OK","NOT OK")</f>
        <v>OK</v>
      </c>
    </row>
    <row r="21" spans="4:112" ht="16.5" customHeight="1">
      <c r="D21" s="177"/>
      <c r="E21" s="177"/>
      <c r="F21" s="68" t="s">
        <v>328</v>
      </c>
      <c r="G21" s="78">
        <v>1000</v>
      </c>
      <c r="H21" s="78">
        <v>1200</v>
      </c>
      <c r="I21" s="79">
        <v>75</v>
      </c>
      <c r="J21" s="80">
        <f t="shared" ref="J21:J43" si="11">H21-I21</f>
        <v>1125</v>
      </c>
      <c r="K21" s="81">
        <v>-266.8</v>
      </c>
      <c r="L21" s="81">
        <v>455</v>
      </c>
      <c r="M21" s="81">
        <v>2.1</v>
      </c>
      <c r="N21" s="82">
        <f t="shared" si="0"/>
        <v>2.0840824347168063E-2</v>
      </c>
      <c r="O21" s="82">
        <f t="shared" ref="O21:O43" si="12">ROUND(1-SQRT(1-2*N21),3)</f>
        <v>2.1000000000000001E-2</v>
      </c>
      <c r="P21" s="82">
        <f t="shared" ref="P21:P43" si="13">1-0.5*O21</f>
        <v>0.98950000000000005</v>
      </c>
      <c r="Q21" s="83" t="str">
        <f t="shared" si="1"/>
        <v>Ok</v>
      </c>
      <c r="R21" s="84">
        <f t="shared" si="2"/>
        <v>11.25</v>
      </c>
      <c r="S21" s="131">
        <f t="shared" ref="S21:S84" si="14">(R21)/(G21*J21/100)</f>
        <v>1E-3</v>
      </c>
      <c r="T21" s="86">
        <v>2</v>
      </c>
      <c r="U21" s="77">
        <v>18</v>
      </c>
      <c r="V21" s="87" t="str">
        <f t="shared" si="3"/>
        <v>+</v>
      </c>
      <c r="W21" s="86">
        <v>0</v>
      </c>
      <c r="X21" s="77">
        <v>18</v>
      </c>
      <c r="Y21" s="88">
        <v>15.71</v>
      </c>
      <c r="Z21" s="89" t="str">
        <f t="shared" si="4"/>
        <v>Ok</v>
      </c>
      <c r="AA21" s="80">
        <f>($H$6*Y21*100-$H$6*(T22*PI()*U22^2/4))/($J$11*$H$4*G21)</f>
        <v>45.674440504352674</v>
      </c>
      <c r="AB21" s="80">
        <f>($J$11*$H$4*G21*AA21*(J21-0.5*AA21)+$H$6*(T22*PI()*U22^2/4)*(J21-I22))*10^-6</f>
        <v>738.3889675706713</v>
      </c>
      <c r="AC21" s="89" t="str">
        <f>IF(ABS(K21)&lt;AB21,"Ok","Not Ok")</f>
        <v>Ok</v>
      </c>
      <c r="AD21" s="85">
        <f t="shared" ref="AD21:AD43" si="15">(Y21*100)/(G21*H21)</f>
        <v>1.3091666666666666E-3</v>
      </c>
      <c r="AE21" s="85">
        <f t="shared" si="5"/>
        <v>1.9281988961466403E-2</v>
      </c>
      <c r="AF21" s="60" t="str">
        <f t="shared" ref="AF21:AF43" si="16">IF(AND(AD21&gt;0.1%,AD21&lt;AE21),"Ok","No-Ok")</f>
        <v>Ok</v>
      </c>
      <c r="AG21" s="77">
        <v>12</v>
      </c>
      <c r="AH21" s="76">
        <v>3</v>
      </c>
      <c r="AI21" s="76">
        <v>200</v>
      </c>
      <c r="AJ21" s="60">
        <f>(10/AI21)*2*(3.14*AG21^2)/4</f>
        <v>11.304000000000002</v>
      </c>
      <c r="AK21" s="60" t="s">
        <v>318</v>
      </c>
      <c r="AL21" s="109">
        <f t="shared" si="8"/>
        <v>300</v>
      </c>
      <c r="AM21" s="175">
        <f t="shared" ref="AM21:AM36" si="17">Y21/R21</f>
        <v>1.3964444444444446</v>
      </c>
      <c r="AT21" s="133" t="str">
        <f t="shared" si="9"/>
        <v>no need</v>
      </c>
      <c r="AU21" s="27"/>
      <c r="AV21" s="61">
        <f t="shared" ref="AV21:AV84" si="18">0.3*$H$4*G21*J21/1000</f>
        <v>5737.5</v>
      </c>
      <c r="AW21" s="61" t="str">
        <f t="shared" ref="AW21:AW84" si="19">IF(L21&lt;AV21,"OK","Not ok")</f>
        <v>OK</v>
      </c>
      <c r="AX21" s="63">
        <f t="shared" ref="AX21:AX84" si="20">$K$4*G21*J21^2/(L21*1000)</f>
        <v>3198.8324175824177</v>
      </c>
      <c r="AY21" s="63">
        <f t="shared" ref="AY21:AY84" si="21">MIN(1/2*J21,300)</f>
        <v>300</v>
      </c>
      <c r="AZ21" s="63">
        <f t="shared" ref="AZ21:AZ84" si="22">AL21*AJ21*10/BA21</f>
        <v>117.95478260869568</v>
      </c>
      <c r="BA21" s="63">
        <f>0.25*$K$4*G21</f>
        <v>287.5</v>
      </c>
      <c r="BB21" s="63">
        <f>(AL21*AH21*(3.14*AG21^2/4)/AI21)</f>
        <v>508.68</v>
      </c>
      <c r="BC21" s="63" t="str">
        <f>IF(BB21&gt;BA21,"OK","NOT OK")</f>
        <v>OK</v>
      </c>
      <c r="BD21" s="63">
        <f t="shared" ref="BD21:BD84" si="23">SQRT((2*$K$4*G21*J21^2)/BB21)</f>
        <v>2392.1813992951616</v>
      </c>
      <c r="BE21" s="63">
        <f t="shared" ref="BE21:BE84" si="24">2.5*$K$4*G21*J21/1000+(0.75*BB21*J21)/1000</f>
        <v>3663.57375</v>
      </c>
      <c r="BF21" s="63">
        <f t="shared" ref="BF21:BF84" si="25">1.5*$K$4*G21*J21/1000+(0.75*BB21*J21)/1000</f>
        <v>2369.8237499999996</v>
      </c>
      <c r="BG21" s="63">
        <f t="shared" ref="BG21:BG84" si="26">IF(BD21&lt;J21,BF21,IF(BD21&lt;2*J21,(1.5*$K$4*H21*J21*J21/BD21)/1000+(0.75*BB21*BD21)/1000,(0.75*$K$4*H21*J21*J21/BD21)/1000+(1.5*BB21*BD21)/1000))</f>
        <v>2372.8669266772522</v>
      </c>
      <c r="BH21" s="63">
        <f t="shared" ref="BH21:BH84" si="27">0.5*$K$4*G21*J21/1000+(1.5*BB21*J21)/1000</f>
        <v>1505.2725</v>
      </c>
      <c r="BI21" s="63">
        <f t="shared" ref="BI21:BI84" si="28">0.5*$K$4*G21*J21/1000+(1.5*BB21*J21)/1000</f>
        <v>1505.2725</v>
      </c>
      <c r="BJ21" s="63">
        <f t="shared" ref="BJ21:BJ84" si="29">MIN(BE21:BI21)</f>
        <v>1505.2725</v>
      </c>
      <c r="BK21" s="63" t="str">
        <f t="shared" ref="BK21:BK84" si="30">IF(BJ21&gt;L21,"OK","NOT OK")</f>
        <v>OK</v>
      </c>
      <c r="BL21" s="63">
        <f t="shared" ref="BL21:BL84" si="31">0.6*J21</f>
        <v>675</v>
      </c>
      <c r="BM21" s="63">
        <f t="shared" ref="BM21:BM84" si="32">J21</f>
        <v>1125</v>
      </c>
      <c r="BN21" s="63">
        <f t="shared" ref="BN21:BN84" si="33">2*J21</f>
        <v>2250</v>
      </c>
      <c r="BO21" s="63">
        <f t="shared" ref="BO21:BO84" si="34">3*J21</f>
        <v>3375</v>
      </c>
      <c r="BP21" s="63">
        <f t="shared" ref="BP21:BP84" si="35">0.5*$K$4*G21*J21/1000</f>
        <v>646.875</v>
      </c>
      <c r="BQ21" s="63">
        <f>($H$6*Y20*100*0.9*J20+0.5*BB20*J20^2)/10^6</f>
        <v>1013.826375</v>
      </c>
      <c r="BR21" s="63" t="str">
        <f>IF(K20&lt;=BQ21,"OK","NOT OK")</f>
        <v>OK</v>
      </c>
      <c r="BU21" s="139">
        <v>12</v>
      </c>
      <c r="BV21" s="139">
        <v>1</v>
      </c>
      <c r="BW21" s="139">
        <f t="shared" si="10"/>
        <v>2040.0000000000002</v>
      </c>
      <c r="BX21" s="139" t="str">
        <f t="shared" ref="BX21:BX22" si="36">IF(BW21&gt;M21,"OK","NOT OK")</f>
        <v>OK</v>
      </c>
      <c r="BY21" s="139">
        <f t="shared" ref="BY21:BZ22" si="37">G21</f>
        <v>1000</v>
      </c>
      <c r="BZ21" s="139">
        <f t="shared" si="37"/>
        <v>1200</v>
      </c>
      <c r="CA21" s="139">
        <f t="shared" ref="CA21:CA22" si="38">BY21/(2*BZ21+BY21)</f>
        <v>0.29411764705882354</v>
      </c>
      <c r="CB21" s="140">
        <f t="shared" ref="CB21:CB22" si="39">BB21</f>
        <v>508.68</v>
      </c>
      <c r="CC21" s="63">
        <f t="shared" ref="CC21:CC22" si="40">Y22*100</f>
        <v>911.06186954103998</v>
      </c>
      <c r="CD21" s="140">
        <f t="shared" ref="CD21:CD22" si="41">IF(MIN(CF21:CG21)&gt;SQRT((2*BZ21+BY21)*2*BY21),SQRT((2*BZ21+BY21)*2*BY21),MIN(CF21:CG21))</f>
        <v>2607.6809620810595</v>
      </c>
      <c r="CE21" s="141">
        <f t="shared" ref="CE21:CE22" si="42">IF(MIN(CF21:CG21)&gt;SQRT((2*BZ21+BY21)*0.6666667*BY21),SQRT((2*BZ21+BY21)*0.6666667*BY21),MIN(CF21:CG21))</f>
        <v>1505.5453430567941</v>
      </c>
      <c r="CF21" s="141">
        <f t="shared" ref="CF21:CF22" si="43">2*BZ21+BY21</f>
        <v>3400</v>
      </c>
      <c r="CG21" s="141">
        <f t="shared" ref="CG21:CG22" si="44">BY21*SQRT(2/CA21)</f>
        <v>2607.6809620810595</v>
      </c>
      <c r="CH21" s="63">
        <f t="shared" ref="CH21:CH22" si="45">0.9*CB21*CA21*CD21*BZ21/1000000+0.9*$H$6*CC21*BY21*BZ21*(1/CD21)/1000000</f>
        <v>585.48790611714458</v>
      </c>
      <c r="CI21" s="141">
        <f t="shared" ref="CI21:CI22" si="46">0.9*CB21*CA21*CE21*BZ21/1000000+0.9*$H$6*CC21*BY21*BZ21*(1/CE21)/1000000</f>
        <v>527.56065321169012</v>
      </c>
      <c r="CJ21" s="139" t="str">
        <f t="shared" ref="CJ21:CJ22" si="47">IF(MIN(CH21:CI21)&gt;M21,"OK","NOT OK")</f>
        <v>OK</v>
      </c>
      <c r="CK21" s="135">
        <f t="shared" ref="CK21:CK22" si="48">BZ21</f>
        <v>1200</v>
      </c>
      <c r="CL21" s="135">
        <f t="shared" ref="CL21:CL22" si="49">BY21</f>
        <v>1000</v>
      </c>
      <c r="CM21" s="63">
        <f t="shared" ref="CM21:CM22" si="50">CK21/(2*CL21+CK21)</f>
        <v>0.375</v>
      </c>
      <c r="CN21" s="140">
        <f t="shared" ref="CN21:CN22" si="51">CB21</f>
        <v>508.68</v>
      </c>
      <c r="CO21" s="63">
        <f t="shared" ref="CO21" si="52">1*3.14*U21^2/4+1*3.14*U22^2/4+BV21*3.14*BU21^2/4</f>
        <v>621.72</v>
      </c>
      <c r="CP21" s="140">
        <f t="shared" ref="CP21:CP22" si="53">IF(MIN(CR21:CS21)&gt;SQRT((2*CL21+CK21)*2*CK21),SQRT((2*CL21+CK21)*2*CK21),MIN(CR21:CS21))</f>
        <v>2771.2812921102036</v>
      </c>
      <c r="CQ21" s="63">
        <f t="shared" ref="CQ21:CQ22" si="54">IF(MIN(CR21:CS21)&gt;SQRT((2*CL21+CK21)*0.6666667*CK21),SQRT((2*CL21+CK21)*0.6666667*CK21),MIN(CR21:CS21))</f>
        <v>1600.0000399999994</v>
      </c>
      <c r="CR21" s="133">
        <f t="shared" ref="CR21:CR22" si="55">2*CL21+CK21</f>
        <v>3200</v>
      </c>
      <c r="CS21" s="133">
        <f t="shared" ref="CS21:CS22" si="56">CK21*SQRT(2/CM21)</f>
        <v>2771.2812921102036</v>
      </c>
      <c r="CT21" s="63">
        <f t="shared" ref="CT21:CT22" si="57">0.9*CN21*CM21*CP21*CL21/1000000+0.9*$H$6*CO21*CK21*CL21*(1/CP21)/1000000</f>
        <v>581.16894181233238</v>
      </c>
      <c r="CU21" s="141">
        <f t="shared" ref="CU21:CU22" si="58">0.9*CN21*CM21*CQ21*CL21/1000000+0.9*$H$6*CO21*CK21*CL21*(1/CQ21)/1000000</f>
        <v>457.23973730336672</v>
      </c>
      <c r="CV21" s="139" t="str">
        <f t="shared" ref="CV21:CV22" si="59">IF(MIN(CT21:CU21)&gt;W21,"OK","NOT OK")</f>
        <v>OK</v>
      </c>
      <c r="CW21" s="63">
        <f t="shared" ref="CW21:CW22" si="60">MIN(CH21,CI21,CT21,CU21)</f>
        <v>457.23973730336672</v>
      </c>
      <c r="CX21" s="141">
        <f t="shared" ref="CX21:CX22" si="61">AB21</f>
        <v>738.3889675706713</v>
      </c>
      <c r="CY21" s="63">
        <f t="shared" ref="CY21:CY22" si="62">CW21*SQRT(1-(ABS(K21)/CX21)^2)</f>
        <v>426.34820842619206</v>
      </c>
      <c r="CZ21" s="136" t="str">
        <f t="shared" ref="CZ21:CZ22" si="63">IF(M21&lt;CY21,"OK","NOT OK")</f>
        <v>OK</v>
      </c>
      <c r="DA21" s="139">
        <f t="shared" ref="DA21:DA22" si="64">BW21</f>
        <v>2040.0000000000002</v>
      </c>
      <c r="DB21" s="63">
        <f t="shared" ref="DB21:DB22" si="65">AV21</f>
        <v>5737.5</v>
      </c>
      <c r="DC21" s="133">
        <f t="shared" ref="DC21:DC22" si="66">DA21*(1-L21/DB21)</f>
        <v>1878.2222222222224</v>
      </c>
      <c r="DD21" s="139" t="str">
        <f t="shared" ref="DD21:DD22" si="67">IF(M21&lt;DC21,"OK","NOT OK")</f>
        <v>OK</v>
      </c>
      <c r="DE21" s="63">
        <f t="shared" ref="DE21:DE22" si="68">CW21</f>
        <v>457.23973730336672</v>
      </c>
      <c r="DF21" s="63">
        <f t="shared" ref="DF21:DF22" si="69">BJ21</f>
        <v>1505.2725</v>
      </c>
      <c r="DG21" s="133">
        <f t="shared" ref="DG21:DG22" si="70">DE21*(1-L21/DF21)</f>
        <v>319.02949266458415</v>
      </c>
      <c r="DH21" s="139" t="str">
        <f t="shared" ref="DH21:DH22" si="71">IF(M21&lt;DG21,"OK","NOT OK")</f>
        <v>OK</v>
      </c>
    </row>
    <row r="22" spans="4:112" ht="12" hidden="1" customHeight="1">
      <c r="D22" s="178"/>
      <c r="E22" s="178"/>
      <c r="F22" s="67" t="s">
        <v>15</v>
      </c>
      <c r="G22" s="78">
        <v>1000</v>
      </c>
      <c r="H22" s="78">
        <v>1000</v>
      </c>
      <c r="I22" s="79">
        <f t="shared" ref="I22:I85" si="72">$J$12+((T22*fi(U22)*U22/2+W22*fi(X22)*(U22+30+X22/2)))/(T22*fi(U22)+W22*fi(X22))</f>
        <v>89.744827586206895</v>
      </c>
      <c r="J22" s="80">
        <f t="shared" si="11"/>
        <v>910.25517241379316</v>
      </c>
      <c r="K22" s="81">
        <v>-6</v>
      </c>
      <c r="L22" s="81">
        <v>40</v>
      </c>
      <c r="M22" s="81">
        <v>1.7</v>
      </c>
      <c r="N22" s="82">
        <f t="shared" si="0"/>
        <v>7.1591102799010737E-4</v>
      </c>
      <c r="O22" s="82">
        <f t="shared" si="12"/>
        <v>1E-3</v>
      </c>
      <c r="P22" s="82">
        <f t="shared" si="13"/>
        <v>0.99950000000000006</v>
      </c>
      <c r="Q22" s="83" t="str">
        <f t="shared" si="1"/>
        <v>Ok</v>
      </c>
      <c r="R22" s="84">
        <f t="shared" si="2"/>
        <v>9.1025517241379319</v>
      </c>
      <c r="S22" s="131">
        <f t="shared" si="14"/>
        <v>1E-3</v>
      </c>
      <c r="T22" s="86">
        <v>2</v>
      </c>
      <c r="U22" s="77">
        <v>18</v>
      </c>
      <c r="V22" s="87" t="str">
        <f t="shared" si="3"/>
        <v>+</v>
      </c>
      <c r="W22" s="86">
        <v>2</v>
      </c>
      <c r="X22" s="77">
        <v>16</v>
      </c>
      <c r="Y22" s="88">
        <f t="shared" ref="Y22:Y25" si="73">(T22*PI()*U22^2/4+W22*PI()*X22^2/4)/100</f>
        <v>9.1106186954104</v>
      </c>
      <c r="Z22" s="89" t="str">
        <f t="shared" si="4"/>
        <v>Ok</v>
      </c>
      <c r="AA22" s="80">
        <f>($H$6*Y22*100-$H$6*(T23*PI()*U23^2/4))/($J$11*$H$4*G22)</f>
        <v>-9.8627063484670252</v>
      </c>
      <c r="AB22" s="80">
        <f>($J$11*$H$4*G22*AA22*(J22-0.5*AA22)+$H$6*(T23*PI()*U23^2/4)*(J22-I21))*10^-6</f>
        <v>323.04752174922731</v>
      </c>
      <c r="AC22" s="89" t="str">
        <f>IF(ABS(K22)&lt;ABS(AB22),"Ok","Not  Ok")</f>
        <v>Ok</v>
      </c>
      <c r="AD22" s="85">
        <f t="shared" si="15"/>
        <v>9.1106186954103999E-4</v>
      </c>
      <c r="AE22" s="85">
        <f t="shared" si="5"/>
        <v>1.9281988961466403E-2</v>
      </c>
      <c r="AF22" s="60" t="str">
        <f>IF(AND(AD22&gt;0.1%,AD22&lt;AE22),"Ok","No-Ok")</f>
        <v>No-Ok</v>
      </c>
      <c r="AG22" s="77">
        <v>8</v>
      </c>
      <c r="AH22" s="76">
        <v>2</v>
      </c>
      <c r="AI22" s="76">
        <v>150</v>
      </c>
      <c r="AJ22" s="60">
        <f t="shared" si="6"/>
        <v>6.698666666666667</v>
      </c>
      <c r="AK22" s="60" t="str">
        <f t="shared" si="7"/>
        <v>NOT OK</v>
      </c>
      <c r="AL22" s="109">
        <f t="shared" si="8"/>
        <v>210</v>
      </c>
      <c r="AM22" s="175">
        <f t="shared" si="17"/>
        <v>1.0008862318520066</v>
      </c>
      <c r="AP22" s="109">
        <f>3.14*6^2/4*2</f>
        <v>56.52</v>
      </c>
      <c r="AT22" s="133" t="str">
        <f t="shared" si="9"/>
        <v>no need</v>
      </c>
      <c r="AU22" s="27"/>
      <c r="AV22" s="61">
        <f t="shared" si="18"/>
        <v>4642.3013793103455</v>
      </c>
      <c r="AW22" s="61" t="str">
        <f t="shared" si="19"/>
        <v>OK</v>
      </c>
      <c r="AX22" s="63">
        <f t="shared" si="20"/>
        <v>23821.22876854935</v>
      </c>
      <c r="AY22" s="63">
        <f t="shared" si="21"/>
        <v>300</v>
      </c>
      <c r="AZ22" s="63">
        <f t="shared" si="22"/>
        <v>48.929391304347831</v>
      </c>
      <c r="BA22" s="63">
        <f t="shared" ref="BA22:BA85" si="74">0.25*$K$4*G22</f>
        <v>287.5</v>
      </c>
      <c r="BB22" s="63">
        <f t="shared" ref="BB22:BB85" si="75">(AL22*AH22*(3.14*AG22^2/4)/AI22)</f>
        <v>140.672</v>
      </c>
      <c r="BC22" s="63" t="str">
        <f t="shared" ref="BC22:BC85" si="76">IF(BB22&gt;BA22,"OK","NOT OK")</f>
        <v>NOT OK</v>
      </c>
      <c r="BD22" s="63">
        <f t="shared" si="23"/>
        <v>3680.6391595341697</v>
      </c>
      <c r="BE22" s="63">
        <f t="shared" si="24"/>
        <v>2713.0191824000003</v>
      </c>
      <c r="BF22" s="63">
        <f t="shared" si="25"/>
        <v>1666.2257341241377</v>
      </c>
      <c r="BG22" s="63">
        <f t="shared" si="26"/>
        <v>970.80538471873251</v>
      </c>
      <c r="BH22" s="63">
        <f t="shared" si="27"/>
        <v>715.46784755862075</v>
      </c>
      <c r="BI22" s="63">
        <f t="shared" si="28"/>
        <v>715.46784755862075</v>
      </c>
      <c r="BJ22" s="63">
        <f t="shared" si="29"/>
        <v>715.46784755862075</v>
      </c>
      <c r="BK22" s="63" t="str">
        <f t="shared" si="30"/>
        <v>OK</v>
      </c>
      <c r="BL22" s="63">
        <f t="shared" si="31"/>
        <v>546.15310344827583</v>
      </c>
      <c r="BM22" s="63">
        <f t="shared" si="32"/>
        <v>910.25517241379316</v>
      </c>
      <c r="BN22" s="63">
        <f t="shared" si="33"/>
        <v>1820.5103448275863</v>
      </c>
      <c r="BO22" s="63">
        <f t="shared" si="34"/>
        <v>2730.7655172413797</v>
      </c>
      <c r="BP22" s="63">
        <f t="shared" si="35"/>
        <v>523.39672413793107</v>
      </c>
      <c r="BQ22" s="63">
        <f t="shared" ref="BQ22:BQ85" si="77">($H$6*Y21*100*0.9*J21+0.5*BB21*J21^2)/10^6</f>
        <v>1013.826375</v>
      </c>
      <c r="BR22" s="63" t="str">
        <f t="shared" ref="BR22:BR85" si="78">IF(K21&lt;=BQ22,"OK","NOT OK")</f>
        <v>OK</v>
      </c>
      <c r="BU22" s="139">
        <v>12</v>
      </c>
      <c r="BV22" s="139">
        <v>1</v>
      </c>
      <c r="BW22" s="139">
        <f t="shared" si="10"/>
        <v>1700.0000000000002</v>
      </c>
      <c r="BX22" s="139" t="str">
        <f t="shared" si="36"/>
        <v>OK</v>
      </c>
      <c r="BY22" s="139">
        <f t="shared" si="37"/>
        <v>1000</v>
      </c>
      <c r="BZ22" s="139">
        <f t="shared" si="37"/>
        <v>1000</v>
      </c>
      <c r="CA22" s="139">
        <f t="shared" si="38"/>
        <v>0.33333333333333331</v>
      </c>
      <c r="CB22" s="140">
        <f t="shared" si="39"/>
        <v>140.672</v>
      </c>
      <c r="CC22" s="63">
        <f t="shared" si="40"/>
        <v>11510</v>
      </c>
      <c r="CD22" s="140">
        <f t="shared" si="41"/>
        <v>2449.4897427831779</v>
      </c>
      <c r="CE22" s="141">
        <f t="shared" si="42"/>
        <v>1414.2135977284336</v>
      </c>
      <c r="CF22" s="141">
        <f t="shared" si="43"/>
        <v>3000</v>
      </c>
      <c r="CG22" s="141">
        <f t="shared" si="44"/>
        <v>2449.4897427831779</v>
      </c>
      <c r="CH22" s="63">
        <f t="shared" si="45"/>
        <v>1943.006544127132</v>
      </c>
      <c r="CI22" s="141">
        <f t="shared" si="46"/>
        <v>3246.021825552883</v>
      </c>
      <c r="CJ22" s="139" t="str">
        <f t="shared" si="47"/>
        <v>OK</v>
      </c>
      <c r="CK22" s="135">
        <f t="shared" si="48"/>
        <v>1000</v>
      </c>
      <c r="CL22" s="135">
        <f t="shared" si="49"/>
        <v>1000</v>
      </c>
      <c r="CM22" s="63">
        <f t="shared" si="50"/>
        <v>0.33333333333333331</v>
      </c>
      <c r="CN22" s="140">
        <f t="shared" si="51"/>
        <v>140.672</v>
      </c>
      <c r="CO22" s="63">
        <f>CO20</f>
        <v>681.38</v>
      </c>
      <c r="CP22" s="140">
        <f t="shared" si="53"/>
        <v>2449.4897427831779</v>
      </c>
      <c r="CQ22" s="63">
        <f t="shared" si="54"/>
        <v>1414.2135977284336</v>
      </c>
      <c r="CR22" s="133">
        <f t="shared" si="55"/>
        <v>3000</v>
      </c>
      <c r="CS22" s="133">
        <f t="shared" si="56"/>
        <v>2449.4897427831779</v>
      </c>
      <c r="CT22" s="63">
        <f t="shared" si="57"/>
        <v>212.27681052021711</v>
      </c>
      <c r="CU22" s="141">
        <f t="shared" si="58"/>
        <v>248.31006771835092</v>
      </c>
      <c r="CV22" s="139" t="str">
        <f t="shared" si="59"/>
        <v>OK</v>
      </c>
      <c r="CW22" s="63">
        <f t="shared" si="60"/>
        <v>212.27681052021711</v>
      </c>
      <c r="CX22" s="141">
        <f t="shared" si="61"/>
        <v>323.04752174922731</v>
      </c>
      <c r="CY22" s="63">
        <f t="shared" si="62"/>
        <v>212.24019377907516</v>
      </c>
      <c r="CZ22" s="136" t="str">
        <f t="shared" si="63"/>
        <v>OK</v>
      </c>
      <c r="DA22" s="139">
        <f t="shared" si="64"/>
        <v>1700.0000000000002</v>
      </c>
      <c r="DB22" s="63">
        <f t="shared" si="65"/>
        <v>4642.3013793103455</v>
      </c>
      <c r="DC22" s="133">
        <f t="shared" si="66"/>
        <v>1685.3520927566101</v>
      </c>
      <c r="DD22" s="139" t="str">
        <f t="shared" si="67"/>
        <v>OK</v>
      </c>
      <c r="DE22" s="63">
        <f t="shared" si="68"/>
        <v>212.27681052021711</v>
      </c>
      <c r="DF22" s="63">
        <f t="shared" si="69"/>
        <v>715.46784755862075</v>
      </c>
      <c r="DG22" s="133">
        <f t="shared" si="70"/>
        <v>200.40895028053947</v>
      </c>
      <c r="DH22" s="139" t="str">
        <f t="shared" si="71"/>
        <v>OK</v>
      </c>
    </row>
    <row r="23" spans="4:112" ht="12.75" customHeight="1">
      <c r="D23" s="182" t="s">
        <v>322</v>
      </c>
      <c r="E23" s="185" t="s">
        <v>340</v>
      </c>
      <c r="F23" s="155" t="s">
        <v>327</v>
      </c>
      <c r="G23" s="156">
        <v>1000</v>
      </c>
      <c r="H23" s="156">
        <v>1200</v>
      </c>
      <c r="I23" s="157">
        <v>95</v>
      </c>
      <c r="J23" s="158">
        <f t="shared" si="11"/>
        <v>1105</v>
      </c>
      <c r="K23" s="159">
        <v>2762</v>
      </c>
      <c r="L23" s="159">
        <v>455</v>
      </c>
      <c r="M23" s="159">
        <v>2</v>
      </c>
      <c r="N23" s="160">
        <f t="shared" si="0"/>
        <v>0.22363163093315713</v>
      </c>
      <c r="O23" s="160">
        <f t="shared" si="12"/>
        <v>0.25700000000000001</v>
      </c>
      <c r="P23" s="160">
        <f t="shared" si="13"/>
        <v>0.87149999999999994</v>
      </c>
      <c r="Q23" s="161" t="str">
        <f t="shared" si="1"/>
        <v>Ok</v>
      </c>
      <c r="R23" s="162">
        <f t="shared" si="2"/>
        <v>65.933290107878932</v>
      </c>
      <c r="S23" s="163">
        <f t="shared" si="14"/>
        <v>5.9668135844234329E-3</v>
      </c>
      <c r="T23" s="164">
        <v>3</v>
      </c>
      <c r="U23" s="165">
        <v>22</v>
      </c>
      <c r="V23" s="166" t="str">
        <f t="shared" si="3"/>
        <v>+</v>
      </c>
      <c r="W23" s="164">
        <v>2</v>
      </c>
      <c r="X23" s="165">
        <v>22</v>
      </c>
      <c r="Y23" s="167">
        <v>115.1</v>
      </c>
      <c r="Z23" s="168" t="str">
        <f t="shared" si="4"/>
        <v>Ok</v>
      </c>
      <c r="AA23" s="158">
        <f t="shared" ref="AA23:AA86" si="79">($H$6*Y23*100-$H$6*(T24*PI()*U24^2/4))/($J$11*$H$4*G23)</f>
        <v>445.94926465990153</v>
      </c>
      <c r="AB23" s="158">
        <f t="shared" ref="AB23:AB43" si="80">($J$11*$H$4*G23*AA23*(J23-0.5*AA23)+$H$6*(T24*PI()*U24^2/4)*(J23-I24))*10^-6</f>
        <v>4479.6534959573655</v>
      </c>
      <c r="AC23" s="168" t="str">
        <f t="shared" ref="AC23:AC86" si="81">IF(ABS(K23)&lt;AB23,"Ok","Not Ok")</f>
        <v>Ok</v>
      </c>
      <c r="AD23" s="169">
        <f t="shared" si="15"/>
        <v>9.5916666666666667E-3</v>
      </c>
      <c r="AE23" s="169">
        <f t="shared" si="5"/>
        <v>1.9281988961466403E-2</v>
      </c>
      <c r="AF23" s="170" t="str">
        <f t="shared" si="16"/>
        <v>Ok</v>
      </c>
      <c r="AG23" s="165">
        <v>12</v>
      </c>
      <c r="AH23" s="171">
        <v>3</v>
      </c>
      <c r="AI23" s="171">
        <v>200</v>
      </c>
      <c r="AJ23" s="170">
        <f t="shared" si="6"/>
        <v>11.304000000000002</v>
      </c>
      <c r="AK23" s="170" t="str">
        <f t="shared" si="7"/>
        <v>OK</v>
      </c>
      <c r="AL23" s="109">
        <f t="shared" si="8"/>
        <v>300</v>
      </c>
      <c r="AM23" s="175">
        <f t="shared" si="17"/>
        <v>1.7457038745021722</v>
      </c>
      <c r="AT23" s="133" t="str">
        <f t="shared" si="9"/>
        <v>no need</v>
      </c>
      <c r="AU23" s="27"/>
      <c r="AV23" s="61">
        <f t="shared" si="18"/>
        <v>5635.5</v>
      </c>
      <c r="AW23" s="61" t="str">
        <f t="shared" si="19"/>
        <v>OK</v>
      </c>
      <c r="AX23" s="63">
        <f t="shared" si="20"/>
        <v>3086.1071428571427</v>
      </c>
      <c r="AY23" s="63">
        <f t="shared" si="21"/>
        <v>300</v>
      </c>
      <c r="AZ23" s="63">
        <f t="shared" si="22"/>
        <v>117.95478260869568</v>
      </c>
      <c r="BA23" s="63">
        <f t="shared" si="74"/>
        <v>287.5</v>
      </c>
      <c r="BB23" s="63">
        <f t="shared" si="75"/>
        <v>508.68</v>
      </c>
      <c r="BC23" s="63" t="str">
        <f t="shared" si="76"/>
        <v>OK</v>
      </c>
      <c r="BD23" s="63">
        <f t="shared" si="23"/>
        <v>2349.6537299743591</v>
      </c>
      <c r="BE23" s="63">
        <f t="shared" si="24"/>
        <v>3598.44355</v>
      </c>
      <c r="BF23" s="63">
        <f t="shared" si="25"/>
        <v>2327.69355</v>
      </c>
      <c r="BG23" s="63">
        <f t="shared" si="26"/>
        <v>2330.6826257585458</v>
      </c>
      <c r="BH23" s="63">
        <f t="shared" si="27"/>
        <v>1478.5120999999999</v>
      </c>
      <c r="BI23" s="63">
        <f t="shared" si="28"/>
        <v>1478.5120999999999</v>
      </c>
      <c r="BJ23" s="63">
        <f t="shared" si="29"/>
        <v>1478.5120999999999</v>
      </c>
      <c r="BK23" s="63" t="str">
        <f t="shared" si="30"/>
        <v>OK</v>
      </c>
      <c r="BL23" s="63">
        <f t="shared" si="31"/>
        <v>663</v>
      </c>
      <c r="BM23" s="63">
        <f t="shared" si="32"/>
        <v>1105</v>
      </c>
      <c r="BN23" s="63">
        <f t="shared" si="33"/>
        <v>2210</v>
      </c>
      <c r="BO23" s="63">
        <f t="shared" si="34"/>
        <v>3315</v>
      </c>
      <c r="BP23" s="63">
        <f t="shared" si="35"/>
        <v>635.375</v>
      </c>
      <c r="BQ23" s="63">
        <f t="shared" si="77"/>
        <v>382.94838322114265</v>
      </c>
      <c r="BR23" s="63" t="str">
        <f t="shared" si="78"/>
        <v>OK</v>
      </c>
      <c r="BW23" s="70">
        <f t="shared" si="10"/>
        <v>2040.0000000000002</v>
      </c>
    </row>
    <row r="24" spans="4:112" ht="12" customHeight="1">
      <c r="D24" s="183"/>
      <c r="E24" s="183"/>
      <c r="F24" s="172" t="s">
        <v>328</v>
      </c>
      <c r="G24" s="156">
        <v>1000</v>
      </c>
      <c r="H24" s="156">
        <v>1200</v>
      </c>
      <c r="I24" s="157">
        <v>95</v>
      </c>
      <c r="J24" s="158">
        <f t="shared" si="11"/>
        <v>1105</v>
      </c>
      <c r="K24" s="159">
        <v>-1016.5</v>
      </c>
      <c r="L24" s="159">
        <v>455</v>
      </c>
      <c r="M24" s="159">
        <v>5</v>
      </c>
      <c r="N24" s="160">
        <f t="shared" si="0"/>
        <v>8.2303241435030497E-2</v>
      </c>
      <c r="O24" s="160">
        <f t="shared" si="12"/>
        <v>8.5999999999999993E-2</v>
      </c>
      <c r="P24" s="160">
        <f t="shared" si="13"/>
        <v>0.95699999999999996</v>
      </c>
      <c r="Q24" s="161" t="str">
        <f t="shared" si="1"/>
        <v>Ok</v>
      </c>
      <c r="R24" s="162">
        <f t="shared" si="2"/>
        <v>22.097539059139393</v>
      </c>
      <c r="S24" s="163">
        <f t="shared" si="14"/>
        <v>1.9997772904198547E-3</v>
      </c>
      <c r="T24" s="164">
        <v>3</v>
      </c>
      <c r="U24" s="165">
        <v>22</v>
      </c>
      <c r="V24" s="166" t="str">
        <f t="shared" si="3"/>
        <v>+</v>
      </c>
      <c r="W24" s="164">
        <v>0</v>
      </c>
      <c r="X24" s="165">
        <v>25</v>
      </c>
      <c r="Y24" s="167">
        <v>31.42</v>
      </c>
      <c r="Z24" s="168" t="str">
        <f t="shared" si="4"/>
        <v>Ok</v>
      </c>
      <c r="AA24" s="158">
        <f t="shared" si="79"/>
        <v>86.079763918428441</v>
      </c>
      <c r="AB24" s="158">
        <f t="shared" si="80"/>
        <v>1427.2666433325578</v>
      </c>
      <c r="AC24" s="168" t="str">
        <f t="shared" si="81"/>
        <v>Ok</v>
      </c>
      <c r="AD24" s="169">
        <f t="shared" si="15"/>
        <v>2.6183333333333332E-3</v>
      </c>
      <c r="AE24" s="169">
        <f t="shared" si="5"/>
        <v>1.9281988961466403E-2</v>
      </c>
      <c r="AF24" s="170" t="str">
        <f t="shared" si="16"/>
        <v>Ok</v>
      </c>
      <c r="AG24" s="165">
        <v>12</v>
      </c>
      <c r="AH24" s="171">
        <v>3</v>
      </c>
      <c r="AI24" s="171">
        <v>200</v>
      </c>
      <c r="AJ24" s="170">
        <f t="shared" si="6"/>
        <v>11.304000000000002</v>
      </c>
      <c r="AK24" s="170" t="str">
        <f t="shared" si="7"/>
        <v>OK</v>
      </c>
      <c r="AL24" s="109">
        <f t="shared" si="8"/>
        <v>300</v>
      </c>
      <c r="AM24" s="175">
        <f t="shared" si="17"/>
        <v>1.4218777899163799</v>
      </c>
      <c r="AT24" s="133" t="str">
        <f t="shared" si="9"/>
        <v>no need</v>
      </c>
      <c r="AU24" s="27"/>
      <c r="AV24" s="61">
        <f t="shared" si="18"/>
        <v>5635.5</v>
      </c>
      <c r="AW24" s="61" t="str">
        <f t="shared" si="19"/>
        <v>OK</v>
      </c>
      <c r="AX24" s="63">
        <f t="shared" si="20"/>
        <v>3086.1071428571427</v>
      </c>
      <c r="AY24" s="63">
        <f t="shared" si="21"/>
        <v>300</v>
      </c>
      <c r="AZ24" s="63">
        <f t="shared" si="22"/>
        <v>117.95478260869568</v>
      </c>
      <c r="BA24" s="63">
        <f t="shared" si="74"/>
        <v>287.5</v>
      </c>
      <c r="BB24" s="63">
        <f t="shared" si="75"/>
        <v>508.68</v>
      </c>
      <c r="BC24" s="63" t="str">
        <f t="shared" si="76"/>
        <v>OK</v>
      </c>
      <c r="BD24" s="63">
        <f t="shared" si="23"/>
        <v>2349.6537299743591</v>
      </c>
      <c r="BE24" s="63">
        <f t="shared" si="24"/>
        <v>3598.44355</v>
      </c>
      <c r="BF24" s="63">
        <f t="shared" si="25"/>
        <v>2327.69355</v>
      </c>
      <c r="BG24" s="63">
        <f t="shared" si="26"/>
        <v>2330.6826257585458</v>
      </c>
      <c r="BH24" s="63">
        <f t="shared" si="27"/>
        <v>1478.5120999999999</v>
      </c>
      <c r="BI24" s="63">
        <f t="shared" si="28"/>
        <v>1478.5120999999999</v>
      </c>
      <c r="BJ24" s="63">
        <f t="shared" si="29"/>
        <v>1478.5120999999999</v>
      </c>
      <c r="BK24" s="63" t="str">
        <f t="shared" si="30"/>
        <v>OK</v>
      </c>
      <c r="BL24" s="63">
        <f t="shared" si="31"/>
        <v>663</v>
      </c>
      <c r="BM24" s="63">
        <f t="shared" si="32"/>
        <v>1105</v>
      </c>
      <c r="BN24" s="63">
        <f t="shared" si="33"/>
        <v>2210</v>
      </c>
      <c r="BO24" s="63">
        <f t="shared" si="34"/>
        <v>3315</v>
      </c>
      <c r="BP24" s="63">
        <f t="shared" si="35"/>
        <v>635.375</v>
      </c>
      <c r="BQ24" s="63">
        <f t="shared" si="77"/>
        <v>5289.8678234999998</v>
      </c>
      <c r="BR24" s="63" t="str">
        <f t="shared" si="78"/>
        <v>OK</v>
      </c>
      <c r="BW24" s="70">
        <f t="shared" si="10"/>
        <v>2040.0000000000002</v>
      </c>
    </row>
    <row r="25" spans="4:112" ht="11.25" hidden="1" customHeight="1">
      <c r="D25" s="184"/>
      <c r="E25" s="184"/>
      <c r="F25" s="155" t="s">
        <v>15</v>
      </c>
      <c r="G25" s="156">
        <v>1000</v>
      </c>
      <c r="H25" s="156">
        <v>1000</v>
      </c>
      <c r="I25" s="157">
        <f t="shared" si="72"/>
        <v>91.8</v>
      </c>
      <c r="J25" s="158">
        <f t="shared" si="11"/>
        <v>908.2</v>
      </c>
      <c r="K25" s="159">
        <v>-30</v>
      </c>
      <c r="L25" s="159">
        <v>19</v>
      </c>
      <c r="M25" s="159">
        <v>3</v>
      </c>
      <c r="N25" s="160">
        <f t="shared" si="0"/>
        <v>3.5957738729005119E-3</v>
      </c>
      <c r="O25" s="160">
        <f t="shared" si="12"/>
        <v>4.0000000000000001E-3</v>
      </c>
      <c r="P25" s="160">
        <f t="shared" si="13"/>
        <v>0.998</v>
      </c>
      <c r="Q25" s="161" t="str">
        <f t="shared" si="1"/>
        <v>Ok</v>
      </c>
      <c r="R25" s="162">
        <f t="shared" si="2"/>
        <v>9.0820000000000007</v>
      </c>
      <c r="S25" s="163">
        <f t="shared" si="14"/>
        <v>1E-3</v>
      </c>
      <c r="T25" s="164">
        <v>3</v>
      </c>
      <c r="U25" s="165">
        <v>22</v>
      </c>
      <c r="V25" s="166" t="str">
        <f t="shared" si="3"/>
        <v>+</v>
      </c>
      <c r="W25" s="164">
        <v>2</v>
      </c>
      <c r="X25" s="165">
        <v>22</v>
      </c>
      <c r="Y25" s="167">
        <f t="shared" si="73"/>
        <v>19.006635554218249</v>
      </c>
      <c r="Z25" s="168" t="str">
        <f t="shared" si="4"/>
        <v>Ok</v>
      </c>
      <c r="AA25" s="158">
        <f t="shared" si="79"/>
        <v>32.695547073000242</v>
      </c>
      <c r="AB25" s="158">
        <f t="shared" si="80"/>
        <v>698.35603457022785</v>
      </c>
      <c r="AC25" s="168" t="str">
        <f t="shared" si="81"/>
        <v>Ok</v>
      </c>
      <c r="AD25" s="169">
        <f t="shared" si="15"/>
        <v>1.9006635554218248E-3</v>
      </c>
      <c r="AE25" s="169">
        <f t="shared" si="5"/>
        <v>1.9281988961466403E-2</v>
      </c>
      <c r="AF25" s="170" t="str">
        <f t="shared" si="16"/>
        <v>Ok</v>
      </c>
      <c r="AG25" s="165">
        <v>10</v>
      </c>
      <c r="AH25" s="171">
        <v>2</v>
      </c>
      <c r="AI25" s="171">
        <v>150</v>
      </c>
      <c r="AJ25" s="170">
        <f t="shared" si="6"/>
        <v>10.466666666666667</v>
      </c>
      <c r="AK25" s="170" t="str">
        <f t="shared" si="7"/>
        <v>OK</v>
      </c>
      <c r="AL25" s="109">
        <f t="shared" si="8"/>
        <v>300</v>
      </c>
      <c r="AM25" s="175">
        <f t="shared" si="17"/>
        <v>2.0927808361834672</v>
      </c>
      <c r="AT25" s="133" t="str">
        <f t="shared" si="9"/>
        <v>no need</v>
      </c>
      <c r="AU25" s="27"/>
      <c r="AV25" s="61">
        <f t="shared" si="18"/>
        <v>4631.82</v>
      </c>
      <c r="AW25" s="61" t="str">
        <f t="shared" si="19"/>
        <v>OK</v>
      </c>
      <c r="AX25" s="63">
        <f t="shared" si="20"/>
        <v>49923.754000000008</v>
      </c>
      <c r="AY25" s="63">
        <f t="shared" si="21"/>
        <v>300</v>
      </c>
      <c r="AZ25" s="63">
        <f t="shared" si="22"/>
        <v>109.21739130434783</v>
      </c>
      <c r="BA25" s="63">
        <f t="shared" si="74"/>
        <v>287.5</v>
      </c>
      <c r="BB25" s="63">
        <f t="shared" si="75"/>
        <v>314</v>
      </c>
      <c r="BC25" s="63" t="str">
        <f t="shared" si="76"/>
        <v>OK</v>
      </c>
      <c r="BD25" s="63">
        <f t="shared" si="23"/>
        <v>2457.9927158319251</v>
      </c>
      <c r="BE25" s="63">
        <f t="shared" si="24"/>
        <v>2824.9560999999999</v>
      </c>
      <c r="BF25" s="63">
        <f t="shared" si="25"/>
        <v>1780.5260999999998</v>
      </c>
      <c r="BG25" s="63">
        <f t="shared" si="26"/>
        <v>1447.1432114460458</v>
      </c>
      <c r="BH25" s="63">
        <f t="shared" si="27"/>
        <v>949.97720000000004</v>
      </c>
      <c r="BI25" s="63">
        <f t="shared" si="28"/>
        <v>949.97720000000004</v>
      </c>
      <c r="BJ25" s="63">
        <f t="shared" si="29"/>
        <v>949.97720000000004</v>
      </c>
      <c r="BK25" s="63" t="str">
        <f t="shared" si="30"/>
        <v>OK</v>
      </c>
      <c r="BL25" s="63">
        <f t="shared" si="31"/>
        <v>544.91999999999996</v>
      </c>
      <c r="BM25" s="63">
        <f t="shared" si="32"/>
        <v>908.2</v>
      </c>
      <c r="BN25" s="63">
        <f t="shared" si="33"/>
        <v>1816.4</v>
      </c>
      <c r="BO25" s="63">
        <f t="shared" si="34"/>
        <v>2724.6000000000004</v>
      </c>
      <c r="BP25" s="63">
        <f t="shared" si="35"/>
        <v>522.21500000000003</v>
      </c>
      <c r="BQ25" s="63">
        <f t="shared" si="77"/>
        <v>1669.8082635000001</v>
      </c>
      <c r="BR25" s="63" t="str">
        <f t="shared" si="78"/>
        <v>OK</v>
      </c>
      <c r="BW25" s="70">
        <f t="shared" si="10"/>
        <v>1700.0000000000002</v>
      </c>
    </row>
    <row r="26" spans="4:112" ht="12.75" customHeight="1">
      <c r="D26" s="186" t="s">
        <v>323</v>
      </c>
      <c r="E26" s="189" t="s">
        <v>341</v>
      </c>
      <c r="F26" s="67" t="s">
        <v>327</v>
      </c>
      <c r="G26" s="78">
        <v>1000</v>
      </c>
      <c r="H26" s="78">
        <v>1200</v>
      </c>
      <c r="I26" s="79">
        <v>95</v>
      </c>
      <c r="J26" s="80">
        <f t="shared" si="11"/>
        <v>1105</v>
      </c>
      <c r="K26" s="81">
        <v>4144</v>
      </c>
      <c r="L26" s="81">
        <v>1343</v>
      </c>
      <c r="M26" s="81">
        <v>2</v>
      </c>
      <c r="N26" s="82">
        <f t="shared" si="0"/>
        <v>0.33552841368102937</v>
      </c>
      <c r="O26" s="82">
        <f t="shared" si="12"/>
        <v>0.42599999999999999</v>
      </c>
      <c r="P26" s="82">
        <f t="shared" si="13"/>
        <v>0.78700000000000003</v>
      </c>
      <c r="Q26" s="83" t="str">
        <f t="shared" si="1"/>
        <v>Ok</v>
      </c>
      <c r="R26" s="84">
        <f t="shared" si="2"/>
        <v>109.54523198363904</v>
      </c>
      <c r="S26" s="131">
        <f t="shared" si="14"/>
        <v>9.9135956546279672E-3</v>
      </c>
      <c r="T26" s="86">
        <v>3</v>
      </c>
      <c r="U26" s="77">
        <v>22</v>
      </c>
      <c r="V26" s="87" t="str">
        <f t="shared" si="3"/>
        <v>+</v>
      </c>
      <c r="W26" s="86">
        <v>2</v>
      </c>
      <c r="X26" s="77">
        <v>22</v>
      </c>
      <c r="Y26" s="88">
        <v>157.69999999999999</v>
      </c>
      <c r="Z26" s="89" t="str">
        <f t="shared" si="4"/>
        <v>Ok</v>
      </c>
      <c r="AA26" s="80">
        <f t="shared" si="79"/>
        <v>629.15242827829002</v>
      </c>
      <c r="AB26" s="80">
        <f t="shared" si="80"/>
        <v>5531.1935223654837</v>
      </c>
      <c r="AC26" s="89" t="str">
        <f t="shared" si="81"/>
        <v>Ok</v>
      </c>
      <c r="AD26" s="85">
        <f t="shared" si="15"/>
        <v>1.3141666666666664E-2</v>
      </c>
      <c r="AE26" s="85">
        <f t="shared" si="5"/>
        <v>1.9281988961466403E-2</v>
      </c>
      <c r="AF26" s="60" t="str">
        <f t="shared" si="16"/>
        <v>Ok</v>
      </c>
      <c r="AG26" s="77">
        <v>12</v>
      </c>
      <c r="AH26" s="76">
        <v>3</v>
      </c>
      <c r="AI26" s="76">
        <v>200</v>
      </c>
      <c r="AJ26" s="60">
        <f t="shared" si="6"/>
        <v>11.304000000000002</v>
      </c>
      <c r="AK26" s="60" t="str">
        <f t="shared" si="7"/>
        <v>OK</v>
      </c>
      <c r="AL26" s="109">
        <f t="shared" si="8"/>
        <v>300</v>
      </c>
      <c r="AM26" s="175">
        <f t="shared" si="17"/>
        <v>1.4395879870294404</v>
      </c>
      <c r="AT26" s="133" t="str">
        <f t="shared" si="9"/>
        <v>need</v>
      </c>
      <c r="AU26" s="27"/>
      <c r="AV26" s="61">
        <f t="shared" si="18"/>
        <v>5635.5</v>
      </c>
      <c r="AW26" s="61" t="str">
        <f t="shared" si="19"/>
        <v>OK</v>
      </c>
      <c r="AX26" s="63">
        <f t="shared" si="20"/>
        <v>1045.5537974683543</v>
      </c>
      <c r="AY26" s="63">
        <f t="shared" si="21"/>
        <v>300</v>
      </c>
      <c r="AZ26" s="63">
        <f t="shared" si="22"/>
        <v>117.95478260869568</v>
      </c>
      <c r="BA26" s="63">
        <f t="shared" si="74"/>
        <v>287.5</v>
      </c>
      <c r="BB26" s="63">
        <f t="shared" si="75"/>
        <v>508.68</v>
      </c>
      <c r="BC26" s="63" t="str">
        <f t="shared" si="76"/>
        <v>OK</v>
      </c>
      <c r="BD26" s="63">
        <f t="shared" si="23"/>
        <v>2349.6537299743591</v>
      </c>
      <c r="BE26" s="63">
        <f t="shared" si="24"/>
        <v>3598.44355</v>
      </c>
      <c r="BF26" s="63">
        <f t="shared" si="25"/>
        <v>2327.69355</v>
      </c>
      <c r="BG26" s="63">
        <f t="shared" si="26"/>
        <v>2330.6826257585458</v>
      </c>
      <c r="BH26" s="63">
        <f t="shared" si="27"/>
        <v>1478.5120999999999</v>
      </c>
      <c r="BI26" s="63">
        <f t="shared" si="28"/>
        <v>1478.5120999999999</v>
      </c>
      <c r="BJ26" s="63">
        <f t="shared" si="29"/>
        <v>1478.5120999999999</v>
      </c>
      <c r="BK26" s="63" t="str">
        <f t="shared" si="30"/>
        <v>OK</v>
      </c>
      <c r="BL26" s="63">
        <f t="shared" si="31"/>
        <v>663</v>
      </c>
      <c r="BM26" s="63">
        <f t="shared" si="32"/>
        <v>1105</v>
      </c>
      <c r="BN26" s="63">
        <f t="shared" si="33"/>
        <v>2210</v>
      </c>
      <c r="BO26" s="63">
        <f t="shared" si="34"/>
        <v>3315</v>
      </c>
      <c r="BP26" s="63">
        <f t="shared" si="35"/>
        <v>635.375</v>
      </c>
      <c r="BQ26" s="63">
        <f t="shared" si="77"/>
        <v>805.29838064485068</v>
      </c>
      <c r="BR26" s="63" t="str">
        <f t="shared" si="78"/>
        <v>OK</v>
      </c>
      <c r="BW26" s="70">
        <f t="shared" si="10"/>
        <v>2040.0000000000002</v>
      </c>
    </row>
    <row r="27" spans="4:112" ht="12" customHeight="1">
      <c r="D27" s="187"/>
      <c r="E27" s="187"/>
      <c r="F27" s="68" t="s">
        <v>328</v>
      </c>
      <c r="G27" s="78">
        <v>1000</v>
      </c>
      <c r="H27" s="78">
        <v>1200</v>
      </c>
      <c r="I27" s="79">
        <v>95</v>
      </c>
      <c r="J27" s="80">
        <f t="shared" si="11"/>
        <v>1105</v>
      </c>
      <c r="K27" s="81">
        <v>-1740</v>
      </c>
      <c r="L27" s="81">
        <v>1343</v>
      </c>
      <c r="M27" s="81">
        <v>5</v>
      </c>
      <c r="N27" s="82">
        <f t="shared" si="0"/>
        <v>0.14088306945101137</v>
      </c>
      <c r="O27" s="82">
        <f t="shared" si="12"/>
        <v>0.153</v>
      </c>
      <c r="P27" s="82">
        <f t="shared" si="13"/>
        <v>0.92349999999999999</v>
      </c>
      <c r="Q27" s="83" t="str">
        <f t="shared" si="1"/>
        <v>Ok</v>
      </c>
      <c r="R27" s="84">
        <f t="shared" si="2"/>
        <v>39.197720652544056</v>
      </c>
      <c r="S27" s="131">
        <f t="shared" si="14"/>
        <v>3.5473050364293263E-3</v>
      </c>
      <c r="T27" s="86">
        <v>3</v>
      </c>
      <c r="U27" s="77">
        <v>22</v>
      </c>
      <c r="V27" s="87" t="str">
        <f t="shared" si="3"/>
        <v>+</v>
      </c>
      <c r="W27" s="86">
        <v>0</v>
      </c>
      <c r="X27" s="77">
        <v>25</v>
      </c>
      <c r="Y27" s="88">
        <v>93</v>
      </c>
      <c r="Z27" s="89" t="str">
        <f t="shared" si="4"/>
        <v>Ok</v>
      </c>
      <c r="AA27" s="80">
        <f t="shared" si="79"/>
        <v>350.90724785317877</v>
      </c>
      <c r="AB27" s="80">
        <f t="shared" si="80"/>
        <v>3801.9781843110782</v>
      </c>
      <c r="AC27" s="89" t="str">
        <f t="shared" si="81"/>
        <v>Ok</v>
      </c>
      <c r="AD27" s="85">
        <f t="shared" si="15"/>
        <v>7.7499999999999999E-3</v>
      </c>
      <c r="AE27" s="85">
        <f t="shared" si="5"/>
        <v>1.9281988961466403E-2</v>
      </c>
      <c r="AF27" s="60" t="str">
        <f t="shared" si="16"/>
        <v>Ok</v>
      </c>
      <c r="AG27" s="77">
        <v>12</v>
      </c>
      <c r="AH27" s="76">
        <v>3</v>
      </c>
      <c r="AI27" s="76">
        <v>200</v>
      </c>
      <c r="AJ27" s="60">
        <f t="shared" si="6"/>
        <v>11.304000000000002</v>
      </c>
      <c r="AK27" s="60" t="str">
        <f t="shared" si="7"/>
        <v>OK</v>
      </c>
      <c r="AL27" s="109">
        <f t="shared" si="8"/>
        <v>300</v>
      </c>
      <c r="AM27" s="175">
        <f t="shared" si="17"/>
        <v>2.3725869374999999</v>
      </c>
      <c r="AT27" s="133" t="str">
        <f t="shared" si="9"/>
        <v>need</v>
      </c>
      <c r="AU27" s="27"/>
      <c r="AV27" s="61">
        <f t="shared" si="18"/>
        <v>5635.5</v>
      </c>
      <c r="AW27" s="61" t="str">
        <f t="shared" si="19"/>
        <v>OK</v>
      </c>
      <c r="AX27" s="63">
        <f t="shared" si="20"/>
        <v>1045.5537974683543</v>
      </c>
      <c r="AY27" s="63">
        <f t="shared" si="21"/>
        <v>300</v>
      </c>
      <c r="AZ27" s="63">
        <f t="shared" si="22"/>
        <v>117.95478260869568</v>
      </c>
      <c r="BA27" s="63">
        <f t="shared" si="74"/>
        <v>287.5</v>
      </c>
      <c r="BB27" s="63">
        <f t="shared" si="75"/>
        <v>508.68</v>
      </c>
      <c r="BC27" s="63" t="str">
        <f t="shared" si="76"/>
        <v>OK</v>
      </c>
      <c r="BD27" s="63">
        <f t="shared" si="23"/>
        <v>2349.6537299743591</v>
      </c>
      <c r="BE27" s="63">
        <f t="shared" si="24"/>
        <v>3598.44355</v>
      </c>
      <c r="BF27" s="63">
        <f t="shared" si="25"/>
        <v>2327.69355</v>
      </c>
      <c r="BG27" s="63">
        <f t="shared" si="26"/>
        <v>2330.6826257585458</v>
      </c>
      <c r="BH27" s="63">
        <f t="shared" si="27"/>
        <v>1478.5120999999999</v>
      </c>
      <c r="BI27" s="63">
        <f t="shared" si="28"/>
        <v>1478.5120999999999</v>
      </c>
      <c r="BJ27" s="63">
        <f t="shared" si="29"/>
        <v>1478.5120999999999</v>
      </c>
      <c r="BK27" s="63" t="str">
        <f t="shared" si="30"/>
        <v>OK</v>
      </c>
      <c r="BL27" s="63">
        <f t="shared" si="31"/>
        <v>663</v>
      </c>
      <c r="BM27" s="63">
        <f t="shared" si="32"/>
        <v>1105</v>
      </c>
      <c r="BN27" s="63">
        <f t="shared" si="33"/>
        <v>2210</v>
      </c>
      <c r="BO27" s="63">
        <f t="shared" si="34"/>
        <v>3315</v>
      </c>
      <c r="BP27" s="63">
        <f t="shared" si="35"/>
        <v>635.375</v>
      </c>
      <c r="BQ27" s="63">
        <f t="shared" si="77"/>
        <v>7132.7757734999996</v>
      </c>
      <c r="BR27" s="63" t="str">
        <f t="shared" si="78"/>
        <v>OK</v>
      </c>
      <c r="BW27" s="70">
        <f t="shared" si="10"/>
        <v>2040.0000000000002</v>
      </c>
    </row>
    <row r="28" spans="4:112" ht="11.25" hidden="1" customHeight="1">
      <c r="D28" s="188"/>
      <c r="E28" s="188"/>
      <c r="F28" s="67" t="s">
        <v>15</v>
      </c>
      <c r="G28" s="78">
        <v>1000</v>
      </c>
      <c r="H28" s="78">
        <v>1000</v>
      </c>
      <c r="I28" s="79">
        <f t="shared" ref="I28:I37" si="82">$J$12+((T28*fi(U28)*U28/2+W28*fi(X28)*(U28+30+X28/2)))/(T28*fi(U28)+W28*fi(X28))</f>
        <v>91.8</v>
      </c>
      <c r="J28" s="80">
        <f t="shared" si="11"/>
        <v>908.2</v>
      </c>
      <c r="K28" s="81">
        <v>-30</v>
      </c>
      <c r="L28" s="81">
        <v>19</v>
      </c>
      <c r="M28" s="81">
        <v>3</v>
      </c>
      <c r="N28" s="82">
        <f t="shared" si="0"/>
        <v>3.5957738729005119E-3</v>
      </c>
      <c r="O28" s="82">
        <f t="shared" si="12"/>
        <v>4.0000000000000001E-3</v>
      </c>
      <c r="P28" s="82">
        <f t="shared" si="13"/>
        <v>0.998</v>
      </c>
      <c r="Q28" s="83" t="str">
        <f t="shared" si="1"/>
        <v>Ok</v>
      </c>
      <c r="R28" s="84">
        <f t="shared" si="2"/>
        <v>9.0820000000000007</v>
      </c>
      <c r="S28" s="131">
        <f t="shared" si="14"/>
        <v>1E-3</v>
      </c>
      <c r="T28" s="86">
        <v>3</v>
      </c>
      <c r="U28" s="77">
        <v>22</v>
      </c>
      <c r="V28" s="87" t="str">
        <f t="shared" si="3"/>
        <v>+</v>
      </c>
      <c r="W28" s="86">
        <v>2</v>
      </c>
      <c r="X28" s="77">
        <v>22</v>
      </c>
      <c r="Y28" s="88">
        <f t="shared" ref="Y28:Y43" si="83">(T28*PI()*U28^2/4+W28*PI()*X28^2/4)/100</f>
        <v>19.006635554218249</v>
      </c>
      <c r="Z28" s="89" t="str">
        <f t="shared" si="4"/>
        <v>Ok</v>
      </c>
      <c r="AA28" s="80">
        <f t="shared" si="79"/>
        <v>32.695547073000242</v>
      </c>
      <c r="AB28" s="80">
        <f t="shared" si="80"/>
        <v>708.27749832952975</v>
      </c>
      <c r="AC28" s="89" t="str">
        <f t="shared" si="81"/>
        <v>Ok</v>
      </c>
      <c r="AD28" s="85">
        <f t="shared" si="15"/>
        <v>1.9006635554218248E-3</v>
      </c>
      <c r="AE28" s="85">
        <f t="shared" si="5"/>
        <v>1.9281988961466403E-2</v>
      </c>
      <c r="AF28" s="60" t="str">
        <f t="shared" si="16"/>
        <v>Ok</v>
      </c>
      <c r="AG28" s="77">
        <v>10</v>
      </c>
      <c r="AH28" s="76">
        <v>2</v>
      </c>
      <c r="AI28" s="76">
        <v>150</v>
      </c>
      <c r="AJ28" s="60">
        <f t="shared" si="6"/>
        <v>10.466666666666667</v>
      </c>
      <c r="AK28" s="60" t="str">
        <f t="shared" si="7"/>
        <v>OK</v>
      </c>
      <c r="AL28" s="109">
        <f t="shared" si="8"/>
        <v>300</v>
      </c>
      <c r="AM28" s="175">
        <f t="shared" si="17"/>
        <v>2.0927808361834672</v>
      </c>
      <c r="AT28" s="133" t="str">
        <f t="shared" si="9"/>
        <v>no need</v>
      </c>
      <c r="AU28" s="27"/>
      <c r="AV28" s="61">
        <f t="shared" si="18"/>
        <v>4631.82</v>
      </c>
      <c r="AW28" s="61" t="str">
        <f t="shared" si="19"/>
        <v>OK</v>
      </c>
      <c r="AX28" s="63">
        <f t="shared" si="20"/>
        <v>49923.754000000008</v>
      </c>
      <c r="AY28" s="63">
        <f t="shared" si="21"/>
        <v>300</v>
      </c>
      <c r="AZ28" s="63">
        <f t="shared" si="22"/>
        <v>109.21739130434783</v>
      </c>
      <c r="BA28" s="63">
        <f t="shared" si="74"/>
        <v>287.5</v>
      </c>
      <c r="BB28" s="63">
        <f t="shared" si="75"/>
        <v>314</v>
      </c>
      <c r="BC28" s="63" t="str">
        <f t="shared" si="76"/>
        <v>OK</v>
      </c>
      <c r="BD28" s="63">
        <f t="shared" si="23"/>
        <v>2457.9927158319251</v>
      </c>
      <c r="BE28" s="63">
        <f t="shared" si="24"/>
        <v>2824.9560999999999</v>
      </c>
      <c r="BF28" s="63">
        <f t="shared" si="25"/>
        <v>1780.5260999999998</v>
      </c>
      <c r="BG28" s="63">
        <f t="shared" si="26"/>
        <v>1447.1432114460458</v>
      </c>
      <c r="BH28" s="63">
        <f t="shared" si="27"/>
        <v>949.97720000000004</v>
      </c>
      <c r="BI28" s="63">
        <f t="shared" si="28"/>
        <v>949.97720000000004</v>
      </c>
      <c r="BJ28" s="63">
        <f t="shared" si="29"/>
        <v>949.97720000000004</v>
      </c>
      <c r="BK28" s="63" t="str">
        <f t="shared" si="30"/>
        <v>OK</v>
      </c>
      <c r="BL28" s="63">
        <f t="shared" si="31"/>
        <v>544.91999999999996</v>
      </c>
      <c r="BM28" s="63">
        <f t="shared" si="32"/>
        <v>908.2</v>
      </c>
      <c r="BN28" s="63">
        <f t="shared" si="33"/>
        <v>1816.4</v>
      </c>
      <c r="BO28" s="63">
        <f t="shared" si="34"/>
        <v>2724.6000000000004</v>
      </c>
      <c r="BP28" s="63">
        <f t="shared" si="35"/>
        <v>522.21500000000003</v>
      </c>
      <c r="BQ28" s="63">
        <f t="shared" si="77"/>
        <v>4333.8052484999998</v>
      </c>
      <c r="BR28" s="63" t="str">
        <f t="shared" si="78"/>
        <v>OK</v>
      </c>
      <c r="BW28" s="70">
        <f t="shared" si="10"/>
        <v>1700.0000000000002</v>
      </c>
    </row>
    <row r="29" spans="4:112" ht="12.75" customHeight="1">
      <c r="D29" s="182" t="s">
        <v>324</v>
      </c>
      <c r="E29" s="185" t="s">
        <v>342</v>
      </c>
      <c r="F29" s="155" t="s">
        <v>327</v>
      </c>
      <c r="G29" s="156">
        <v>1000</v>
      </c>
      <c r="H29" s="156">
        <v>1200</v>
      </c>
      <c r="I29" s="157">
        <v>75</v>
      </c>
      <c r="J29" s="158">
        <f t="shared" si="11"/>
        <v>1125</v>
      </c>
      <c r="K29" s="159">
        <v>1429</v>
      </c>
      <c r="L29" s="159">
        <v>1343</v>
      </c>
      <c r="M29" s="159">
        <v>2</v>
      </c>
      <c r="N29" s="160">
        <f t="shared" si="0"/>
        <v>0.11162495499289041</v>
      </c>
      <c r="O29" s="160">
        <f t="shared" si="12"/>
        <v>0.11899999999999999</v>
      </c>
      <c r="P29" s="160">
        <f t="shared" si="13"/>
        <v>0.9405</v>
      </c>
      <c r="Q29" s="161" t="str">
        <f t="shared" si="1"/>
        <v>Ok</v>
      </c>
      <c r="R29" s="162">
        <f t="shared" si="2"/>
        <v>31.047858432411772</v>
      </c>
      <c r="S29" s="163">
        <f t="shared" si="14"/>
        <v>2.759809638436602E-3</v>
      </c>
      <c r="T29" s="164">
        <v>3</v>
      </c>
      <c r="U29" s="165">
        <v>22</v>
      </c>
      <c r="V29" s="166" t="str">
        <f t="shared" si="3"/>
        <v>+</v>
      </c>
      <c r="W29" s="164">
        <v>2</v>
      </c>
      <c r="X29" s="165">
        <v>22</v>
      </c>
      <c r="Y29" s="167">
        <v>46.5</v>
      </c>
      <c r="Z29" s="168" t="str">
        <f t="shared" si="4"/>
        <v>Ok</v>
      </c>
      <c r="AA29" s="158">
        <f t="shared" si="79"/>
        <v>150.9319636218392</v>
      </c>
      <c r="AB29" s="158">
        <f t="shared" si="80"/>
        <v>2123.1760963744387</v>
      </c>
      <c r="AC29" s="168" t="str">
        <f t="shared" si="81"/>
        <v>Ok</v>
      </c>
      <c r="AD29" s="169">
        <f t="shared" si="15"/>
        <v>3.875E-3</v>
      </c>
      <c r="AE29" s="169">
        <f t="shared" si="5"/>
        <v>1.9281988961466403E-2</v>
      </c>
      <c r="AF29" s="170" t="str">
        <f t="shared" si="16"/>
        <v>Ok</v>
      </c>
      <c r="AG29" s="165">
        <v>12</v>
      </c>
      <c r="AH29" s="171">
        <v>3</v>
      </c>
      <c r="AI29" s="171">
        <v>200</v>
      </c>
      <c r="AJ29" s="170">
        <f t="shared" si="6"/>
        <v>11.304000000000002</v>
      </c>
      <c r="AK29" s="170" t="str">
        <f t="shared" si="7"/>
        <v>OK</v>
      </c>
      <c r="AL29" s="109">
        <f t="shared" si="8"/>
        <v>300</v>
      </c>
      <c r="AM29" s="175">
        <f t="shared" si="17"/>
        <v>1.4976878389608117</v>
      </c>
      <c r="AT29" s="133" t="str">
        <f t="shared" si="9"/>
        <v>need</v>
      </c>
      <c r="AU29" s="27"/>
      <c r="AV29" s="61">
        <f t="shared" si="18"/>
        <v>5737.5</v>
      </c>
      <c r="AW29" s="61" t="str">
        <f t="shared" si="19"/>
        <v>OK</v>
      </c>
      <c r="AX29" s="63">
        <f t="shared" si="20"/>
        <v>1083.7444154877142</v>
      </c>
      <c r="AY29" s="63">
        <f t="shared" si="21"/>
        <v>300</v>
      </c>
      <c r="AZ29" s="63">
        <f t="shared" si="22"/>
        <v>117.95478260869568</v>
      </c>
      <c r="BA29" s="63">
        <f t="shared" si="74"/>
        <v>287.5</v>
      </c>
      <c r="BB29" s="63">
        <f t="shared" si="75"/>
        <v>508.68</v>
      </c>
      <c r="BC29" s="63" t="str">
        <f t="shared" si="76"/>
        <v>OK</v>
      </c>
      <c r="BD29" s="63">
        <f t="shared" si="23"/>
        <v>2392.1813992951616</v>
      </c>
      <c r="BE29" s="63">
        <f t="shared" si="24"/>
        <v>3663.57375</v>
      </c>
      <c r="BF29" s="63">
        <f t="shared" si="25"/>
        <v>2369.8237499999996</v>
      </c>
      <c r="BG29" s="63">
        <f t="shared" si="26"/>
        <v>2372.8669266772522</v>
      </c>
      <c r="BH29" s="63">
        <f t="shared" si="27"/>
        <v>1505.2725</v>
      </c>
      <c r="BI29" s="63">
        <f t="shared" si="28"/>
        <v>1505.2725</v>
      </c>
      <c r="BJ29" s="63">
        <f t="shared" si="29"/>
        <v>1505.2725</v>
      </c>
      <c r="BK29" s="63" t="str">
        <f t="shared" si="30"/>
        <v>OK</v>
      </c>
      <c r="BL29" s="63">
        <f t="shared" si="31"/>
        <v>675</v>
      </c>
      <c r="BM29" s="63">
        <f t="shared" si="32"/>
        <v>1125</v>
      </c>
      <c r="BN29" s="63">
        <f t="shared" si="33"/>
        <v>2250</v>
      </c>
      <c r="BO29" s="63">
        <f t="shared" si="34"/>
        <v>3375</v>
      </c>
      <c r="BP29" s="63">
        <f t="shared" si="35"/>
        <v>646.875</v>
      </c>
      <c r="BQ29" s="63">
        <f t="shared" si="77"/>
        <v>805.29838064485068</v>
      </c>
      <c r="BR29" s="63" t="str">
        <f t="shared" si="78"/>
        <v>OK</v>
      </c>
      <c r="BW29" s="70">
        <f t="shared" si="10"/>
        <v>2040.0000000000002</v>
      </c>
    </row>
    <row r="30" spans="4:112" ht="12" customHeight="1">
      <c r="D30" s="183"/>
      <c r="E30" s="183"/>
      <c r="F30" s="172" t="s">
        <v>328</v>
      </c>
      <c r="G30" s="156">
        <v>1000</v>
      </c>
      <c r="H30" s="156">
        <v>1200</v>
      </c>
      <c r="I30" s="157">
        <v>75</v>
      </c>
      <c r="J30" s="158">
        <f t="shared" si="11"/>
        <v>1125</v>
      </c>
      <c r="K30" s="159">
        <v>-420</v>
      </c>
      <c r="L30" s="159">
        <v>1343</v>
      </c>
      <c r="M30" s="159">
        <v>5</v>
      </c>
      <c r="N30" s="160">
        <f t="shared" si="0"/>
        <v>3.28078943995899E-2</v>
      </c>
      <c r="O30" s="160">
        <f t="shared" si="12"/>
        <v>3.3000000000000002E-2</v>
      </c>
      <c r="P30" s="160">
        <f t="shared" si="13"/>
        <v>0.98350000000000004</v>
      </c>
      <c r="Q30" s="161" t="str">
        <f t="shared" si="1"/>
        <v>Ok</v>
      </c>
      <c r="R30" s="162">
        <f t="shared" si="2"/>
        <v>11.25</v>
      </c>
      <c r="S30" s="163">
        <f t="shared" si="14"/>
        <v>1E-3</v>
      </c>
      <c r="T30" s="164">
        <v>3</v>
      </c>
      <c r="U30" s="165">
        <v>22</v>
      </c>
      <c r="V30" s="166" t="str">
        <f t="shared" si="3"/>
        <v>+</v>
      </c>
      <c r="W30" s="164">
        <v>0</v>
      </c>
      <c r="X30" s="165">
        <v>25</v>
      </c>
      <c r="Y30" s="167">
        <v>31.42</v>
      </c>
      <c r="Z30" s="168" t="str">
        <f t="shared" si="4"/>
        <v>Ok</v>
      </c>
      <c r="AA30" s="158">
        <f t="shared" si="79"/>
        <v>86.079763918428441</v>
      </c>
      <c r="AB30" s="158">
        <f t="shared" si="80"/>
        <v>1454.6020433325575</v>
      </c>
      <c r="AC30" s="168" t="str">
        <f t="shared" si="81"/>
        <v>Ok</v>
      </c>
      <c r="AD30" s="169">
        <f t="shared" si="15"/>
        <v>2.6183333333333332E-3</v>
      </c>
      <c r="AE30" s="169">
        <f t="shared" si="5"/>
        <v>1.9281988961466403E-2</v>
      </c>
      <c r="AF30" s="170" t="str">
        <f t="shared" si="16"/>
        <v>Ok</v>
      </c>
      <c r="AG30" s="165">
        <v>12</v>
      </c>
      <c r="AH30" s="171">
        <v>3</v>
      </c>
      <c r="AI30" s="171">
        <v>200</v>
      </c>
      <c r="AJ30" s="170">
        <f t="shared" si="6"/>
        <v>11.304000000000002</v>
      </c>
      <c r="AK30" s="170" t="str">
        <f t="shared" si="7"/>
        <v>OK</v>
      </c>
      <c r="AL30" s="109">
        <f t="shared" si="8"/>
        <v>300</v>
      </c>
      <c r="AM30" s="175">
        <f t="shared" si="17"/>
        <v>2.7928888888888892</v>
      </c>
      <c r="AT30" s="133" t="str">
        <f t="shared" si="9"/>
        <v>need</v>
      </c>
      <c r="AU30" s="27"/>
      <c r="AV30" s="61">
        <f t="shared" si="18"/>
        <v>5737.5</v>
      </c>
      <c r="AW30" s="61" t="str">
        <f t="shared" si="19"/>
        <v>OK</v>
      </c>
      <c r="AX30" s="63">
        <f t="shared" si="20"/>
        <v>1083.7444154877142</v>
      </c>
      <c r="AY30" s="63">
        <f t="shared" si="21"/>
        <v>300</v>
      </c>
      <c r="AZ30" s="63">
        <f t="shared" si="22"/>
        <v>117.95478260869568</v>
      </c>
      <c r="BA30" s="63">
        <f t="shared" si="74"/>
        <v>287.5</v>
      </c>
      <c r="BB30" s="63">
        <f t="shared" si="75"/>
        <v>508.68</v>
      </c>
      <c r="BC30" s="63" t="str">
        <f t="shared" si="76"/>
        <v>OK</v>
      </c>
      <c r="BD30" s="63">
        <f t="shared" si="23"/>
        <v>2392.1813992951616</v>
      </c>
      <c r="BE30" s="63">
        <f t="shared" si="24"/>
        <v>3663.57375</v>
      </c>
      <c r="BF30" s="63">
        <f t="shared" si="25"/>
        <v>2369.8237499999996</v>
      </c>
      <c r="BG30" s="63">
        <f t="shared" si="26"/>
        <v>2372.8669266772522</v>
      </c>
      <c r="BH30" s="63">
        <f t="shared" si="27"/>
        <v>1505.2725</v>
      </c>
      <c r="BI30" s="63">
        <f t="shared" si="28"/>
        <v>1505.2725</v>
      </c>
      <c r="BJ30" s="63">
        <f t="shared" si="29"/>
        <v>1505.2725</v>
      </c>
      <c r="BK30" s="63" t="str">
        <f t="shared" si="30"/>
        <v>OK</v>
      </c>
      <c r="BL30" s="63">
        <f t="shared" si="31"/>
        <v>675</v>
      </c>
      <c r="BM30" s="63">
        <f t="shared" si="32"/>
        <v>1125</v>
      </c>
      <c r="BN30" s="63">
        <f t="shared" si="33"/>
        <v>2250</v>
      </c>
      <c r="BO30" s="63">
        <f t="shared" si="34"/>
        <v>3375</v>
      </c>
      <c r="BP30" s="63">
        <f t="shared" si="35"/>
        <v>646.875</v>
      </c>
      <c r="BQ30" s="63">
        <f t="shared" si="77"/>
        <v>2369.9334374999999</v>
      </c>
      <c r="BR30" s="63" t="str">
        <f t="shared" si="78"/>
        <v>OK</v>
      </c>
      <c r="BW30" s="70">
        <f t="shared" si="10"/>
        <v>2040.0000000000002</v>
      </c>
    </row>
    <row r="31" spans="4:112" ht="11.25" hidden="1" customHeight="1">
      <c r="D31" s="184"/>
      <c r="E31" s="184"/>
      <c r="F31" s="155" t="s">
        <v>15</v>
      </c>
      <c r="G31" s="156">
        <v>1000</v>
      </c>
      <c r="H31" s="156">
        <v>1000</v>
      </c>
      <c r="I31" s="157">
        <f t="shared" si="82"/>
        <v>91.8</v>
      </c>
      <c r="J31" s="158">
        <f t="shared" si="11"/>
        <v>908.2</v>
      </c>
      <c r="K31" s="159">
        <v>-30</v>
      </c>
      <c r="L31" s="159">
        <v>19</v>
      </c>
      <c r="M31" s="159">
        <v>3</v>
      </c>
      <c r="N31" s="160">
        <f t="shared" si="0"/>
        <v>3.5957738729005119E-3</v>
      </c>
      <c r="O31" s="160">
        <f t="shared" si="12"/>
        <v>4.0000000000000001E-3</v>
      </c>
      <c r="P31" s="160">
        <f t="shared" si="13"/>
        <v>0.998</v>
      </c>
      <c r="Q31" s="161" t="str">
        <f t="shared" si="1"/>
        <v>Ok</v>
      </c>
      <c r="R31" s="162">
        <f t="shared" si="2"/>
        <v>9.0820000000000007</v>
      </c>
      <c r="S31" s="163">
        <f t="shared" si="14"/>
        <v>1E-3</v>
      </c>
      <c r="T31" s="164">
        <v>3</v>
      </c>
      <c r="U31" s="165">
        <v>22</v>
      </c>
      <c r="V31" s="166" t="str">
        <f t="shared" si="3"/>
        <v>+</v>
      </c>
      <c r="W31" s="164">
        <v>2</v>
      </c>
      <c r="X31" s="165">
        <v>22</v>
      </c>
      <c r="Y31" s="167">
        <f t="shared" si="83"/>
        <v>19.006635554218249</v>
      </c>
      <c r="Z31" s="168" t="str">
        <f t="shared" si="4"/>
        <v>Ok</v>
      </c>
      <c r="AA31" s="158">
        <f t="shared" si="79"/>
        <v>32.695547073000242</v>
      </c>
      <c r="AB31" s="158">
        <f t="shared" si="80"/>
        <v>708.27749832952975</v>
      </c>
      <c r="AC31" s="168" t="str">
        <f t="shared" si="81"/>
        <v>Ok</v>
      </c>
      <c r="AD31" s="169">
        <f t="shared" si="15"/>
        <v>1.9006635554218248E-3</v>
      </c>
      <c r="AE31" s="169">
        <f t="shared" si="5"/>
        <v>1.9281988961466403E-2</v>
      </c>
      <c r="AF31" s="170" t="str">
        <f t="shared" si="16"/>
        <v>Ok</v>
      </c>
      <c r="AG31" s="165">
        <v>10</v>
      </c>
      <c r="AH31" s="171">
        <v>2</v>
      </c>
      <c r="AI31" s="171">
        <v>150</v>
      </c>
      <c r="AJ31" s="170">
        <f t="shared" si="6"/>
        <v>10.466666666666667</v>
      </c>
      <c r="AK31" s="170" t="str">
        <f t="shared" si="7"/>
        <v>OK</v>
      </c>
      <c r="AL31" s="109">
        <f t="shared" si="8"/>
        <v>300</v>
      </c>
      <c r="AM31" s="175">
        <f t="shared" si="17"/>
        <v>2.0927808361834672</v>
      </c>
      <c r="AT31" s="133" t="str">
        <f t="shared" si="9"/>
        <v>no need</v>
      </c>
      <c r="AU31" s="27"/>
      <c r="AV31" s="61">
        <f t="shared" si="18"/>
        <v>4631.82</v>
      </c>
      <c r="AW31" s="61" t="str">
        <f t="shared" si="19"/>
        <v>OK</v>
      </c>
      <c r="AX31" s="63">
        <f t="shared" si="20"/>
        <v>49923.754000000008</v>
      </c>
      <c r="AY31" s="63">
        <f t="shared" si="21"/>
        <v>300</v>
      </c>
      <c r="AZ31" s="63">
        <f t="shared" si="22"/>
        <v>109.21739130434783</v>
      </c>
      <c r="BA31" s="63">
        <f t="shared" si="74"/>
        <v>287.5</v>
      </c>
      <c r="BB31" s="63">
        <f t="shared" si="75"/>
        <v>314</v>
      </c>
      <c r="BC31" s="63" t="str">
        <f t="shared" si="76"/>
        <v>OK</v>
      </c>
      <c r="BD31" s="63">
        <f t="shared" si="23"/>
        <v>2457.9927158319251</v>
      </c>
      <c r="BE31" s="63">
        <f t="shared" si="24"/>
        <v>2824.9560999999999</v>
      </c>
      <c r="BF31" s="63">
        <f t="shared" si="25"/>
        <v>1780.5260999999998</v>
      </c>
      <c r="BG31" s="63">
        <f t="shared" si="26"/>
        <v>1447.1432114460458</v>
      </c>
      <c r="BH31" s="63">
        <f t="shared" si="27"/>
        <v>949.97720000000004</v>
      </c>
      <c r="BI31" s="63">
        <f t="shared" si="28"/>
        <v>949.97720000000004</v>
      </c>
      <c r="BJ31" s="63">
        <f t="shared" si="29"/>
        <v>949.97720000000004</v>
      </c>
      <c r="BK31" s="63" t="str">
        <f t="shared" si="30"/>
        <v>OK</v>
      </c>
      <c r="BL31" s="63">
        <f t="shared" si="31"/>
        <v>544.91999999999996</v>
      </c>
      <c r="BM31" s="63">
        <f t="shared" si="32"/>
        <v>908.2</v>
      </c>
      <c r="BN31" s="63">
        <f t="shared" si="33"/>
        <v>1816.4</v>
      </c>
      <c r="BO31" s="63">
        <f t="shared" si="34"/>
        <v>2724.6000000000004</v>
      </c>
      <c r="BP31" s="63">
        <f t="shared" si="35"/>
        <v>522.21500000000003</v>
      </c>
      <c r="BQ31" s="63">
        <f t="shared" si="77"/>
        <v>1705.7536875000001</v>
      </c>
      <c r="BR31" s="63" t="str">
        <f t="shared" si="78"/>
        <v>OK</v>
      </c>
      <c r="BW31" s="70">
        <f t="shared" si="10"/>
        <v>1700.0000000000002</v>
      </c>
    </row>
    <row r="32" spans="4:112" ht="12.75" customHeight="1">
      <c r="D32" s="186" t="s">
        <v>325</v>
      </c>
      <c r="E32" s="189" t="s">
        <v>343</v>
      </c>
      <c r="F32" s="67" t="s">
        <v>327</v>
      </c>
      <c r="G32" s="78">
        <v>1000</v>
      </c>
      <c r="H32" s="78">
        <v>1200</v>
      </c>
      <c r="I32" s="79">
        <v>75</v>
      </c>
      <c r="J32" s="80">
        <f t="shared" si="11"/>
        <v>1125</v>
      </c>
      <c r="K32" s="81">
        <v>294</v>
      </c>
      <c r="L32" s="81">
        <v>418</v>
      </c>
      <c r="M32" s="81">
        <v>2</v>
      </c>
      <c r="N32" s="82">
        <f t="shared" si="0"/>
        <v>2.2965526079712931E-2</v>
      </c>
      <c r="O32" s="82">
        <f t="shared" si="12"/>
        <v>2.3E-2</v>
      </c>
      <c r="P32" s="82">
        <f t="shared" si="13"/>
        <v>0.98850000000000005</v>
      </c>
      <c r="Q32" s="83" t="str">
        <f t="shared" si="1"/>
        <v>Ok</v>
      </c>
      <c r="R32" s="84">
        <f t="shared" si="2"/>
        <v>11.25</v>
      </c>
      <c r="S32" s="131">
        <f t="shared" si="14"/>
        <v>1E-3</v>
      </c>
      <c r="T32" s="86">
        <v>3</v>
      </c>
      <c r="U32" s="77">
        <v>22</v>
      </c>
      <c r="V32" s="87" t="str">
        <f t="shared" si="3"/>
        <v>+</v>
      </c>
      <c r="W32" s="86">
        <v>2</v>
      </c>
      <c r="X32" s="77">
        <v>22</v>
      </c>
      <c r="Y32" s="88">
        <v>15.7</v>
      </c>
      <c r="Z32" s="89" t="str">
        <f t="shared" si="4"/>
        <v>Ok</v>
      </c>
      <c r="AA32" s="80">
        <f t="shared" si="79"/>
        <v>18.475216216994927</v>
      </c>
      <c r="AB32" s="80">
        <f t="shared" si="80"/>
        <v>729.3869661484739</v>
      </c>
      <c r="AC32" s="89" t="str">
        <f t="shared" si="81"/>
        <v>Ok</v>
      </c>
      <c r="AD32" s="85">
        <f t="shared" si="15"/>
        <v>1.3083333333333334E-3</v>
      </c>
      <c r="AE32" s="85">
        <f t="shared" si="5"/>
        <v>1.9281988961466403E-2</v>
      </c>
      <c r="AF32" s="60" t="str">
        <f t="shared" si="16"/>
        <v>Ok</v>
      </c>
      <c r="AG32" s="77">
        <v>12</v>
      </c>
      <c r="AH32" s="76">
        <v>3</v>
      </c>
      <c r="AI32" s="76">
        <v>200</v>
      </c>
      <c r="AJ32" s="60">
        <f t="shared" si="6"/>
        <v>11.304000000000002</v>
      </c>
      <c r="AK32" s="60" t="str">
        <f t="shared" si="7"/>
        <v>OK</v>
      </c>
      <c r="AL32" s="109">
        <f t="shared" si="8"/>
        <v>300</v>
      </c>
      <c r="AM32" s="175">
        <f t="shared" si="17"/>
        <v>1.3955555555555554</v>
      </c>
      <c r="AT32" s="133" t="str">
        <f t="shared" si="9"/>
        <v>no need</v>
      </c>
      <c r="AU32" s="27"/>
      <c r="AV32" s="61">
        <f t="shared" si="18"/>
        <v>5737.5</v>
      </c>
      <c r="AW32" s="61" t="str">
        <f t="shared" si="19"/>
        <v>OK</v>
      </c>
      <c r="AX32" s="63">
        <f t="shared" si="20"/>
        <v>3481.9826555023924</v>
      </c>
      <c r="AY32" s="63">
        <f t="shared" si="21"/>
        <v>300</v>
      </c>
      <c r="AZ32" s="63">
        <f t="shared" si="22"/>
        <v>117.95478260869568</v>
      </c>
      <c r="BA32" s="63">
        <f t="shared" si="74"/>
        <v>287.5</v>
      </c>
      <c r="BB32" s="63">
        <f t="shared" si="75"/>
        <v>508.68</v>
      </c>
      <c r="BC32" s="63" t="str">
        <f t="shared" si="76"/>
        <v>OK</v>
      </c>
      <c r="BD32" s="63">
        <f t="shared" si="23"/>
        <v>2392.1813992951616</v>
      </c>
      <c r="BE32" s="63">
        <f t="shared" si="24"/>
        <v>3663.57375</v>
      </c>
      <c r="BF32" s="63">
        <f t="shared" si="25"/>
        <v>2369.8237499999996</v>
      </c>
      <c r="BG32" s="63">
        <f t="shared" si="26"/>
        <v>2372.8669266772522</v>
      </c>
      <c r="BH32" s="63">
        <f t="shared" si="27"/>
        <v>1505.2725</v>
      </c>
      <c r="BI32" s="63">
        <f t="shared" si="28"/>
        <v>1505.2725</v>
      </c>
      <c r="BJ32" s="63">
        <f t="shared" si="29"/>
        <v>1505.2725</v>
      </c>
      <c r="BK32" s="63" t="str">
        <f t="shared" si="30"/>
        <v>OK</v>
      </c>
      <c r="BL32" s="63">
        <f t="shared" si="31"/>
        <v>675</v>
      </c>
      <c r="BM32" s="63">
        <f t="shared" si="32"/>
        <v>1125</v>
      </c>
      <c r="BN32" s="63">
        <f t="shared" si="33"/>
        <v>2250</v>
      </c>
      <c r="BO32" s="63">
        <f t="shared" si="34"/>
        <v>3375</v>
      </c>
      <c r="BP32" s="63">
        <f t="shared" si="35"/>
        <v>646.875</v>
      </c>
      <c r="BQ32" s="63">
        <f t="shared" si="77"/>
        <v>805.29838064485068</v>
      </c>
      <c r="BR32" s="63" t="str">
        <f t="shared" si="78"/>
        <v>OK</v>
      </c>
      <c r="BW32" s="70">
        <f t="shared" si="10"/>
        <v>2040.0000000000002</v>
      </c>
    </row>
    <row r="33" spans="4:104" ht="12" customHeight="1">
      <c r="D33" s="187"/>
      <c r="E33" s="187"/>
      <c r="F33" s="68" t="s">
        <v>328</v>
      </c>
      <c r="G33" s="78">
        <v>1000</v>
      </c>
      <c r="H33" s="78">
        <v>1200</v>
      </c>
      <c r="I33" s="79">
        <v>75</v>
      </c>
      <c r="J33" s="80">
        <f t="shared" si="11"/>
        <v>1125</v>
      </c>
      <c r="K33" s="81">
        <v>-855</v>
      </c>
      <c r="L33" s="81">
        <v>418</v>
      </c>
      <c r="M33" s="81">
        <v>5</v>
      </c>
      <c r="N33" s="82">
        <f t="shared" si="0"/>
        <v>6.6787499313450877E-2</v>
      </c>
      <c r="O33" s="82">
        <f t="shared" si="12"/>
        <v>6.9000000000000006E-2</v>
      </c>
      <c r="P33" s="82">
        <f t="shared" si="13"/>
        <v>0.96550000000000002</v>
      </c>
      <c r="Q33" s="83" t="str">
        <f t="shared" si="1"/>
        <v>Ok</v>
      </c>
      <c r="R33" s="84">
        <f t="shared" si="2"/>
        <v>18.095561230260063</v>
      </c>
      <c r="S33" s="131">
        <f t="shared" si="14"/>
        <v>1.6084943315786723E-3</v>
      </c>
      <c r="T33" s="86">
        <v>3</v>
      </c>
      <c r="U33" s="77">
        <v>22</v>
      </c>
      <c r="V33" s="87" t="str">
        <f t="shared" si="3"/>
        <v>+</v>
      </c>
      <c r="W33" s="86">
        <v>0</v>
      </c>
      <c r="X33" s="77">
        <v>25</v>
      </c>
      <c r="Y33" s="88">
        <v>31.42</v>
      </c>
      <c r="Z33" s="89" t="str">
        <f t="shared" si="4"/>
        <v>Ok</v>
      </c>
      <c r="AA33" s="80">
        <f t="shared" si="79"/>
        <v>86.079763918428441</v>
      </c>
      <c r="AB33" s="80">
        <f t="shared" si="80"/>
        <v>1454.6020433325575</v>
      </c>
      <c r="AC33" s="89" t="str">
        <f t="shared" si="81"/>
        <v>Ok</v>
      </c>
      <c r="AD33" s="85">
        <f t="shared" si="15"/>
        <v>2.6183333333333332E-3</v>
      </c>
      <c r="AE33" s="85">
        <f t="shared" si="5"/>
        <v>1.9281988961466403E-2</v>
      </c>
      <c r="AF33" s="60" t="str">
        <f t="shared" si="16"/>
        <v>Ok</v>
      </c>
      <c r="AG33" s="77">
        <v>12</v>
      </c>
      <c r="AH33" s="76">
        <v>3</v>
      </c>
      <c r="AI33" s="76">
        <v>200</v>
      </c>
      <c r="AJ33" s="60">
        <f t="shared" si="6"/>
        <v>11.304000000000002</v>
      </c>
      <c r="AK33" s="60" t="str">
        <f t="shared" si="7"/>
        <v>OK</v>
      </c>
      <c r="AL33" s="109">
        <f t="shared" si="8"/>
        <v>300</v>
      </c>
      <c r="AM33" s="175">
        <f t="shared" si="17"/>
        <v>1.7363374144736843</v>
      </c>
      <c r="AT33" s="133" t="str">
        <f t="shared" si="9"/>
        <v>no need</v>
      </c>
      <c r="AU33" s="27"/>
      <c r="AV33" s="61">
        <f t="shared" si="18"/>
        <v>5737.5</v>
      </c>
      <c r="AW33" s="61" t="str">
        <f t="shared" si="19"/>
        <v>OK</v>
      </c>
      <c r="AX33" s="63">
        <f t="shared" si="20"/>
        <v>3481.9826555023924</v>
      </c>
      <c r="AY33" s="63">
        <f t="shared" si="21"/>
        <v>300</v>
      </c>
      <c r="AZ33" s="63">
        <f t="shared" si="22"/>
        <v>117.95478260869568</v>
      </c>
      <c r="BA33" s="63">
        <f t="shared" si="74"/>
        <v>287.5</v>
      </c>
      <c r="BB33" s="63">
        <f t="shared" si="75"/>
        <v>508.68</v>
      </c>
      <c r="BC33" s="63" t="str">
        <f t="shared" si="76"/>
        <v>OK</v>
      </c>
      <c r="BD33" s="63">
        <f t="shared" si="23"/>
        <v>2392.1813992951616</v>
      </c>
      <c r="BE33" s="63">
        <f t="shared" si="24"/>
        <v>3663.57375</v>
      </c>
      <c r="BF33" s="63">
        <f t="shared" si="25"/>
        <v>2369.8237499999996</v>
      </c>
      <c r="BG33" s="63">
        <f t="shared" si="26"/>
        <v>2372.8669266772522</v>
      </c>
      <c r="BH33" s="63">
        <f t="shared" si="27"/>
        <v>1505.2725</v>
      </c>
      <c r="BI33" s="63">
        <f t="shared" si="28"/>
        <v>1505.2725</v>
      </c>
      <c r="BJ33" s="63">
        <f t="shared" si="29"/>
        <v>1505.2725</v>
      </c>
      <c r="BK33" s="63" t="str">
        <f t="shared" si="30"/>
        <v>OK</v>
      </c>
      <c r="BL33" s="63">
        <f t="shared" si="31"/>
        <v>675</v>
      </c>
      <c r="BM33" s="63">
        <f t="shared" si="32"/>
        <v>1125</v>
      </c>
      <c r="BN33" s="63">
        <f t="shared" si="33"/>
        <v>2250</v>
      </c>
      <c r="BO33" s="63">
        <f t="shared" si="34"/>
        <v>3375</v>
      </c>
      <c r="BP33" s="63">
        <f t="shared" si="35"/>
        <v>646.875</v>
      </c>
      <c r="BQ33" s="63">
        <f t="shared" si="77"/>
        <v>1013.3859375</v>
      </c>
      <c r="BR33" s="63" t="str">
        <f t="shared" si="78"/>
        <v>OK</v>
      </c>
      <c r="BW33" s="70">
        <f t="shared" si="10"/>
        <v>2040.0000000000002</v>
      </c>
    </row>
    <row r="34" spans="4:104" ht="11.25" hidden="1" customHeight="1">
      <c r="D34" s="188"/>
      <c r="E34" s="188"/>
      <c r="F34" s="67" t="s">
        <v>15</v>
      </c>
      <c r="G34" s="78">
        <v>1000</v>
      </c>
      <c r="H34" s="78">
        <v>1000</v>
      </c>
      <c r="I34" s="79">
        <f t="shared" si="82"/>
        <v>91.8</v>
      </c>
      <c r="J34" s="80">
        <f t="shared" si="11"/>
        <v>908.2</v>
      </c>
      <c r="K34" s="81">
        <v>-30</v>
      </c>
      <c r="L34" s="81">
        <v>19</v>
      </c>
      <c r="M34" s="81">
        <v>3</v>
      </c>
      <c r="N34" s="82">
        <f t="shared" si="0"/>
        <v>3.5957738729005119E-3</v>
      </c>
      <c r="O34" s="82">
        <f t="shared" si="12"/>
        <v>4.0000000000000001E-3</v>
      </c>
      <c r="P34" s="82">
        <f t="shared" si="13"/>
        <v>0.998</v>
      </c>
      <c r="Q34" s="83" t="str">
        <f t="shared" si="1"/>
        <v>Ok</v>
      </c>
      <c r="R34" s="84">
        <f t="shared" si="2"/>
        <v>9.0820000000000007</v>
      </c>
      <c r="S34" s="131">
        <f t="shared" si="14"/>
        <v>1E-3</v>
      </c>
      <c r="T34" s="86">
        <v>3</v>
      </c>
      <c r="U34" s="77">
        <v>22</v>
      </c>
      <c r="V34" s="87" t="str">
        <f t="shared" si="3"/>
        <v>+</v>
      </c>
      <c r="W34" s="86">
        <v>2</v>
      </c>
      <c r="X34" s="77">
        <v>22</v>
      </c>
      <c r="Y34" s="88">
        <f t="shared" si="83"/>
        <v>19.006635554218249</v>
      </c>
      <c r="Z34" s="89" t="str">
        <f t="shared" si="4"/>
        <v>Ok</v>
      </c>
      <c r="AA34" s="80">
        <f t="shared" si="79"/>
        <v>32.695547073000242</v>
      </c>
      <c r="AB34" s="80">
        <f t="shared" si="80"/>
        <v>708.27749832952975</v>
      </c>
      <c r="AC34" s="89" t="str">
        <f t="shared" si="81"/>
        <v>Ok</v>
      </c>
      <c r="AD34" s="85">
        <f t="shared" si="15"/>
        <v>1.9006635554218248E-3</v>
      </c>
      <c r="AE34" s="85">
        <f t="shared" si="5"/>
        <v>1.9281988961466403E-2</v>
      </c>
      <c r="AF34" s="60" t="str">
        <f t="shared" si="16"/>
        <v>Ok</v>
      </c>
      <c r="AG34" s="77">
        <v>10</v>
      </c>
      <c r="AH34" s="76">
        <v>2</v>
      </c>
      <c r="AI34" s="76">
        <v>150</v>
      </c>
      <c r="AJ34" s="60">
        <f t="shared" si="6"/>
        <v>10.466666666666667</v>
      </c>
      <c r="AK34" s="60" t="str">
        <f t="shared" si="7"/>
        <v>OK</v>
      </c>
      <c r="AL34" s="109">
        <f t="shared" si="8"/>
        <v>300</v>
      </c>
      <c r="AM34" s="175">
        <f t="shared" si="17"/>
        <v>2.0927808361834672</v>
      </c>
      <c r="AT34" s="133" t="str">
        <f t="shared" si="9"/>
        <v>no need</v>
      </c>
      <c r="AU34" s="27"/>
      <c r="AV34" s="61">
        <f t="shared" si="18"/>
        <v>4631.82</v>
      </c>
      <c r="AW34" s="61" t="str">
        <f t="shared" si="19"/>
        <v>OK</v>
      </c>
      <c r="AX34" s="63">
        <f t="shared" si="20"/>
        <v>49923.754000000008</v>
      </c>
      <c r="AY34" s="63">
        <f t="shared" si="21"/>
        <v>300</v>
      </c>
      <c r="AZ34" s="63">
        <f t="shared" si="22"/>
        <v>109.21739130434783</v>
      </c>
      <c r="BA34" s="63">
        <f t="shared" si="74"/>
        <v>287.5</v>
      </c>
      <c r="BB34" s="63">
        <f t="shared" si="75"/>
        <v>314</v>
      </c>
      <c r="BC34" s="63" t="str">
        <f t="shared" si="76"/>
        <v>OK</v>
      </c>
      <c r="BD34" s="63">
        <f t="shared" si="23"/>
        <v>2457.9927158319251</v>
      </c>
      <c r="BE34" s="63">
        <f t="shared" si="24"/>
        <v>2824.9560999999999</v>
      </c>
      <c r="BF34" s="63">
        <f t="shared" si="25"/>
        <v>1780.5260999999998</v>
      </c>
      <c r="BG34" s="63">
        <f t="shared" si="26"/>
        <v>1447.1432114460458</v>
      </c>
      <c r="BH34" s="63">
        <f t="shared" si="27"/>
        <v>949.97720000000004</v>
      </c>
      <c r="BI34" s="63">
        <f t="shared" si="28"/>
        <v>949.97720000000004</v>
      </c>
      <c r="BJ34" s="63">
        <f t="shared" si="29"/>
        <v>949.97720000000004</v>
      </c>
      <c r="BK34" s="63" t="str">
        <f t="shared" si="30"/>
        <v>OK</v>
      </c>
      <c r="BL34" s="63">
        <f t="shared" si="31"/>
        <v>544.91999999999996</v>
      </c>
      <c r="BM34" s="63">
        <f t="shared" si="32"/>
        <v>908.2</v>
      </c>
      <c r="BN34" s="63">
        <f t="shared" si="33"/>
        <v>1816.4</v>
      </c>
      <c r="BO34" s="63">
        <f t="shared" si="34"/>
        <v>2724.6000000000004</v>
      </c>
      <c r="BP34" s="63">
        <f t="shared" si="35"/>
        <v>522.21500000000003</v>
      </c>
      <c r="BQ34" s="63">
        <f t="shared" si="77"/>
        <v>1705.7536875000001</v>
      </c>
      <c r="BR34" s="63" t="str">
        <f t="shared" si="78"/>
        <v>OK</v>
      </c>
      <c r="BW34" s="70">
        <f t="shared" si="10"/>
        <v>1700.0000000000002</v>
      </c>
    </row>
    <row r="35" spans="4:104" ht="12.75" customHeight="1">
      <c r="D35" s="182" t="s">
        <v>326</v>
      </c>
      <c r="E35" s="185" t="s">
        <v>344</v>
      </c>
      <c r="F35" s="155" t="s">
        <v>327</v>
      </c>
      <c r="G35" s="156">
        <v>1000</v>
      </c>
      <c r="H35" s="156">
        <v>1200</v>
      </c>
      <c r="I35" s="157">
        <v>75</v>
      </c>
      <c r="J35" s="158">
        <f t="shared" si="11"/>
        <v>1125</v>
      </c>
      <c r="K35" s="159">
        <v>0</v>
      </c>
      <c r="L35" s="159">
        <v>418</v>
      </c>
      <c r="M35" s="159">
        <v>2</v>
      </c>
      <c r="N35" s="160">
        <f t="shared" si="0"/>
        <v>0</v>
      </c>
      <c r="O35" s="160">
        <f t="shared" si="12"/>
        <v>0</v>
      </c>
      <c r="P35" s="160">
        <f t="shared" si="13"/>
        <v>1</v>
      </c>
      <c r="Q35" s="161" t="str">
        <f t="shared" si="1"/>
        <v>Ok</v>
      </c>
      <c r="R35" s="162">
        <f t="shared" si="2"/>
        <v>11.25</v>
      </c>
      <c r="S35" s="163">
        <f t="shared" si="14"/>
        <v>1E-3</v>
      </c>
      <c r="T35" s="164">
        <v>3</v>
      </c>
      <c r="U35" s="165">
        <v>22</v>
      </c>
      <c r="V35" s="166" t="str">
        <f t="shared" si="3"/>
        <v>+</v>
      </c>
      <c r="W35" s="164">
        <v>2</v>
      </c>
      <c r="X35" s="165">
        <v>22</v>
      </c>
      <c r="Y35" s="167">
        <v>15.7</v>
      </c>
      <c r="Z35" s="168" t="str">
        <f t="shared" si="4"/>
        <v>Ok</v>
      </c>
      <c r="AA35" s="158">
        <f t="shared" si="79"/>
        <v>18.475216216994927</v>
      </c>
      <c r="AB35" s="158">
        <f t="shared" si="80"/>
        <v>729.3869661484739</v>
      </c>
      <c r="AC35" s="168" t="str">
        <f t="shared" si="81"/>
        <v>Ok</v>
      </c>
      <c r="AD35" s="169">
        <f t="shared" si="15"/>
        <v>1.3083333333333334E-3</v>
      </c>
      <c r="AE35" s="169">
        <f t="shared" si="5"/>
        <v>1.9281988961466403E-2</v>
      </c>
      <c r="AF35" s="170" t="str">
        <f t="shared" si="16"/>
        <v>Ok</v>
      </c>
      <c r="AG35" s="165">
        <v>12</v>
      </c>
      <c r="AH35" s="171">
        <v>3</v>
      </c>
      <c r="AI35" s="171">
        <v>200</v>
      </c>
      <c r="AJ35" s="170">
        <f t="shared" si="6"/>
        <v>11.304000000000002</v>
      </c>
      <c r="AK35" s="170" t="str">
        <f t="shared" si="7"/>
        <v>OK</v>
      </c>
      <c r="AL35" s="109">
        <f t="shared" si="8"/>
        <v>300</v>
      </c>
      <c r="AM35" s="175">
        <f t="shared" si="17"/>
        <v>1.3955555555555554</v>
      </c>
      <c r="AT35" s="133" t="str">
        <f t="shared" si="9"/>
        <v>no need</v>
      </c>
      <c r="AU35" s="27"/>
      <c r="AV35" s="61">
        <f t="shared" si="18"/>
        <v>5737.5</v>
      </c>
      <c r="AW35" s="61" t="str">
        <f t="shared" si="19"/>
        <v>OK</v>
      </c>
      <c r="AX35" s="63">
        <f t="shared" si="20"/>
        <v>3481.9826555023924</v>
      </c>
      <c r="AY35" s="63">
        <f t="shared" si="21"/>
        <v>300</v>
      </c>
      <c r="AZ35" s="63">
        <f t="shared" si="22"/>
        <v>117.95478260869568</v>
      </c>
      <c r="BA35" s="63">
        <f t="shared" si="74"/>
        <v>287.5</v>
      </c>
      <c r="BB35" s="63">
        <f t="shared" si="75"/>
        <v>508.68</v>
      </c>
      <c r="BC35" s="63" t="str">
        <f t="shared" si="76"/>
        <v>OK</v>
      </c>
      <c r="BD35" s="63">
        <f t="shared" si="23"/>
        <v>2392.1813992951616</v>
      </c>
      <c r="BE35" s="63">
        <f t="shared" si="24"/>
        <v>3663.57375</v>
      </c>
      <c r="BF35" s="63">
        <f t="shared" si="25"/>
        <v>2369.8237499999996</v>
      </c>
      <c r="BG35" s="63">
        <f t="shared" si="26"/>
        <v>2372.8669266772522</v>
      </c>
      <c r="BH35" s="63">
        <f t="shared" si="27"/>
        <v>1505.2725</v>
      </c>
      <c r="BI35" s="63">
        <f t="shared" si="28"/>
        <v>1505.2725</v>
      </c>
      <c r="BJ35" s="63">
        <f t="shared" si="29"/>
        <v>1505.2725</v>
      </c>
      <c r="BK35" s="63" t="str">
        <f t="shared" si="30"/>
        <v>OK</v>
      </c>
      <c r="BL35" s="63">
        <f t="shared" si="31"/>
        <v>675</v>
      </c>
      <c r="BM35" s="63">
        <f t="shared" si="32"/>
        <v>1125</v>
      </c>
      <c r="BN35" s="63">
        <f t="shared" si="33"/>
        <v>2250</v>
      </c>
      <c r="BO35" s="63">
        <f t="shared" si="34"/>
        <v>3375</v>
      </c>
      <c r="BP35" s="63">
        <f t="shared" si="35"/>
        <v>646.875</v>
      </c>
      <c r="BQ35" s="63">
        <f t="shared" si="77"/>
        <v>805.29838064485068</v>
      </c>
      <c r="BR35" s="63" t="str">
        <f t="shared" si="78"/>
        <v>OK</v>
      </c>
      <c r="BW35" s="70">
        <f t="shared" si="10"/>
        <v>2040.0000000000002</v>
      </c>
    </row>
    <row r="36" spans="4:104" ht="14.25" customHeight="1">
      <c r="D36" s="183"/>
      <c r="E36" s="183"/>
      <c r="F36" s="172" t="s">
        <v>328</v>
      </c>
      <c r="G36" s="156">
        <v>1000</v>
      </c>
      <c r="H36" s="156">
        <v>1200</v>
      </c>
      <c r="I36" s="157">
        <v>75</v>
      </c>
      <c r="J36" s="158">
        <f t="shared" si="11"/>
        <v>1125</v>
      </c>
      <c r="K36" s="159">
        <v>-944</v>
      </c>
      <c r="L36" s="159">
        <v>418</v>
      </c>
      <c r="M36" s="159">
        <v>5</v>
      </c>
      <c r="N36" s="160">
        <f t="shared" si="0"/>
        <v>7.3739648364792534E-2</v>
      </c>
      <c r="O36" s="160">
        <f t="shared" si="12"/>
        <v>7.6999999999999999E-2</v>
      </c>
      <c r="P36" s="160">
        <f t="shared" si="13"/>
        <v>0.96150000000000002</v>
      </c>
      <c r="Q36" s="161" t="str">
        <f t="shared" si="1"/>
        <v>Ok</v>
      </c>
      <c r="R36" s="162">
        <f t="shared" si="2"/>
        <v>20.062309516646309</v>
      </c>
      <c r="S36" s="163">
        <f t="shared" si="14"/>
        <v>1.7833164014796718E-3</v>
      </c>
      <c r="T36" s="164">
        <v>3</v>
      </c>
      <c r="U36" s="165">
        <v>22</v>
      </c>
      <c r="V36" s="166" t="str">
        <f t="shared" si="3"/>
        <v>+</v>
      </c>
      <c r="W36" s="164">
        <v>0</v>
      </c>
      <c r="X36" s="165">
        <v>25</v>
      </c>
      <c r="Y36" s="167">
        <v>31.4</v>
      </c>
      <c r="Z36" s="168" t="str">
        <f t="shared" si="4"/>
        <v>Ok</v>
      </c>
      <c r="AA36" s="158">
        <f t="shared" si="79"/>
        <v>85.99375304349023</v>
      </c>
      <c r="AB36" s="158">
        <f t="shared" si="80"/>
        <v>1453.6981453124361</v>
      </c>
      <c r="AC36" s="168" t="str">
        <f t="shared" si="81"/>
        <v>Ok</v>
      </c>
      <c r="AD36" s="169">
        <f t="shared" si="15"/>
        <v>2.6166666666666669E-3</v>
      </c>
      <c r="AE36" s="169">
        <f t="shared" si="5"/>
        <v>1.9281988961466403E-2</v>
      </c>
      <c r="AF36" s="170" t="str">
        <f t="shared" si="16"/>
        <v>Ok</v>
      </c>
      <c r="AG36" s="165">
        <v>12</v>
      </c>
      <c r="AH36" s="171">
        <v>3</v>
      </c>
      <c r="AI36" s="171">
        <v>200</v>
      </c>
      <c r="AJ36" s="170">
        <f t="shared" si="6"/>
        <v>11.304000000000002</v>
      </c>
      <c r="AK36" s="170" t="str">
        <f t="shared" si="7"/>
        <v>OK</v>
      </c>
      <c r="AL36" s="109">
        <f t="shared" si="8"/>
        <v>300</v>
      </c>
      <c r="AM36" s="175">
        <f t="shared" si="17"/>
        <v>1.5651238943326271</v>
      </c>
      <c r="AT36" s="133" t="str">
        <f t="shared" si="9"/>
        <v>no need</v>
      </c>
      <c r="AU36" s="27"/>
      <c r="AV36" s="61">
        <f t="shared" si="18"/>
        <v>5737.5</v>
      </c>
      <c r="AW36" s="61" t="str">
        <f t="shared" si="19"/>
        <v>OK</v>
      </c>
      <c r="AX36" s="63">
        <f t="shared" si="20"/>
        <v>3481.9826555023924</v>
      </c>
      <c r="AY36" s="63">
        <f t="shared" si="21"/>
        <v>300</v>
      </c>
      <c r="AZ36" s="63">
        <f t="shared" si="22"/>
        <v>117.95478260869568</v>
      </c>
      <c r="BA36" s="63">
        <f t="shared" si="74"/>
        <v>287.5</v>
      </c>
      <c r="BB36" s="63">
        <f t="shared" si="75"/>
        <v>508.68</v>
      </c>
      <c r="BC36" s="63" t="str">
        <f t="shared" si="76"/>
        <v>OK</v>
      </c>
      <c r="BD36" s="63">
        <f t="shared" si="23"/>
        <v>2392.1813992951616</v>
      </c>
      <c r="BE36" s="63">
        <f t="shared" si="24"/>
        <v>3663.57375</v>
      </c>
      <c r="BF36" s="63">
        <f t="shared" si="25"/>
        <v>2369.8237499999996</v>
      </c>
      <c r="BG36" s="63">
        <f t="shared" si="26"/>
        <v>2372.8669266772522</v>
      </c>
      <c r="BH36" s="63">
        <f t="shared" si="27"/>
        <v>1505.2725</v>
      </c>
      <c r="BI36" s="63">
        <f t="shared" si="28"/>
        <v>1505.2725</v>
      </c>
      <c r="BJ36" s="63">
        <f t="shared" si="29"/>
        <v>1505.2725</v>
      </c>
      <c r="BK36" s="63" t="str">
        <f t="shared" si="30"/>
        <v>OK</v>
      </c>
      <c r="BL36" s="63">
        <f t="shared" si="31"/>
        <v>675</v>
      </c>
      <c r="BM36" s="63">
        <f t="shared" si="32"/>
        <v>1125</v>
      </c>
      <c r="BN36" s="63">
        <f t="shared" si="33"/>
        <v>2250</v>
      </c>
      <c r="BO36" s="63">
        <f t="shared" si="34"/>
        <v>3375</v>
      </c>
      <c r="BP36" s="63">
        <f t="shared" si="35"/>
        <v>646.875</v>
      </c>
      <c r="BQ36" s="63">
        <f t="shared" si="77"/>
        <v>1013.3859375</v>
      </c>
      <c r="BR36" s="63" t="str">
        <f t="shared" si="78"/>
        <v>OK</v>
      </c>
      <c r="BW36" s="70">
        <f t="shared" si="10"/>
        <v>2040.0000000000002</v>
      </c>
    </row>
    <row r="37" spans="4:104" ht="11.25" hidden="1" customHeight="1">
      <c r="D37" s="184"/>
      <c r="E37" s="184"/>
      <c r="F37" s="155" t="s">
        <v>15</v>
      </c>
      <c r="G37" s="156">
        <v>1000</v>
      </c>
      <c r="H37" s="156">
        <v>1000</v>
      </c>
      <c r="I37" s="157">
        <f t="shared" si="82"/>
        <v>91.8</v>
      </c>
      <c r="J37" s="158">
        <f t="shared" si="11"/>
        <v>908.2</v>
      </c>
      <c r="K37" s="159">
        <v>-30</v>
      </c>
      <c r="L37" s="159">
        <v>19</v>
      </c>
      <c r="M37" s="159">
        <v>3</v>
      </c>
      <c r="N37" s="160">
        <f t="shared" si="0"/>
        <v>3.5957738729005119E-3</v>
      </c>
      <c r="O37" s="160">
        <f t="shared" si="12"/>
        <v>4.0000000000000001E-3</v>
      </c>
      <c r="P37" s="160">
        <f t="shared" si="13"/>
        <v>0.998</v>
      </c>
      <c r="Q37" s="161" t="str">
        <f t="shared" si="1"/>
        <v>Ok</v>
      </c>
      <c r="R37" s="162">
        <f t="shared" si="2"/>
        <v>9.0820000000000007</v>
      </c>
      <c r="S37" s="163">
        <f t="shared" si="14"/>
        <v>1E-3</v>
      </c>
      <c r="T37" s="164">
        <v>3</v>
      </c>
      <c r="U37" s="165">
        <v>22</v>
      </c>
      <c r="V37" s="166" t="str">
        <f t="shared" si="3"/>
        <v>+</v>
      </c>
      <c r="W37" s="164">
        <v>2</v>
      </c>
      <c r="X37" s="165">
        <v>22</v>
      </c>
      <c r="Y37" s="167">
        <f t="shared" si="83"/>
        <v>19.006635554218249</v>
      </c>
      <c r="Z37" s="168" t="str">
        <f t="shared" si="4"/>
        <v>Ok</v>
      </c>
      <c r="AA37" s="158">
        <f t="shared" si="79"/>
        <v>32.695547073000242</v>
      </c>
      <c r="AB37" s="158">
        <f t="shared" si="80"/>
        <v>702.60809046707152</v>
      </c>
      <c r="AC37" s="168" t="str">
        <f t="shared" si="81"/>
        <v>Ok</v>
      </c>
      <c r="AD37" s="169">
        <f t="shared" si="15"/>
        <v>1.9006635554218248E-3</v>
      </c>
      <c r="AE37" s="169">
        <f t="shared" si="5"/>
        <v>1.9281988961466403E-2</v>
      </c>
      <c r="AF37" s="170" t="str">
        <f t="shared" si="16"/>
        <v>Ok</v>
      </c>
      <c r="AG37" s="165">
        <v>10</v>
      </c>
      <c r="AH37" s="171">
        <v>2</v>
      </c>
      <c r="AI37" s="171">
        <v>150</v>
      </c>
      <c r="AJ37" s="170">
        <f t="shared" si="6"/>
        <v>10.466666666666667</v>
      </c>
      <c r="AK37" s="170" t="str">
        <f t="shared" si="7"/>
        <v>OK</v>
      </c>
      <c r="AL37" s="109">
        <f t="shared" si="8"/>
        <v>300</v>
      </c>
      <c r="AT37" s="133" t="str">
        <f t="shared" si="9"/>
        <v>no need</v>
      </c>
      <c r="AU37" s="27"/>
      <c r="AV37" s="61">
        <f t="shared" si="18"/>
        <v>4631.82</v>
      </c>
      <c r="AW37" s="61" t="str">
        <f t="shared" si="19"/>
        <v>OK</v>
      </c>
      <c r="AX37" s="63">
        <f t="shared" si="20"/>
        <v>49923.754000000008</v>
      </c>
      <c r="AY37" s="63">
        <f t="shared" si="21"/>
        <v>300</v>
      </c>
      <c r="AZ37" s="63">
        <f t="shared" si="22"/>
        <v>109.21739130434783</v>
      </c>
      <c r="BA37" s="63">
        <f t="shared" si="74"/>
        <v>287.5</v>
      </c>
      <c r="BB37" s="63">
        <f t="shared" si="75"/>
        <v>314</v>
      </c>
      <c r="BC37" s="63" t="str">
        <f t="shared" si="76"/>
        <v>OK</v>
      </c>
      <c r="BD37" s="63">
        <f t="shared" si="23"/>
        <v>2457.9927158319251</v>
      </c>
      <c r="BE37" s="63">
        <f t="shared" si="24"/>
        <v>2824.9560999999999</v>
      </c>
      <c r="BF37" s="63">
        <f t="shared" si="25"/>
        <v>1780.5260999999998</v>
      </c>
      <c r="BG37" s="63">
        <f t="shared" si="26"/>
        <v>1447.1432114460458</v>
      </c>
      <c r="BH37" s="63">
        <f t="shared" si="27"/>
        <v>949.97720000000004</v>
      </c>
      <c r="BI37" s="63">
        <f t="shared" si="28"/>
        <v>949.97720000000004</v>
      </c>
      <c r="BJ37" s="63">
        <f t="shared" si="29"/>
        <v>949.97720000000004</v>
      </c>
      <c r="BK37" s="63" t="str">
        <f t="shared" si="30"/>
        <v>OK</v>
      </c>
      <c r="BL37" s="63">
        <f t="shared" si="31"/>
        <v>544.91999999999996</v>
      </c>
      <c r="BM37" s="63">
        <f t="shared" si="32"/>
        <v>908.2</v>
      </c>
      <c r="BN37" s="63">
        <f t="shared" si="33"/>
        <v>1816.4</v>
      </c>
      <c r="BO37" s="63">
        <f t="shared" si="34"/>
        <v>2724.6000000000004</v>
      </c>
      <c r="BP37" s="63">
        <f t="shared" si="35"/>
        <v>522.21500000000003</v>
      </c>
      <c r="BQ37" s="63">
        <f t="shared" si="77"/>
        <v>1704.8728125</v>
      </c>
      <c r="BR37" s="63" t="str">
        <f t="shared" si="78"/>
        <v>OK</v>
      </c>
      <c r="BW37" s="70">
        <f t="shared" si="10"/>
        <v>1700.0000000000002</v>
      </c>
    </row>
    <row r="38" spans="4:104" ht="12" customHeight="1">
      <c r="D38" s="176" t="s">
        <v>177</v>
      </c>
      <c r="E38" s="176" t="s">
        <v>225</v>
      </c>
      <c r="F38" s="67" t="s">
        <v>15</v>
      </c>
      <c r="G38" s="78">
        <v>220</v>
      </c>
      <c r="H38" s="78">
        <v>450</v>
      </c>
      <c r="I38" s="79">
        <f t="shared" si="72"/>
        <v>86.428571428571431</v>
      </c>
      <c r="J38" s="80">
        <f t="shared" si="11"/>
        <v>363.57142857142856</v>
      </c>
      <c r="K38" s="81">
        <v>-3</v>
      </c>
      <c r="L38" s="81">
        <v>84</v>
      </c>
      <c r="M38" s="81">
        <v>84</v>
      </c>
      <c r="N38" s="82">
        <f t="shared" si="0"/>
        <v>1.0198896710308106E-2</v>
      </c>
      <c r="O38" s="82">
        <f t="shared" si="12"/>
        <v>0.01</v>
      </c>
      <c r="P38" s="82">
        <f t="shared" si="13"/>
        <v>0.995</v>
      </c>
      <c r="Q38" s="83" t="str">
        <f t="shared" si="1"/>
        <v>Ok</v>
      </c>
      <c r="R38" s="84">
        <f t="shared" si="2"/>
        <v>0.79985714285714282</v>
      </c>
      <c r="S38" s="131">
        <f t="shared" si="14"/>
        <v>1E-3</v>
      </c>
      <c r="T38" s="86">
        <v>3</v>
      </c>
      <c r="U38" s="77">
        <v>22</v>
      </c>
      <c r="V38" s="87" t="str">
        <f t="shared" si="3"/>
        <v>+</v>
      </c>
      <c r="W38" s="86">
        <v>2</v>
      </c>
      <c r="X38" s="77">
        <v>18</v>
      </c>
      <c r="Y38" s="88">
        <f t="shared" si="83"/>
        <v>16.493361431346415</v>
      </c>
      <c r="Z38" s="89" t="str">
        <f t="shared" si="4"/>
        <v>Ok</v>
      </c>
      <c r="AA38" s="80">
        <f t="shared" si="79"/>
        <v>173.18077149861136</v>
      </c>
      <c r="AB38" s="80">
        <f t="shared" si="80"/>
        <v>204.56460891238422</v>
      </c>
      <c r="AC38" s="89" t="str">
        <f t="shared" si="81"/>
        <v>Ok</v>
      </c>
      <c r="AD38" s="85">
        <f t="shared" si="15"/>
        <v>1.6659961041764055E-2</v>
      </c>
      <c r="AE38" s="85">
        <f t="shared" si="5"/>
        <v>1.9281988961466403E-2</v>
      </c>
      <c r="AF38" s="60" t="str">
        <f t="shared" si="16"/>
        <v>Ok</v>
      </c>
      <c r="AG38" s="77">
        <v>12</v>
      </c>
      <c r="AH38" s="76">
        <v>3</v>
      </c>
      <c r="AI38" s="76">
        <v>100</v>
      </c>
      <c r="AJ38" s="60">
        <f t="shared" si="6"/>
        <v>22.608000000000004</v>
      </c>
      <c r="AK38" s="60" t="str">
        <f t="shared" si="7"/>
        <v>OK</v>
      </c>
      <c r="AL38" s="109">
        <f t="shared" si="8"/>
        <v>300</v>
      </c>
      <c r="AT38" s="133" t="str">
        <f t="shared" si="9"/>
        <v>need</v>
      </c>
      <c r="AV38" s="61">
        <f t="shared" si="18"/>
        <v>407.92714285714283</v>
      </c>
      <c r="AW38" s="61" t="str">
        <f t="shared" si="19"/>
        <v>OK</v>
      </c>
      <c r="AX38" s="63">
        <f t="shared" si="20"/>
        <v>398.12617225461605</v>
      </c>
      <c r="AY38" s="63">
        <f t="shared" si="21"/>
        <v>181.78571428571428</v>
      </c>
      <c r="AZ38" s="63">
        <f t="shared" si="22"/>
        <v>1072.3162055335972</v>
      </c>
      <c r="BA38" s="63">
        <f t="shared" si="74"/>
        <v>63.249999999999993</v>
      </c>
      <c r="BB38" s="63">
        <f t="shared" si="75"/>
        <v>1017.36</v>
      </c>
      <c r="BC38" s="63" t="str">
        <f t="shared" si="76"/>
        <v>OK</v>
      </c>
      <c r="BD38" s="63">
        <f t="shared" si="23"/>
        <v>256.4057002636232</v>
      </c>
      <c r="BE38" s="63">
        <f t="shared" si="24"/>
        <v>507.37119999999999</v>
      </c>
      <c r="BF38" s="63">
        <f t="shared" si="25"/>
        <v>415.38762857142854</v>
      </c>
      <c r="BG38" s="63">
        <f t="shared" si="26"/>
        <v>415.38762857142854</v>
      </c>
      <c r="BH38" s="63">
        <f t="shared" si="27"/>
        <v>600.81632857142858</v>
      </c>
      <c r="BI38" s="63">
        <f t="shared" si="28"/>
        <v>600.81632857142858</v>
      </c>
      <c r="BJ38" s="63">
        <f t="shared" si="29"/>
        <v>415.38762857142854</v>
      </c>
      <c r="BK38" s="63" t="str">
        <f t="shared" si="30"/>
        <v>OK</v>
      </c>
      <c r="BL38" s="63">
        <f t="shared" si="31"/>
        <v>218.14285714285714</v>
      </c>
      <c r="BM38" s="63">
        <f t="shared" si="32"/>
        <v>363.57142857142856</v>
      </c>
      <c r="BN38" s="63">
        <f t="shared" si="33"/>
        <v>727.14285714285711</v>
      </c>
      <c r="BO38" s="63">
        <f t="shared" si="34"/>
        <v>1090.7142857142858</v>
      </c>
      <c r="BP38" s="63">
        <f t="shared" si="35"/>
        <v>45.991785714285712</v>
      </c>
      <c r="BQ38" s="63">
        <f t="shared" si="77"/>
        <v>805.29838064485068</v>
      </c>
      <c r="BR38" s="63" t="str">
        <f t="shared" si="78"/>
        <v>OK</v>
      </c>
      <c r="BW38" s="70">
        <f t="shared" si="10"/>
        <v>37.02600000000001</v>
      </c>
    </row>
    <row r="39" spans="4:104" ht="11.25" customHeight="1">
      <c r="D39" s="177"/>
      <c r="E39" s="177"/>
      <c r="F39" s="68" t="s">
        <v>16</v>
      </c>
      <c r="G39" s="78">
        <v>220</v>
      </c>
      <c r="H39" s="78">
        <v>450</v>
      </c>
      <c r="I39" s="79">
        <f t="shared" si="72"/>
        <v>69</v>
      </c>
      <c r="J39" s="80">
        <f t="shared" si="11"/>
        <v>381</v>
      </c>
      <c r="K39" s="81">
        <v>-115</v>
      </c>
      <c r="L39" s="81">
        <v>122</v>
      </c>
      <c r="M39" s="81">
        <v>122</v>
      </c>
      <c r="N39" s="82">
        <f t="shared" si="0"/>
        <v>0.35600764241667887</v>
      </c>
      <c r="O39" s="82">
        <f t="shared" si="12"/>
        <v>0.46300000000000002</v>
      </c>
      <c r="P39" s="82">
        <f t="shared" si="13"/>
        <v>0.76849999999999996</v>
      </c>
      <c r="Q39" s="83" t="str">
        <f t="shared" si="1"/>
        <v>Ok</v>
      </c>
      <c r="R39" s="84">
        <f t="shared" si="2"/>
        <v>9.0290017227531578</v>
      </c>
      <c r="S39" s="131">
        <f t="shared" si="14"/>
        <v>1.0771894205145738E-2</v>
      </c>
      <c r="T39" s="86">
        <v>3</v>
      </c>
      <c r="U39" s="77">
        <v>18</v>
      </c>
      <c r="V39" s="87" t="str">
        <f t="shared" si="3"/>
        <v>+</v>
      </c>
      <c r="W39" s="86">
        <v>0</v>
      </c>
      <c r="X39" s="77">
        <v>0</v>
      </c>
      <c r="Y39" s="88">
        <f t="shared" si="83"/>
        <v>7.6340701482231976</v>
      </c>
      <c r="Z39" s="89" t="str">
        <f t="shared" si="4"/>
        <v>Not Ok</v>
      </c>
      <c r="AA39" s="80">
        <f t="shared" si="79"/>
        <v>-222.31006837765008</v>
      </c>
      <c r="AB39" s="80">
        <f t="shared" si="80"/>
        <v>4.1007336690304577</v>
      </c>
      <c r="AC39" s="89" t="str">
        <f t="shared" si="81"/>
        <v>Not Ok</v>
      </c>
      <c r="AD39" s="85">
        <f t="shared" si="15"/>
        <v>7.7111819679022194E-3</v>
      </c>
      <c r="AE39" s="85">
        <f t="shared" si="5"/>
        <v>1.9281988961466403E-2</v>
      </c>
      <c r="AF39" s="60" t="str">
        <f t="shared" si="16"/>
        <v>Ok</v>
      </c>
      <c r="AG39" s="77">
        <v>12</v>
      </c>
      <c r="AH39" s="76">
        <v>3</v>
      </c>
      <c r="AI39" s="76">
        <v>100</v>
      </c>
      <c r="AJ39" s="60">
        <f t="shared" si="6"/>
        <v>22.608000000000004</v>
      </c>
      <c r="AK39" s="60" t="str">
        <f t="shared" si="7"/>
        <v>OK</v>
      </c>
      <c r="AL39" s="109">
        <f t="shared" si="8"/>
        <v>300</v>
      </c>
      <c r="AT39" s="133" t="str">
        <f t="shared" si="9"/>
        <v>need</v>
      </c>
      <c r="AV39" s="61">
        <f t="shared" si="18"/>
        <v>427.48200000000003</v>
      </c>
      <c r="AW39" s="61" t="str">
        <f t="shared" si="19"/>
        <v>OK</v>
      </c>
      <c r="AX39" s="63">
        <f t="shared" si="20"/>
        <v>301.03059836065569</v>
      </c>
      <c r="AY39" s="63">
        <f t="shared" si="21"/>
        <v>190.5</v>
      </c>
      <c r="AZ39" s="63">
        <f t="shared" si="22"/>
        <v>1072.3162055335972</v>
      </c>
      <c r="BA39" s="63">
        <f t="shared" si="74"/>
        <v>63.249999999999993</v>
      </c>
      <c r="BB39" s="63">
        <f t="shared" si="75"/>
        <v>1017.36</v>
      </c>
      <c r="BC39" s="63" t="str">
        <f t="shared" si="76"/>
        <v>OK</v>
      </c>
      <c r="BD39" s="63">
        <f t="shared" si="23"/>
        <v>268.69705406800909</v>
      </c>
      <c r="BE39" s="63">
        <f t="shared" si="24"/>
        <v>531.69312000000002</v>
      </c>
      <c r="BF39" s="63">
        <f t="shared" si="25"/>
        <v>435.30011999999999</v>
      </c>
      <c r="BG39" s="63">
        <f t="shared" si="26"/>
        <v>435.30011999999999</v>
      </c>
      <c r="BH39" s="63">
        <f t="shared" si="27"/>
        <v>629.61774000000003</v>
      </c>
      <c r="BI39" s="63">
        <f t="shared" si="28"/>
        <v>629.61774000000003</v>
      </c>
      <c r="BJ39" s="63">
        <f t="shared" si="29"/>
        <v>435.30011999999999</v>
      </c>
      <c r="BK39" s="63" t="str">
        <f t="shared" si="30"/>
        <v>OK</v>
      </c>
      <c r="BL39" s="63">
        <f t="shared" si="31"/>
        <v>228.6</v>
      </c>
      <c r="BM39" s="63">
        <f t="shared" si="32"/>
        <v>381</v>
      </c>
      <c r="BN39" s="63">
        <f t="shared" si="33"/>
        <v>762</v>
      </c>
      <c r="BO39" s="63">
        <f t="shared" si="34"/>
        <v>1143</v>
      </c>
      <c r="BP39" s="63">
        <f t="shared" si="35"/>
        <v>48.196499999999993</v>
      </c>
      <c r="BQ39" s="63">
        <f t="shared" si="77"/>
        <v>302.00301192169252</v>
      </c>
      <c r="BR39" s="63" t="str">
        <f t="shared" si="78"/>
        <v>OK</v>
      </c>
      <c r="BW39" s="70">
        <f t="shared" si="10"/>
        <v>37.02600000000001</v>
      </c>
    </row>
    <row r="40" spans="4:104" ht="11.25" customHeight="1">
      <c r="D40" s="178"/>
      <c r="E40" s="177"/>
      <c r="F40" s="67" t="s">
        <v>15</v>
      </c>
      <c r="G40" s="78">
        <v>220</v>
      </c>
      <c r="H40" s="78">
        <v>450</v>
      </c>
      <c r="I40" s="79">
        <f t="shared" si="72"/>
        <v>81.560625814863101</v>
      </c>
      <c r="J40" s="80">
        <f t="shared" si="11"/>
        <v>368.4393741851369</v>
      </c>
      <c r="K40" s="81">
        <v>-208</v>
      </c>
      <c r="L40" s="81">
        <v>140</v>
      </c>
      <c r="M40" s="81">
        <v>140</v>
      </c>
      <c r="N40" s="82">
        <f t="shared" si="0"/>
        <v>0.68856143510047307</v>
      </c>
      <c r="O40" s="82" t="e">
        <f t="shared" si="12"/>
        <v>#NUM!</v>
      </c>
      <c r="P40" s="82" t="e">
        <f t="shared" si="13"/>
        <v>#NUM!</v>
      </c>
      <c r="Q40" s="83" t="e">
        <f t="shared" si="1"/>
        <v>#NUM!</v>
      </c>
      <c r="R40" s="84" t="e">
        <f t="shared" si="2"/>
        <v>#NUM!</v>
      </c>
      <c r="S40" s="131" t="e">
        <f t="shared" si="14"/>
        <v>#NUM!</v>
      </c>
      <c r="T40" s="86">
        <v>5</v>
      </c>
      <c r="U40" s="77">
        <v>22</v>
      </c>
      <c r="V40" s="87" t="str">
        <f t="shared" si="3"/>
        <v>+</v>
      </c>
      <c r="W40" s="86">
        <v>2</v>
      </c>
      <c r="X40" s="77">
        <v>18</v>
      </c>
      <c r="Y40" s="88">
        <f t="shared" si="83"/>
        <v>24.096015653033714</v>
      </c>
      <c r="Z40" s="89" t="e">
        <f t="shared" si="4"/>
        <v>#NUM!</v>
      </c>
      <c r="AA40" s="80">
        <f t="shared" si="79"/>
        <v>99.486826180053328</v>
      </c>
      <c r="AB40" s="80">
        <f t="shared" si="80"/>
        <v>307.74356447150632</v>
      </c>
      <c r="AC40" s="89" t="str">
        <f t="shared" si="81"/>
        <v>Ok</v>
      </c>
      <c r="AD40" s="85">
        <f t="shared" si="15"/>
        <v>2.4339409750539106E-2</v>
      </c>
      <c r="AE40" s="85">
        <f t="shared" si="5"/>
        <v>1.9281988961466403E-2</v>
      </c>
      <c r="AF40" s="60" t="str">
        <f t="shared" si="16"/>
        <v>No-Ok</v>
      </c>
      <c r="AG40" s="77">
        <v>12</v>
      </c>
      <c r="AH40" s="76">
        <v>3</v>
      </c>
      <c r="AI40" s="76">
        <v>100</v>
      </c>
      <c r="AJ40" s="60">
        <f t="shared" si="6"/>
        <v>22.608000000000004</v>
      </c>
      <c r="AK40" s="60" t="str">
        <f t="shared" si="7"/>
        <v>OK</v>
      </c>
      <c r="AL40" s="109">
        <f t="shared" si="8"/>
        <v>300</v>
      </c>
      <c r="AT40" s="133" t="str">
        <f t="shared" si="9"/>
        <v>need</v>
      </c>
      <c r="AV40" s="61">
        <f t="shared" si="18"/>
        <v>413.38897783572361</v>
      </c>
      <c r="AW40" s="61" t="str">
        <f t="shared" si="19"/>
        <v>OK</v>
      </c>
      <c r="AX40" s="63">
        <f t="shared" si="20"/>
        <v>245.31525592738305</v>
      </c>
      <c r="AY40" s="63">
        <f t="shared" si="21"/>
        <v>184.21968709256845</v>
      </c>
      <c r="AZ40" s="63">
        <f t="shared" si="22"/>
        <v>1072.3162055335972</v>
      </c>
      <c r="BA40" s="63">
        <f t="shared" si="74"/>
        <v>63.249999999999993</v>
      </c>
      <c r="BB40" s="63">
        <f t="shared" si="75"/>
        <v>1017.36</v>
      </c>
      <c r="BC40" s="63" t="str">
        <f t="shared" si="76"/>
        <v>OK</v>
      </c>
      <c r="BD40" s="63">
        <f t="shared" si="23"/>
        <v>259.83877807403451</v>
      </c>
      <c r="BE40" s="63">
        <f t="shared" si="24"/>
        <v>514.16451546284225</v>
      </c>
      <c r="BF40" s="63">
        <f t="shared" si="25"/>
        <v>420.94935379400255</v>
      </c>
      <c r="BG40" s="63">
        <f t="shared" si="26"/>
        <v>420.94935379400255</v>
      </c>
      <c r="BH40" s="63">
        <f t="shared" si="27"/>
        <v>608.86080341590605</v>
      </c>
      <c r="BI40" s="63">
        <f t="shared" si="28"/>
        <v>608.86080341590605</v>
      </c>
      <c r="BJ40" s="63">
        <f t="shared" si="29"/>
        <v>420.94935379400255</v>
      </c>
      <c r="BK40" s="63" t="str">
        <f t="shared" si="30"/>
        <v>OK</v>
      </c>
      <c r="BL40" s="63">
        <f t="shared" si="31"/>
        <v>221.06362451108214</v>
      </c>
      <c r="BM40" s="63">
        <f t="shared" si="32"/>
        <v>368.4393741851369</v>
      </c>
      <c r="BN40" s="63">
        <f t="shared" si="33"/>
        <v>736.8787483702738</v>
      </c>
      <c r="BO40" s="63">
        <f t="shared" si="34"/>
        <v>1105.3181225554108</v>
      </c>
      <c r="BP40" s="63">
        <f t="shared" si="35"/>
        <v>46.607580834419814</v>
      </c>
      <c r="BQ40" s="63">
        <f t="shared" si="77"/>
        <v>187.71143292141943</v>
      </c>
      <c r="BR40" s="63" t="str">
        <f t="shared" si="78"/>
        <v>OK</v>
      </c>
      <c r="BW40" s="70">
        <f t="shared" si="10"/>
        <v>37.02600000000001</v>
      </c>
    </row>
    <row r="41" spans="4:104" ht="10.5" customHeight="1">
      <c r="D41" s="179" t="s">
        <v>226</v>
      </c>
      <c r="E41" s="177"/>
      <c r="F41" s="91" t="s">
        <v>15</v>
      </c>
      <c r="G41" s="78">
        <v>220</v>
      </c>
      <c r="H41" s="78">
        <v>450</v>
      </c>
      <c r="I41" s="92">
        <f t="shared" si="72"/>
        <v>81.560625814863101</v>
      </c>
      <c r="J41" s="93">
        <f t="shared" si="11"/>
        <v>368.4393741851369</v>
      </c>
      <c r="K41" s="94">
        <v>-413</v>
      </c>
      <c r="L41" s="94">
        <v>254</v>
      </c>
      <c r="M41" s="94">
        <v>254</v>
      </c>
      <c r="N41" s="95">
        <f t="shared" si="0"/>
        <v>1.3671916956562278</v>
      </c>
      <c r="O41" s="95" t="e">
        <f t="shared" si="12"/>
        <v>#NUM!</v>
      </c>
      <c r="P41" s="95" t="e">
        <f t="shared" si="13"/>
        <v>#NUM!</v>
      </c>
      <c r="Q41" s="96" t="e">
        <f t="shared" si="1"/>
        <v>#NUM!</v>
      </c>
      <c r="R41" s="97" t="e">
        <f t="shared" si="2"/>
        <v>#NUM!</v>
      </c>
      <c r="S41" s="132" t="e">
        <f t="shared" si="14"/>
        <v>#NUM!</v>
      </c>
      <c r="T41" s="99">
        <v>5</v>
      </c>
      <c r="U41" s="100">
        <v>22</v>
      </c>
      <c r="V41" s="101" t="str">
        <f t="shared" si="3"/>
        <v>+</v>
      </c>
      <c r="W41" s="99">
        <v>2</v>
      </c>
      <c r="X41" s="100">
        <v>18</v>
      </c>
      <c r="Y41" s="102">
        <f t="shared" si="83"/>
        <v>24.096015653033714</v>
      </c>
      <c r="Z41" s="103" t="e">
        <f t="shared" si="4"/>
        <v>#NUM!</v>
      </c>
      <c r="AA41" s="93">
        <f t="shared" si="79"/>
        <v>222.31006837765008</v>
      </c>
      <c r="AB41" s="93">
        <f t="shared" si="80"/>
        <v>285.42054904356252</v>
      </c>
      <c r="AC41" s="89" t="str">
        <f t="shared" si="81"/>
        <v>Not Ok</v>
      </c>
      <c r="AD41" s="98">
        <f t="shared" si="15"/>
        <v>2.4339409750539106E-2</v>
      </c>
      <c r="AE41" s="98">
        <f t="shared" si="5"/>
        <v>1.9281988961466403E-2</v>
      </c>
      <c r="AF41" s="104" t="str">
        <f t="shared" si="16"/>
        <v>No-Ok</v>
      </c>
      <c r="AG41" s="100">
        <v>8</v>
      </c>
      <c r="AH41" s="105">
        <v>3</v>
      </c>
      <c r="AI41" s="105">
        <v>100</v>
      </c>
      <c r="AJ41" s="104">
        <f t="shared" si="6"/>
        <v>10.048000000000002</v>
      </c>
      <c r="AK41" s="60" t="str">
        <f t="shared" si="7"/>
        <v>NOT OK</v>
      </c>
      <c r="AL41" s="109">
        <f t="shared" si="8"/>
        <v>210</v>
      </c>
      <c r="AT41" s="133" t="str">
        <f t="shared" si="9"/>
        <v>need</v>
      </c>
      <c r="AV41" s="61">
        <f t="shared" si="18"/>
        <v>413.38897783572361</v>
      </c>
      <c r="AW41" s="61" t="str">
        <f t="shared" si="19"/>
        <v>OK</v>
      </c>
      <c r="AX41" s="63">
        <f t="shared" si="20"/>
        <v>135.21313318832136</v>
      </c>
      <c r="AY41" s="63">
        <f t="shared" si="21"/>
        <v>184.21968709256845</v>
      </c>
      <c r="AZ41" s="63">
        <f t="shared" si="22"/>
        <v>333.60948616600797</v>
      </c>
      <c r="BA41" s="63">
        <f t="shared" si="74"/>
        <v>63.249999999999993</v>
      </c>
      <c r="BB41" s="63">
        <f t="shared" si="75"/>
        <v>316.512</v>
      </c>
      <c r="BC41" s="63" t="str">
        <f t="shared" si="76"/>
        <v>OK</v>
      </c>
      <c r="BD41" s="63">
        <f t="shared" si="23"/>
        <v>465.85011205286463</v>
      </c>
      <c r="BE41" s="63">
        <f t="shared" si="24"/>
        <v>320.49951657366364</v>
      </c>
      <c r="BF41" s="63">
        <f t="shared" si="25"/>
        <v>227.28435490482394</v>
      </c>
      <c r="BG41" s="63">
        <f t="shared" si="26"/>
        <v>336.78269640774243</v>
      </c>
      <c r="BH41" s="63">
        <f t="shared" si="27"/>
        <v>221.53080563754892</v>
      </c>
      <c r="BI41" s="63">
        <f t="shared" si="28"/>
        <v>221.53080563754892</v>
      </c>
      <c r="BJ41" s="63">
        <f t="shared" si="29"/>
        <v>221.53080563754892</v>
      </c>
      <c r="BK41" s="63" t="str">
        <f t="shared" si="30"/>
        <v>NOT OK</v>
      </c>
      <c r="BL41" s="63">
        <f t="shared" si="31"/>
        <v>221.06362451108214</v>
      </c>
      <c r="BM41" s="63">
        <f t="shared" si="32"/>
        <v>368.4393741851369</v>
      </c>
      <c r="BN41" s="63">
        <f t="shared" si="33"/>
        <v>736.8787483702738</v>
      </c>
      <c r="BO41" s="63">
        <f t="shared" si="34"/>
        <v>1105.3181225554108</v>
      </c>
      <c r="BP41" s="63">
        <f t="shared" si="35"/>
        <v>46.607580834419814</v>
      </c>
      <c r="BQ41" s="63">
        <f t="shared" si="77"/>
        <v>416.62267946776814</v>
      </c>
      <c r="BR41" s="63" t="str">
        <f t="shared" si="78"/>
        <v>OK</v>
      </c>
      <c r="BW41" s="70">
        <f t="shared" si="10"/>
        <v>37.02600000000001</v>
      </c>
    </row>
    <row r="42" spans="4:104" ht="12" customHeight="1">
      <c r="D42" s="180"/>
      <c r="E42" s="177"/>
      <c r="F42" s="106" t="s">
        <v>16</v>
      </c>
      <c r="G42" s="78">
        <v>220</v>
      </c>
      <c r="H42" s="78">
        <v>450</v>
      </c>
      <c r="I42" s="92">
        <f t="shared" si="72"/>
        <v>82.714285714285722</v>
      </c>
      <c r="J42" s="93">
        <f t="shared" si="11"/>
        <v>367.28571428571428</v>
      </c>
      <c r="K42" s="94">
        <v>214</v>
      </c>
      <c r="L42" s="94">
        <v>250</v>
      </c>
      <c r="M42" s="94">
        <v>250</v>
      </c>
      <c r="N42" s="95">
        <f t="shared" si="0"/>
        <v>0.71288115149501796</v>
      </c>
      <c r="O42" s="95" t="e">
        <f t="shared" si="12"/>
        <v>#NUM!</v>
      </c>
      <c r="P42" s="95" t="e">
        <f t="shared" si="13"/>
        <v>#NUM!</v>
      </c>
      <c r="Q42" s="96" t="e">
        <f t="shared" si="1"/>
        <v>#NUM!</v>
      </c>
      <c r="R42" s="97" t="e">
        <f t="shared" si="2"/>
        <v>#NUM!</v>
      </c>
      <c r="S42" s="132" t="e">
        <f t="shared" si="14"/>
        <v>#NUM!</v>
      </c>
      <c r="T42" s="99">
        <v>5</v>
      </c>
      <c r="U42" s="100">
        <v>18</v>
      </c>
      <c r="V42" s="101" t="str">
        <f t="shared" si="3"/>
        <v>+</v>
      </c>
      <c r="W42" s="99">
        <v>2</v>
      </c>
      <c r="X42" s="100">
        <v>18</v>
      </c>
      <c r="Y42" s="102">
        <f t="shared" si="83"/>
        <v>17.812830345854128</v>
      </c>
      <c r="Z42" s="103" t="e">
        <f t="shared" si="4"/>
        <v>#NUM!</v>
      </c>
      <c r="AA42" s="93">
        <f t="shared" si="79"/>
        <v>-23.336416017543431</v>
      </c>
      <c r="AB42" s="93">
        <f t="shared" si="80"/>
        <v>216.55498247072228</v>
      </c>
      <c r="AC42" s="89" t="str">
        <f t="shared" si="81"/>
        <v>Ok</v>
      </c>
      <c r="AD42" s="98">
        <f t="shared" si="15"/>
        <v>1.7992757925105178E-2</v>
      </c>
      <c r="AE42" s="98">
        <f t="shared" si="5"/>
        <v>1.9281988961466403E-2</v>
      </c>
      <c r="AF42" s="104" t="str">
        <f t="shared" si="16"/>
        <v>Ok</v>
      </c>
      <c r="AG42" s="100">
        <v>8</v>
      </c>
      <c r="AH42" s="105">
        <v>3</v>
      </c>
      <c r="AI42" s="105">
        <v>50</v>
      </c>
      <c r="AJ42" s="104">
        <f t="shared" si="6"/>
        <v>20.096000000000004</v>
      </c>
      <c r="AK42" s="60" t="str">
        <f t="shared" si="7"/>
        <v>OK</v>
      </c>
      <c r="AL42" s="109">
        <f t="shared" si="8"/>
        <v>210</v>
      </c>
      <c r="AT42" s="133" t="str">
        <f t="shared" si="9"/>
        <v>need</v>
      </c>
      <c r="AV42" s="61">
        <f t="shared" si="18"/>
        <v>412.09457142857144</v>
      </c>
      <c r="AW42" s="61" t="str">
        <f t="shared" si="19"/>
        <v>OK</v>
      </c>
      <c r="AX42" s="63">
        <f t="shared" si="20"/>
        <v>136.51758146938775</v>
      </c>
      <c r="AY42" s="63">
        <f t="shared" si="21"/>
        <v>183.64285714285714</v>
      </c>
      <c r="AZ42" s="63">
        <f t="shared" si="22"/>
        <v>667.21897233201594</v>
      </c>
      <c r="BA42" s="63">
        <f t="shared" si="74"/>
        <v>63.249999999999993</v>
      </c>
      <c r="BB42" s="63">
        <f t="shared" si="75"/>
        <v>633.024</v>
      </c>
      <c r="BC42" s="63" t="str">
        <f t="shared" si="76"/>
        <v>OK</v>
      </c>
      <c r="BD42" s="63">
        <f t="shared" si="23"/>
        <v>328.37433562906114</v>
      </c>
      <c r="BE42" s="63">
        <f t="shared" si="24"/>
        <v>406.68371828571429</v>
      </c>
      <c r="BF42" s="63">
        <f t="shared" si="25"/>
        <v>313.76043257142857</v>
      </c>
      <c r="BG42" s="63">
        <f t="shared" si="26"/>
        <v>313.76043257142857</v>
      </c>
      <c r="BH42" s="63">
        <f t="shared" si="27"/>
        <v>395.21265085714288</v>
      </c>
      <c r="BI42" s="63">
        <f t="shared" si="28"/>
        <v>395.21265085714288</v>
      </c>
      <c r="BJ42" s="63">
        <f t="shared" si="29"/>
        <v>313.76043257142857</v>
      </c>
      <c r="BK42" s="63" t="str">
        <f t="shared" si="30"/>
        <v>OK</v>
      </c>
      <c r="BL42" s="63">
        <f t="shared" si="31"/>
        <v>220.37142857142857</v>
      </c>
      <c r="BM42" s="63">
        <f t="shared" si="32"/>
        <v>367.28571428571428</v>
      </c>
      <c r="BN42" s="63">
        <f t="shared" si="33"/>
        <v>734.57142857142856</v>
      </c>
      <c r="BO42" s="63">
        <f t="shared" si="34"/>
        <v>1101.8571428571429</v>
      </c>
      <c r="BP42" s="63">
        <f t="shared" si="35"/>
        <v>46.461642857142849</v>
      </c>
      <c r="BQ42" s="63">
        <f t="shared" si="77"/>
        <v>369.05347213957202</v>
      </c>
      <c r="BR42" s="63" t="str">
        <f t="shared" si="78"/>
        <v>OK</v>
      </c>
      <c r="BW42" s="70">
        <f t="shared" si="10"/>
        <v>37.02600000000001</v>
      </c>
    </row>
    <row r="43" spans="4:104" ht="11.25" customHeight="1">
      <c r="D43" s="181"/>
      <c r="E43" s="177"/>
      <c r="F43" s="91" t="s">
        <v>15</v>
      </c>
      <c r="G43" s="78">
        <v>220</v>
      </c>
      <c r="H43" s="78">
        <v>450</v>
      </c>
      <c r="I43" s="92">
        <f t="shared" si="72"/>
        <v>81.560625814863101</v>
      </c>
      <c r="J43" s="93">
        <f t="shared" si="11"/>
        <v>368.4393741851369</v>
      </c>
      <c r="K43" s="94">
        <v>-351</v>
      </c>
      <c r="L43" s="94">
        <v>282</v>
      </c>
      <c r="M43" s="94">
        <v>282</v>
      </c>
      <c r="N43" s="95">
        <f t="shared" si="0"/>
        <v>1.1619474217320485</v>
      </c>
      <c r="O43" s="95" t="e">
        <f t="shared" si="12"/>
        <v>#NUM!</v>
      </c>
      <c r="P43" s="95" t="e">
        <f t="shared" si="13"/>
        <v>#NUM!</v>
      </c>
      <c r="Q43" s="96" t="e">
        <f t="shared" si="1"/>
        <v>#NUM!</v>
      </c>
      <c r="R43" s="97" t="e">
        <f t="shared" si="2"/>
        <v>#NUM!</v>
      </c>
      <c r="S43" s="132" t="e">
        <f t="shared" si="14"/>
        <v>#NUM!</v>
      </c>
      <c r="T43" s="99">
        <v>5</v>
      </c>
      <c r="U43" s="100">
        <v>22</v>
      </c>
      <c r="V43" s="101" t="str">
        <f t="shared" si="3"/>
        <v>+</v>
      </c>
      <c r="W43" s="99">
        <v>2</v>
      </c>
      <c r="X43" s="100">
        <v>18</v>
      </c>
      <c r="Y43" s="102">
        <f t="shared" si="83"/>
        <v>24.096015653033714</v>
      </c>
      <c r="Z43" s="103" t="e">
        <f t="shared" si="4"/>
        <v>#NUM!</v>
      </c>
      <c r="AA43" s="93">
        <f t="shared" si="79"/>
        <v>99.486826180053328</v>
      </c>
      <c r="AB43" s="93">
        <f t="shared" si="80"/>
        <v>307.74356447150632</v>
      </c>
      <c r="AC43" s="89" t="str">
        <f t="shared" si="81"/>
        <v>Not Ok</v>
      </c>
      <c r="AD43" s="98">
        <f t="shared" si="15"/>
        <v>2.4339409750539106E-2</v>
      </c>
      <c r="AE43" s="98">
        <f t="shared" si="5"/>
        <v>1.9281988961466403E-2</v>
      </c>
      <c r="AF43" s="104" t="str">
        <f t="shared" si="16"/>
        <v>No-Ok</v>
      </c>
      <c r="AG43" s="100">
        <v>8</v>
      </c>
      <c r="AH43" s="105">
        <v>3</v>
      </c>
      <c r="AI43" s="105">
        <v>100</v>
      </c>
      <c r="AJ43" s="104">
        <f t="shared" si="6"/>
        <v>10.048000000000002</v>
      </c>
      <c r="AK43" s="60" t="str">
        <f t="shared" si="7"/>
        <v>NOT OK</v>
      </c>
      <c r="AL43" s="109">
        <f t="shared" si="8"/>
        <v>210</v>
      </c>
      <c r="AT43" s="133" t="str">
        <f t="shared" si="9"/>
        <v>need</v>
      </c>
      <c r="AV43" s="61">
        <f t="shared" si="18"/>
        <v>413.38897783572361</v>
      </c>
      <c r="AW43" s="61" t="str">
        <f t="shared" si="19"/>
        <v>OK</v>
      </c>
      <c r="AX43" s="63">
        <f t="shared" si="20"/>
        <v>121.78771570862988</v>
      </c>
      <c r="AY43" s="63">
        <f t="shared" si="21"/>
        <v>184.21968709256845</v>
      </c>
      <c r="AZ43" s="63">
        <f t="shared" si="22"/>
        <v>333.60948616600797</v>
      </c>
      <c r="BA43" s="63">
        <f t="shared" si="74"/>
        <v>63.249999999999993</v>
      </c>
      <c r="BB43" s="63">
        <f t="shared" si="75"/>
        <v>316.512</v>
      </c>
      <c r="BC43" s="63" t="str">
        <f t="shared" si="76"/>
        <v>OK</v>
      </c>
      <c r="BD43" s="63">
        <f t="shared" si="23"/>
        <v>465.85011205286463</v>
      </c>
      <c r="BE43" s="63">
        <f t="shared" si="24"/>
        <v>320.49951657366364</v>
      </c>
      <c r="BF43" s="63">
        <f t="shared" si="25"/>
        <v>227.28435490482394</v>
      </c>
      <c r="BG43" s="63">
        <f t="shared" si="26"/>
        <v>336.78269640774243</v>
      </c>
      <c r="BH43" s="63">
        <f t="shared" si="27"/>
        <v>221.53080563754892</v>
      </c>
      <c r="BI43" s="63">
        <f t="shared" si="28"/>
        <v>221.53080563754892</v>
      </c>
      <c r="BJ43" s="63">
        <f t="shared" si="29"/>
        <v>221.53080563754892</v>
      </c>
      <c r="BK43" s="63" t="str">
        <f t="shared" si="30"/>
        <v>NOT OK</v>
      </c>
      <c r="BL43" s="63">
        <f t="shared" si="31"/>
        <v>221.06362451108214</v>
      </c>
      <c r="BM43" s="63">
        <f t="shared" si="32"/>
        <v>368.4393741851369</v>
      </c>
      <c r="BN43" s="63">
        <f t="shared" si="33"/>
        <v>736.8787483702738</v>
      </c>
      <c r="BO43" s="63">
        <f t="shared" si="34"/>
        <v>1105.3181225554108</v>
      </c>
      <c r="BP43" s="63">
        <f t="shared" si="35"/>
        <v>46.607580834419814</v>
      </c>
      <c r="BQ43" s="63">
        <f t="shared" si="77"/>
        <v>298.83197397533235</v>
      </c>
      <c r="BR43" s="63" t="str">
        <f t="shared" si="78"/>
        <v>OK</v>
      </c>
      <c r="BW43" s="70">
        <f t="shared" si="10"/>
        <v>37.02600000000001</v>
      </c>
    </row>
    <row r="44" spans="4:104" ht="12" customHeight="1">
      <c r="D44" s="176" t="s">
        <v>168</v>
      </c>
      <c r="E44" s="177"/>
      <c r="F44" s="67" t="s">
        <v>15</v>
      </c>
      <c r="G44" s="78">
        <v>220</v>
      </c>
      <c r="H44" s="78">
        <v>450</v>
      </c>
      <c r="I44" s="79">
        <f t="shared" si="72"/>
        <v>81.560625814863101</v>
      </c>
      <c r="J44" s="80">
        <f>H44-I44</f>
        <v>368.4393741851369</v>
      </c>
      <c r="K44" s="81">
        <v>-238</v>
      </c>
      <c r="L44" s="81">
        <v>103</v>
      </c>
      <c r="M44" s="81">
        <v>103</v>
      </c>
      <c r="N44" s="82">
        <f t="shared" si="0"/>
        <v>0.78787318054765676</v>
      </c>
      <c r="O44" s="82" t="e">
        <f>ROUND(1-SQRT(1-2*N44),3)</f>
        <v>#NUM!</v>
      </c>
      <c r="P44" s="82" t="e">
        <f>1-0.5*O44</f>
        <v>#NUM!</v>
      </c>
      <c r="Q44" s="83" t="e">
        <f t="shared" si="1"/>
        <v>#NUM!</v>
      </c>
      <c r="R44" s="84" t="e">
        <f t="shared" si="2"/>
        <v>#NUM!</v>
      </c>
      <c r="S44" s="131" t="e">
        <f t="shared" si="14"/>
        <v>#NUM!</v>
      </c>
      <c r="T44" s="86">
        <v>5</v>
      </c>
      <c r="U44" s="77">
        <v>22</v>
      </c>
      <c r="V44" s="87" t="str">
        <f t="shared" si="3"/>
        <v>+</v>
      </c>
      <c r="W44" s="86">
        <v>2</v>
      </c>
      <c r="X44" s="77">
        <v>18</v>
      </c>
      <c r="Y44" s="88">
        <f>(T44*PI()*U44^2/4+W44*PI()*X44^2/4)/100</f>
        <v>24.096015653033714</v>
      </c>
      <c r="Z44" s="89" t="e">
        <f t="shared" si="4"/>
        <v>#NUM!</v>
      </c>
      <c r="AA44" s="90">
        <f t="shared" si="79"/>
        <v>222.31006837765008</v>
      </c>
      <c r="AB44" s="80">
        <f>($J$11*$H$4*G44*ABS(AA44)*(J44-0.5*ABS(AA44))+$H$6*(T45*PI()*U45^2/4)*(J44-I45))*10^-6</f>
        <v>293.01099593379593</v>
      </c>
      <c r="AC44" s="89" t="str">
        <f t="shared" si="81"/>
        <v>Ok</v>
      </c>
      <c r="AD44" s="85">
        <f>(Y44*100)/(G44*H44)</f>
        <v>2.4339409750539106E-2</v>
      </c>
      <c r="AE44" s="85">
        <f t="shared" si="5"/>
        <v>1.9281988961466403E-2</v>
      </c>
      <c r="AF44" s="60" t="str">
        <f>IF(AND(AD44&gt;0.1%,AD44&lt;AE44),"Ok","No-Ok")</f>
        <v>No-Ok</v>
      </c>
      <c r="AG44" s="77">
        <v>8</v>
      </c>
      <c r="AH44" s="76">
        <v>3</v>
      </c>
      <c r="AI44" s="76">
        <v>100</v>
      </c>
      <c r="AJ44" s="60">
        <f t="shared" si="6"/>
        <v>10.048000000000002</v>
      </c>
      <c r="AK44" s="60" t="str">
        <f t="shared" si="7"/>
        <v>OK</v>
      </c>
      <c r="AL44" s="109">
        <f t="shared" si="8"/>
        <v>210</v>
      </c>
      <c r="AT44" s="133" t="str">
        <f t="shared" si="9"/>
        <v>need</v>
      </c>
      <c r="AV44" s="61">
        <f t="shared" si="18"/>
        <v>413.38897783572361</v>
      </c>
      <c r="AW44" s="61" t="str">
        <f t="shared" si="19"/>
        <v>OK</v>
      </c>
      <c r="AX44" s="63">
        <f t="shared" si="20"/>
        <v>333.43821194013231</v>
      </c>
      <c r="AY44" s="63">
        <f t="shared" si="21"/>
        <v>184.21968709256845</v>
      </c>
      <c r="AZ44" s="63">
        <f t="shared" si="22"/>
        <v>333.60948616600797</v>
      </c>
      <c r="BA44" s="63">
        <f t="shared" si="74"/>
        <v>63.249999999999993</v>
      </c>
      <c r="BB44" s="63">
        <f t="shared" si="75"/>
        <v>316.512</v>
      </c>
      <c r="BC44" s="63" t="str">
        <f t="shared" si="76"/>
        <v>OK</v>
      </c>
      <c r="BD44" s="63">
        <f t="shared" si="23"/>
        <v>465.85011205286463</v>
      </c>
      <c r="BE44" s="63">
        <f t="shared" si="24"/>
        <v>320.49951657366364</v>
      </c>
      <c r="BF44" s="63">
        <f t="shared" si="25"/>
        <v>227.28435490482394</v>
      </c>
      <c r="BG44" s="63">
        <f t="shared" si="26"/>
        <v>336.78269640774243</v>
      </c>
      <c r="BH44" s="63">
        <f t="shared" si="27"/>
        <v>221.53080563754892</v>
      </c>
      <c r="BI44" s="63">
        <f t="shared" si="28"/>
        <v>221.53080563754892</v>
      </c>
      <c r="BJ44" s="63">
        <f t="shared" si="29"/>
        <v>221.53080563754892</v>
      </c>
      <c r="BK44" s="63" t="str">
        <f t="shared" si="30"/>
        <v>OK</v>
      </c>
      <c r="BL44" s="63">
        <f t="shared" si="31"/>
        <v>221.06362451108214</v>
      </c>
      <c r="BM44" s="63">
        <f t="shared" si="32"/>
        <v>368.4393741851369</v>
      </c>
      <c r="BN44" s="63">
        <f t="shared" si="33"/>
        <v>736.8787483702738</v>
      </c>
      <c r="BO44" s="63">
        <f t="shared" si="34"/>
        <v>1105.3181225554108</v>
      </c>
      <c r="BP44" s="63">
        <f t="shared" si="35"/>
        <v>46.607580834419814</v>
      </c>
      <c r="BQ44" s="63">
        <f t="shared" si="77"/>
        <v>369.05347213957202</v>
      </c>
      <c r="BR44" s="63" t="str">
        <f t="shared" si="78"/>
        <v>OK</v>
      </c>
      <c r="BU44" s="70">
        <v>12</v>
      </c>
      <c r="BV44" s="70">
        <v>1</v>
      </c>
      <c r="BW44" s="70">
        <f t="shared" si="10"/>
        <v>37.02600000000001</v>
      </c>
      <c r="BX44" s="70" t="str">
        <f>IF(BW44&gt;AT44,"OK","NOT OK")</f>
        <v>NOT OK</v>
      </c>
      <c r="BY44" s="70">
        <f>G44</f>
        <v>220</v>
      </c>
      <c r="BZ44" s="70">
        <f>H44</f>
        <v>450</v>
      </c>
      <c r="CA44" s="70">
        <f>BY44/(2*BZ44+BY44)</f>
        <v>0.19642857142857142</v>
      </c>
      <c r="CB44" s="27">
        <f>O31*AJ44/10</f>
        <v>4.0192000000000005E-3</v>
      </c>
      <c r="CE44" s="71">
        <f>CB44*CA44*BY44*BZ44/1000000</f>
        <v>7.8159085714285721E-5</v>
      </c>
      <c r="CF44" s="71"/>
      <c r="CG44" s="71"/>
      <c r="CH44" s="70">
        <f>T45*3.14*U45^2/4</f>
        <v>1271.7</v>
      </c>
      <c r="CI44" s="71">
        <f>0.5*$H$6*CH44*BZ44/1000000</f>
        <v>124.4676375</v>
      </c>
      <c r="CJ44" s="70" t="str">
        <f>IF((CI44+CE44)&gt;AT44,"OK","NOT OK")</f>
        <v>NOT OK</v>
      </c>
      <c r="CK44" s="27">
        <f>BZ44</f>
        <v>450</v>
      </c>
      <c r="CL44" s="27">
        <f>BY44</f>
        <v>220</v>
      </c>
      <c r="CM44" s="74">
        <f>CK44/(2*CL44+CK44)</f>
        <v>0.5056179775280899</v>
      </c>
      <c r="CN44" s="74"/>
      <c r="CO44" s="27">
        <f>O31*AJ44/10</f>
        <v>4.0192000000000005E-3</v>
      </c>
      <c r="CP44" s="74">
        <f>CO44*CM44*CK44*CL44/1000000</f>
        <v>2.0118579775280901E-4</v>
      </c>
      <c r="CQ44" s="27">
        <f>3.14*U45^2/4+3.14*U44^2/4+BV44*3.14*BU44^2/4</f>
        <v>747.31999999999994</v>
      </c>
      <c r="CT44" s="71">
        <f>0.5*$H$6*CQ44*CL44/1000000</f>
        <v>35.759261999999993</v>
      </c>
      <c r="CU44" s="71"/>
      <c r="CV44" s="70" t="str">
        <f>IF((CT44+CP44)&gt;U44,"OK","NOT OK")</f>
        <v>OK</v>
      </c>
      <c r="CW44" s="74">
        <f>MIN((CP44+CT44),(CE44+CI44))</f>
        <v>35.759463185797742</v>
      </c>
      <c r="CX44" s="71">
        <f>AB44</f>
        <v>293.01099593379593</v>
      </c>
      <c r="CY44" s="71">
        <f>(BG44+BO44*J44)/1000</f>
        <v>407.57950004621375</v>
      </c>
      <c r="CZ44" s="62">
        <f>CW44*SQRT(1-(K44/CX44)^1)</f>
        <v>48.139412801810998</v>
      </c>
    </row>
    <row r="45" spans="4:104" ht="10.5" customHeight="1">
      <c r="D45" s="177"/>
      <c r="E45" s="177"/>
      <c r="F45" s="68" t="s">
        <v>16</v>
      </c>
      <c r="G45" s="78">
        <v>220</v>
      </c>
      <c r="H45" s="78">
        <v>450</v>
      </c>
      <c r="I45" s="79">
        <f t="shared" si="72"/>
        <v>69</v>
      </c>
      <c r="J45" s="80">
        <f t="shared" ref="J45:J55" si="84">H45-I45</f>
        <v>381</v>
      </c>
      <c r="K45" s="81">
        <v>145</v>
      </c>
      <c r="L45" s="81">
        <v>75</v>
      </c>
      <c r="M45" s="81">
        <v>75</v>
      </c>
      <c r="N45" s="82">
        <f t="shared" si="0"/>
        <v>0.44887920130798642</v>
      </c>
      <c r="O45" s="82">
        <f t="shared" ref="O45:O55" si="85">ROUND(1-SQRT(1-2*N45),3)</f>
        <v>0.68</v>
      </c>
      <c r="P45" s="82">
        <f t="shared" ref="P45:P55" si="86">1-0.5*O45</f>
        <v>0.65999999999999992</v>
      </c>
      <c r="Q45" s="83" t="str">
        <f t="shared" si="1"/>
        <v>Not Ok</v>
      </c>
      <c r="R45" s="84">
        <f t="shared" si="2"/>
        <v>13.255918767729792</v>
      </c>
      <c r="S45" s="131">
        <f t="shared" si="14"/>
        <v>1.5814744413898581E-2</v>
      </c>
      <c r="T45" s="86">
        <v>5</v>
      </c>
      <c r="U45" s="77">
        <v>18</v>
      </c>
      <c r="V45" s="87" t="str">
        <f t="shared" si="3"/>
        <v>+</v>
      </c>
      <c r="W45" s="86">
        <v>0</v>
      </c>
      <c r="X45" s="77">
        <v>18</v>
      </c>
      <c r="Y45" s="88">
        <f t="shared" ref="Y45:Y55" si="87">(T45*PI()*U45^2/4+W45*PI()*X45^2/4)/100</f>
        <v>12.723450247038661</v>
      </c>
      <c r="Z45" s="89" t="str">
        <f t="shared" si="4"/>
        <v>Not Ok</v>
      </c>
      <c r="AA45" s="80">
        <f t="shared" si="79"/>
        <v>-122.82324219759676</v>
      </c>
      <c r="AB45" s="80">
        <f t="shared" ref="AB45:AB55" si="88">($J$11*$H$4*G45*AA45*(J45-0.5*AA45)+$H$6*(T46*PI()*U46^2/4)*(J45-I46))*10^-6</f>
        <v>135.385172861147</v>
      </c>
      <c r="AC45" s="89" t="str">
        <f t="shared" si="81"/>
        <v>Not Ok</v>
      </c>
      <c r="AD45" s="85">
        <f t="shared" ref="AD45:AD55" si="89">(Y45*100)/(G45*H45)</f>
        <v>1.2851969946503698E-2</v>
      </c>
      <c r="AE45" s="85">
        <f t="shared" si="5"/>
        <v>1.9281988961466403E-2</v>
      </c>
      <c r="AF45" s="60" t="str">
        <f t="shared" ref="AF45:AF55" si="90">IF(AND(AD45&gt;0.1%,AD45&lt;AE45),"Ok","No-Ok")</f>
        <v>Ok</v>
      </c>
      <c r="AG45" s="77">
        <v>8</v>
      </c>
      <c r="AH45" s="76">
        <v>3</v>
      </c>
      <c r="AI45" s="76">
        <v>100</v>
      </c>
      <c r="AJ45" s="60">
        <f t="shared" si="6"/>
        <v>10.048000000000002</v>
      </c>
      <c r="AK45" s="60" t="str">
        <f t="shared" si="7"/>
        <v>OK</v>
      </c>
      <c r="AL45" s="109">
        <f t="shared" si="8"/>
        <v>210</v>
      </c>
      <c r="AT45" s="133" t="str">
        <f t="shared" si="9"/>
        <v>need</v>
      </c>
      <c r="AV45" s="61">
        <f t="shared" si="18"/>
        <v>427.48200000000003</v>
      </c>
      <c r="AW45" s="61" t="str">
        <f t="shared" si="19"/>
        <v>OK</v>
      </c>
      <c r="AX45" s="63">
        <f t="shared" si="20"/>
        <v>489.6764399999999</v>
      </c>
      <c r="AY45" s="63">
        <f t="shared" si="21"/>
        <v>190.5</v>
      </c>
      <c r="AZ45" s="63">
        <f t="shared" si="22"/>
        <v>333.60948616600797</v>
      </c>
      <c r="BA45" s="63">
        <f t="shared" si="74"/>
        <v>63.249999999999993</v>
      </c>
      <c r="BB45" s="63">
        <f t="shared" si="75"/>
        <v>316.512</v>
      </c>
      <c r="BC45" s="63" t="str">
        <f t="shared" si="76"/>
        <v>OK</v>
      </c>
      <c r="BD45" s="63">
        <f t="shared" si="23"/>
        <v>481.73160939893228</v>
      </c>
      <c r="BE45" s="63">
        <f t="shared" si="24"/>
        <v>331.42580399999997</v>
      </c>
      <c r="BF45" s="63">
        <f t="shared" si="25"/>
        <v>235.03280399999994</v>
      </c>
      <c r="BG45" s="63">
        <f t="shared" si="26"/>
        <v>348.26410074964832</v>
      </c>
      <c r="BH45" s="63">
        <f t="shared" si="27"/>
        <v>229.08310799999998</v>
      </c>
      <c r="BI45" s="63">
        <f t="shared" si="28"/>
        <v>229.08310799999998</v>
      </c>
      <c r="BJ45" s="63">
        <f t="shared" si="29"/>
        <v>229.08310799999998</v>
      </c>
      <c r="BK45" s="63" t="str">
        <f t="shared" si="30"/>
        <v>OK</v>
      </c>
      <c r="BL45" s="63">
        <f t="shared" si="31"/>
        <v>228.6</v>
      </c>
      <c r="BM45" s="63">
        <f t="shared" si="32"/>
        <v>381</v>
      </c>
      <c r="BN45" s="63">
        <f t="shared" si="33"/>
        <v>762</v>
      </c>
      <c r="BO45" s="63">
        <f t="shared" si="34"/>
        <v>1143</v>
      </c>
      <c r="BP45" s="63">
        <f t="shared" si="35"/>
        <v>48.196499999999993</v>
      </c>
      <c r="BQ45" s="63">
        <f t="shared" si="77"/>
        <v>369.05347213957202</v>
      </c>
      <c r="BR45" s="63" t="str">
        <f t="shared" si="78"/>
        <v>OK</v>
      </c>
      <c r="BW45" s="70">
        <f t="shared" si="10"/>
        <v>37.02600000000001</v>
      </c>
    </row>
    <row r="46" spans="4:104">
      <c r="D46" s="178"/>
      <c r="E46" s="177"/>
      <c r="F46" s="67" t="s">
        <v>15</v>
      </c>
      <c r="G46" s="78">
        <v>220</v>
      </c>
      <c r="H46" s="78">
        <v>450</v>
      </c>
      <c r="I46" s="79">
        <f t="shared" si="72"/>
        <v>71</v>
      </c>
      <c r="J46" s="80">
        <f t="shared" si="84"/>
        <v>379</v>
      </c>
      <c r="K46" s="81">
        <v>-339</v>
      </c>
      <c r="L46" s="81">
        <v>185</v>
      </c>
      <c r="M46" s="81">
        <v>185</v>
      </c>
      <c r="N46" s="82">
        <f t="shared" si="0"/>
        <v>1.0605538145132543</v>
      </c>
      <c r="O46" s="82" t="e">
        <f t="shared" si="85"/>
        <v>#NUM!</v>
      </c>
      <c r="P46" s="82" t="e">
        <f t="shared" si="86"/>
        <v>#NUM!</v>
      </c>
      <c r="Q46" s="83" t="e">
        <f t="shared" si="1"/>
        <v>#NUM!</v>
      </c>
      <c r="R46" s="84" t="e">
        <f t="shared" si="2"/>
        <v>#NUM!</v>
      </c>
      <c r="S46" s="131" t="e">
        <f t="shared" si="14"/>
        <v>#NUM!</v>
      </c>
      <c r="T46" s="86">
        <v>5</v>
      </c>
      <c r="U46" s="77">
        <v>22</v>
      </c>
      <c r="V46" s="87" t="str">
        <f t="shared" si="3"/>
        <v>+</v>
      </c>
      <c r="W46" s="86">
        <v>0</v>
      </c>
      <c r="X46" s="77">
        <v>18</v>
      </c>
      <c r="Y46" s="88">
        <f t="shared" si="87"/>
        <v>19.006635554218249</v>
      </c>
      <c r="Z46" s="89" t="e">
        <f t="shared" si="4"/>
        <v>#NUM!</v>
      </c>
      <c r="AA46" s="80">
        <f t="shared" si="79"/>
        <v>10.439975586795686</v>
      </c>
      <c r="AB46" s="80">
        <f t="shared" si="88"/>
        <v>230.46529930242394</v>
      </c>
      <c r="AC46" s="89" t="str">
        <f t="shared" si="81"/>
        <v>Not Ok</v>
      </c>
      <c r="AD46" s="85">
        <f t="shared" si="89"/>
        <v>1.9198621771937624E-2</v>
      </c>
      <c r="AE46" s="85">
        <f t="shared" si="5"/>
        <v>1.9281988961466403E-2</v>
      </c>
      <c r="AF46" s="60" t="str">
        <f t="shared" si="90"/>
        <v>Ok</v>
      </c>
      <c r="AG46" s="77">
        <v>8</v>
      </c>
      <c r="AH46" s="76">
        <v>3</v>
      </c>
      <c r="AI46" s="76">
        <v>100</v>
      </c>
      <c r="AJ46" s="60">
        <f t="shared" si="6"/>
        <v>10.048000000000002</v>
      </c>
      <c r="AK46" s="60" t="str">
        <f t="shared" si="7"/>
        <v>OK</v>
      </c>
      <c r="AL46" s="109">
        <f t="shared" si="8"/>
        <v>210</v>
      </c>
      <c r="AT46" s="133" t="str">
        <f t="shared" si="9"/>
        <v>need</v>
      </c>
      <c r="AV46" s="61">
        <f t="shared" si="18"/>
        <v>425.238</v>
      </c>
      <c r="AW46" s="61" t="str">
        <f t="shared" si="19"/>
        <v>OK</v>
      </c>
      <c r="AX46" s="63">
        <f t="shared" si="20"/>
        <v>196.43877297297294</v>
      </c>
      <c r="AY46" s="63">
        <f t="shared" si="21"/>
        <v>189.5</v>
      </c>
      <c r="AZ46" s="63">
        <f t="shared" si="22"/>
        <v>333.60948616600797</v>
      </c>
      <c r="BA46" s="63">
        <f t="shared" si="74"/>
        <v>63.249999999999993</v>
      </c>
      <c r="BB46" s="63">
        <f t="shared" si="75"/>
        <v>316.512</v>
      </c>
      <c r="BC46" s="63" t="str">
        <f t="shared" si="76"/>
        <v>OK</v>
      </c>
      <c r="BD46" s="63">
        <f t="shared" si="23"/>
        <v>479.20283454644448</v>
      </c>
      <c r="BE46" s="63">
        <f t="shared" si="24"/>
        <v>329.686036</v>
      </c>
      <c r="BF46" s="63">
        <f t="shared" si="25"/>
        <v>233.79903599999997</v>
      </c>
      <c r="BG46" s="63">
        <f t="shared" si="26"/>
        <v>346.43594274046376</v>
      </c>
      <c r="BH46" s="63">
        <f t="shared" si="27"/>
        <v>227.880572</v>
      </c>
      <c r="BI46" s="63">
        <f t="shared" si="28"/>
        <v>227.880572</v>
      </c>
      <c r="BJ46" s="63">
        <f t="shared" si="29"/>
        <v>227.880572</v>
      </c>
      <c r="BK46" s="63" t="str">
        <f t="shared" si="30"/>
        <v>OK</v>
      </c>
      <c r="BL46" s="63">
        <f t="shared" si="31"/>
        <v>227.4</v>
      </c>
      <c r="BM46" s="63">
        <f t="shared" si="32"/>
        <v>379</v>
      </c>
      <c r="BN46" s="63">
        <f t="shared" si="33"/>
        <v>758</v>
      </c>
      <c r="BO46" s="63">
        <f t="shared" si="34"/>
        <v>1137</v>
      </c>
      <c r="BP46" s="63">
        <f t="shared" si="35"/>
        <v>47.943499999999993</v>
      </c>
      <c r="BQ46" s="63">
        <f t="shared" si="77"/>
        <v>212.75749161836575</v>
      </c>
      <c r="BR46" s="63" t="str">
        <f t="shared" si="78"/>
        <v>OK</v>
      </c>
      <c r="BW46" s="70">
        <f t="shared" si="10"/>
        <v>37.02600000000001</v>
      </c>
    </row>
    <row r="47" spans="4:104" ht="11.25" customHeight="1">
      <c r="D47" s="179" t="s">
        <v>108</v>
      </c>
      <c r="E47" s="177"/>
      <c r="F47" s="91" t="s">
        <v>15</v>
      </c>
      <c r="G47" s="78">
        <v>220</v>
      </c>
      <c r="H47" s="78">
        <v>450</v>
      </c>
      <c r="I47" s="92">
        <f t="shared" si="72"/>
        <v>103</v>
      </c>
      <c r="J47" s="93">
        <f t="shared" si="84"/>
        <v>347</v>
      </c>
      <c r="K47" s="94">
        <v>-285</v>
      </c>
      <c r="L47" s="94">
        <v>115</v>
      </c>
      <c r="M47" s="94">
        <v>115</v>
      </c>
      <c r="N47" s="95">
        <f t="shared" si="0"/>
        <v>1.0636465664701176</v>
      </c>
      <c r="O47" s="95" t="e">
        <f t="shared" si="85"/>
        <v>#NUM!</v>
      </c>
      <c r="P47" s="95" t="e">
        <f t="shared" si="86"/>
        <v>#NUM!</v>
      </c>
      <c r="Q47" s="96" t="e">
        <f t="shared" si="1"/>
        <v>#NUM!</v>
      </c>
      <c r="R47" s="97" t="e">
        <f t="shared" si="2"/>
        <v>#NUM!</v>
      </c>
      <c r="S47" s="132" t="e">
        <f t="shared" si="14"/>
        <v>#NUM!</v>
      </c>
      <c r="T47" s="99">
        <v>3</v>
      </c>
      <c r="U47" s="100">
        <v>28</v>
      </c>
      <c r="V47" s="101" t="str">
        <f t="shared" si="3"/>
        <v>+</v>
      </c>
      <c r="W47" s="99">
        <v>3</v>
      </c>
      <c r="X47" s="100">
        <v>28</v>
      </c>
      <c r="Y47" s="102">
        <f t="shared" si="87"/>
        <v>36.945129606215971</v>
      </c>
      <c r="Z47" s="103" t="e">
        <f t="shared" si="4"/>
        <v>#NUM!</v>
      </c>
      <c r="AA47" s="93">
        <f t="shared" si="79"/>
        <v>499.2764795332306</v>
      </c>
      <c r="AB47" s="93">
        <f t="shared" si="88"/>
        <v>232.19110220366545</v>
      </c>
      <c r="AC47" s="89" t="str">
        <f t="shared" si="81"/>
        <v>Not Ok</v>
      </c>
      <c r="AD47" s="98">
        <f t="shared" si="89"/>
        <v>3.7318312733551483E-2</v>
      </c>
      <c r="AE47" s="98">
        <f t="shared" si="5"/>
        <v>1.9281988961466403E-2</v>
      </c>
      <c r="AF47" s="104" t="str">
        <f t="shared" si="90"/>
        <v>No-Ok</v>
      </c>
      <c r="AG47" s="100">
        <v>8</v>
      </c>
      <c r="AH47" s="105">
        <v>3</v>
      </c>
      <c r="AI47" s="105">
        <v>100</v>
      </c>
      <c r="AJ47" s="104">
        <f t="shared" si="6"/>
        <v>10.048000000000002</v>
      </c>
      <c r="AK47" s="60" t="str">
        <f t="shared" si="7"/>
        <v>OK</v>
      </c>
      <c r="AL47" s="109">
        <f t="shared" si="8"/>
        <v>210</v>
      </c>
      <c r="AT47" s="133" t="str">
        <f t="shared" si="9"/>
        <v>need</v>
      </c>
      <c r="AV47" s="61">
        <f t="shared" si="18"/>
        <v>389.334</v>
      </c>
      <c r="AW47" s="61" t="str">
        <f t="shared" si="19"/>
        <v>OK</v>
      </c>
      <c r="AX47" s="63">
        <f t="shared" si="20"/>
        <v>264.89979999999997</v>
      </c>
      <c r="AY47" s="63">
        <f t="shared" si="21"/>
        <v>173.5</v>
      </c>
      <c r="AZ47" s="63">
        <f t="shared" si="22"/>
        <v>333.60948616600797</v>
      </c>
      <c r="BA47" s="63">
        <f t="shared" si="74"/>
        <v>63.249999999999993</v>
      </c>
      <c r="BB47" s="63">
        <f t="shared" si="75"/>
        <v>316.512</v>
      </c>
      <c r="BC47" s="63" t="str">
        <f t="shared" si="76"/>
        <v>OK</v>
      </c>
      <c r="BD47" s="63">
        <f t="shared" si="23"/>
        <v>438.74243690663917</v>
      </c>
      <c r="BE47" s="63">
        <f t="shared" si="24"/>
        <v>301.84974799999998</v>
      </c>
      <c r="BF47" s="63">
        <f t="shared" si="25"/>
        <v>214.05874799999998</v>
      </c>
      <c r="BG47" s="63">
        <f t="shared" si="26"/>
        <v>317.18541459351167</v>
      </c>
      <c r="BH47" s="63">
        <f t="shared" si="27"/>
        <v>208.63999600000002</v>
      </c>
      <c r="BI47" s="63">
        <f t="shared" si="28"/>
        <v>208.63999600000002</v>
      </c>
      <c r="BJ47" s="63">
        <f t="shared" si="29"/>
        <v>208.63999600000002</v>
      </c>
      <c r="BK47" s="63" t="str">
        <f t="shared" si="30"/>
        <v>OK</v>
      </c>
      <c r="BL47" s="63">
        <f t="shared" si="31"/>
        <v>208.2</v>
      </c>
      <c r="BM47" s="63">
        <f t="shared" si="32"/>
        <v>347</v>
      </c>
      <c r="BN47" s="63">
        <f t="shared" si="33"/>
        <v>694</v>
      </c>
      <c r="BO47" s="63">
        <f t="shared" si="34"/>
        <v>1041</v>
      </c>
      <c r="BP47" s="63">
        <f t="shared" si="35"/>
        <v>43.895499999999991</v>
      </c>
      <c r="BQ47" s="63">
        <f t="shared" si="77"/>
        <v>304.74965745415722</v>
      </c>
      <c r="BR47" s="63" t="str">
        <f t="shared" si="78"/>
        <v>OK</v>
      </c>
      <c r="BW47" s="70">
        <f t="shared" si="10"/>
        <v>37.02600000000001</v>
      </c>
    </row>
    <row r="48" spans="4:104">
      <c r="D48" s="180"/>
      <c r="E48" s="177"/>
      <c r="F48" s="106" t="s">
        <v>16</v>
      </c>
      <c r="G48" s="78">
        <v>220</v>
      </c>
      <c r="H48" s="78">
        <v>450</v>
      </c>
      <c r="I48" s="92">
        <f t="shared" si="72"/>
        <v>97</v>
      </c>
      <c r="J48" s="93">
        <f t="shared" si="84"/>
        <v>353</v>
      </c>
      <c r="K48" s="94">
        <v>124</v>
      </c>
      <c r="L48" s="94">
        <v>108</v>
      </c>
      <c r="M48" s="94">
        <v>108</v>
      </c>
      <c r="N48" s="95">
        <f t="shared" si="0"/>
        <v>0.4471813744505922</v>
      </c>
      <c r="O48" s="95">
        <f t="shared" si="85"/>
        <v>0.67500000000000004</v>
      </c>
      <c r="P48" s="95">
        <f t="shared" si="86"/>
        <v>0.66249999999999998</v>
      </c>
      <c r="Q48" s="96" t="str">
        <f t="shared" si="1"/>
        <v>Not Ok</v>
      </c>
      <c r="R48" s="97">
        <f t="shared" si="2"/>
        <v>12.18910561823156</v>
      </c>
      <c r="S48" s="132">
        <f t="shared" si="14"/>
        <v>1.5695474656491834E-2</v>
      </c>
      <c r="T48" s="99">
        <v>3</v>
      </c>
      <c r="U48" s="100">
        <v>22</v>
      </c>
      <c r="V48" s="101" t="str">
        <f t="shared" si="3"/>
        <v>+</v>
      </c>
      <c r="W48" s="99">
        <v>3</v>
      </c>
      <c r="X48" s="100">
        <v>22</v>
      </c>
      <c r="Y48" s="102">
        <f t="shared" si="87"/>
        <v>22.807962665061901</v>
      </c>
      <c r="Z48" s="103" t="str">
        <f t="shared" si="4"/>
        <v>Ok</v>
      </c>
      <c r="AA48" s="93">
        <f t="shared" si="79"/>
        <v>222.92418458863807</v>
      </c>
      <c r="AB48" s="93">
        <f t="shared" si="88"/>
        <v>246.815216009041</v>
      </c>
      <c r="AC48" s="89" t="str">
        <f t="shared" si="81"/>
        <v>Ok</v>
      </c>
      <c r="AD48" s="98">
        <f t="shared" si="89"/>
        <v>2.3038346126325153E-2</v>
      </c>
      <c r="AE48" s="98">
        <f t="shared" si="5"/>
        <v>1.9281988961466403E-2</v>
      </c>
      <c r="AF48" s="104" t="str">
        <f t="shared" si="90"/>
        <v>No-Ok</v>
      </c>
      <c r="AG48" s="100">
        <v>8</v>
      </c>
      <c r="AH48" s="105">
        <v>3</v>
      </c>
      <c r="AI48" s="105">
        <v>100</v>
      </c>
      <c r="AJ48" s="104">
        <f t="shared" si="6"/>
        <v>10.048000000000002</v>
      </c>
      <c r="AK48" s="60" t="str">
        <f t="shared" si="7"/>
        <v>OK</v>
      </c>
      <c r="AL48" s="109">
        <f t="shared" si="8"/>
        <v>210</v>
      </c>
      <c r="AT48" s="133" t="str">
        <f t="shared" si="9"/>
        <v>need</v>
      </c>
      <c r="AV48" s="61">
        <f t="shared" si="18"/>
        <v>396.06599999999997</v>
      </c>
      <c r="AW48" s="61" t="str">
        <f t="shared" si="19"/>
        <v>OK</v>
      </c>
      <c r="AX48" s="63">
        <f t="shared" si="20"/>
        <v>291.90812037037034</v>
      </c>
      <c r="AY48" s="63">
        <f t="shared" si="21"/>
        <v>176.5</v>
      </c>
      <c r="AZ48" s="63">
        <f t="shared" si="22"/>
        <v>333.60948616600797</v>
      </c>
      <c r="BA48" s="63">
        <f t="shared" si="74"/>
        <v>63.249999999999993</v>
      </c>
      <c r="BB48" s="63">
        <f t="shared" si="75"/>
        <v>316.512</v>
      </c>
      <c r="BC48" s="63" t="str">
        <f t="shared" si="76"/>
        <v>OK</v>
      </c>
      <c r="BD48" s="63">
        <f t="shared" si="23"/>
        <v>446.32876146410263</v>
      </c>
      <c r="BE48" s="63">
        <f t="shared" si="24"/>
        <v>307.069052</v>
      </c>
      <c r="BF48" s="63">
        <f t="shared" si="25"/>
        <v>217.76005199999997</v>
      </c>
      <c r="BG48" s="63">
        <f t="shared" si="26"/>
        <v>322.66988862106518</v>
      </c>
      <c r="BH48" s="63">
        <f t="shared" si="27"/>
        <v>212.247604</v>
      </c>
      <c r="BI48" s="63">
        <f t="shared" si="28"/>
        <v>212.247604</v>
      </c>
      <c r="BJ48" s="63">
        <f t="shared" si="29"/>
        <v>212.247604</v>
      </c>
      <c r="BK48" s="63" t="str">
        <f t="shared" si="30"/>
        <v>OK</v>
      </c>
      <c r="BL48" s="63">
        <f t="shared" si="31"/>
        <v>211.79999999999998</v>
      </c>
      <c r="BM48" s="63">
        <f t="shared" si="32"/>
        <v>353</v>
      </c>
      <c r="BN48" s="63">
        <f t="shared" si="33"/>
        <v>706</v>
      </c>
      <c r="BO48" s="63">
        <f t="shared" si="34"/>
        <v>1059</v>
      </c>
      <c r="BP48" s="63">
        <f t="shared" si="35"/>
        <v>44.654499999999992</v>
      </c>
      <c r="BQ48" s="63">
        <f t="shared" si="77"/>
        <v>520.9568796609243</v>
      </c>
      <c r="BR48" s="63" t="str">
        <f t="shared" si="78"/>
        <v>OK</v>
      </c>
      <c r="BW48" s="70">
        <f t="shared" si="10"/>
        <v>37.02600000000001</v>
      </c>
    </row>
    <row r="49" spans="4:104" ht="10.5" customHeight="1">
      <c r="D49" s="181"/>
      <c r="E49" s="177"/>
      <c r="F49" s="91" t="s">
        <v>15</v>
      </c>
      <c r="G49" s="78">
        <v>220</v>
      </c>
      <c r="H49" s="78">
        <v>450</v>
      </c>
      <c r="I49" s="92">
        <f t="shared" si="72"/>
        <v>97</v>
      </c>
      <c r="J49" s="93">
        <f t="shared" si="84"/>
        <v>353</v>
      </c>
      <c r="K49" s="94">
        <v>-291</v>
      </c>
      <c r="L49" s="94">
        <v>165</v>
      </c>
      <c r="M49" s="94">
        <v>165</v>
      </c>
      <c r="N49" s="95">
        <f t="shared" si="0"/>
        <v>1.0494337093961479</v>
      </c>
      <c r="O49" s="95" t="e">
        <f t="shared" si="85"/>
        <v>#NUM!</v>
      </c>
      <c r="P49" s="95" t="e">
        <f t="shared" si="86"/>
        <v>#NUM!</v>
      </c>
      <c r="Q49" s="96" t="e">
        <f t="shared" si="1"/>
        <v>#NUM!</v>
      </c>
      <c r="R49" s="97" t="e">
        <f t="shared" si="2"/>
        <v>#NUM!</v>
      </c>
      <c r="S49" s="132" t="e">
        <f t="shared" si="14"/>
        <v>#NUM!</v>
      </c>
      <c r="T49" s="99">
        <v>3</v>
      </c>
      <c r="U49" s="100">
        <v>22</v>
      </c>
      <c r="V49" s="101" t="str">
        <f t="shared" si="3"/>
        <v>+</v>
      </c>
      <c r="W49" s="99">
        <v>3</v>
      </c>
      <c r="X49" s="100">
        <v>22</v>
      </c>
      <c r="Y49" s="102">
        <f t="shared" si="87"/>
        <v>22.807962665061901</v>
      </c>
      <c r="Z49" s="103" t="e">
        <f t="shared" si="4"/>
        <v>#NUM!</v>
      </c>
      <c r="AA49" s="93">
        <f t="shared" si="79"/>
        <v>222.92418458863807</v>
      </c>
      <c r="AB49" s="93">
        <f t="shared" si="88"/>
        <v>246.815216009041</v>
      </c>
      <c r="AC49" s="89" t="str">
        <f t="shared" si="81"/>
        <v>Not Ok</v>
      </c>
      <c r="AD49" s="98">
        <f t="shared" si="89"/>
        <v>2.3038346126325153E-2</v>
      </c>
      <c r="AE49" s="98">
        <f t="shared" si="5"/>
        <v>1.9281988961466403E-2</v>
      </c>
      <c r="AF49" s="104" t="str">
        <f t="shared" si="90"/>
        <v>No-Ok</v>
      </c>
      <c r="AG49" s="100">
        <v>8</v>
      </c>
      <c r="AH49" s="105">
        <v>3</v>
      </c>
      <c r="AI49" s="105">
        <v>100</v>
      </c>
      <c r="AJ49" s="104">
        <f t="shared" si="6"/>
        <v>10.048000000000002</v>
      </c>
      <c r="AK49" s="60" t="str">
        <f t="shared" si="7"/>
        <v>OK</v>
      </c>
      <c r="AL49" s="109">
        <f t="shared" si="8"/>
        <v>210</v>
      </c>
      <c r="AT49" s="133" t="str">
        <f t="shared" si="9"/>
        <v>need</v>
      </c>
      <c r="AV49" s="61">
        <f t="shared" si="18"/>
        <v>396.06599999999997</v>
      </c>
      <c r="AW49" s="61" t="str">
        <f t="shared" si="19"/>
        <v>OK</v>
      </c>
      <c r="AX49" s="63">
        <f t="shared" si="20"/>
        <v>191.06713333333332</v>
      </c>
      <c r="AY49" s="63">
        <f t="shared" si="21"/>
        <v>176.5</v>
      </c>
      <c r="AZ49" s="63">
        <f t="shared" si="22"/>
        <v>333.60948616600797</v>
      </c>
      <c r="BA49" s="63">
        <f t="shared" si="74"/>
        <v>63.249999999999993</v>
      </c>
      <c r="BB49" s="63">
        <f t="shared" si="75"/>
        <v>316.512</v>
      </c>
      <c r="BC49" s="63" t="str">
        <f t="shared" si="76"/>
        <v>OK</v>
      </c>
      <c r="BD49" s="63">
        <f t="shared" si="23"/>
        <v>446.32876146410263</v>
      </c>
      <c r="BE49" s="63">
        <f t="shared" si="24"/>
        <v>307.069052</v>
      </c>
      <c r="BF49" s="63">
        <f t="shared" si="25"/>
        <v>217.76005199999997</v>
      </c>
      <c r="BG49" s="63">
        <f t="shared" si="26"/>
        <v>322.66988862106518</v>
      </c>
      <c r="BH49" s="63">
        <f t="shared" si="27"/>
        <v>212.247604</v>
      </c>
      <c r="BI49" s="63">
        <f t="shared" si="28"/>
        <v>212.247604</v>
      </c>
      <c r="BJ49" s="63">
        <f t="shared" si="29"/>
        <v>212.247604</v>
      </c>
      <c r="BK49" s="63" t="str">
        <f t="shared" si="30"/>
        <v>OK</v>
      </c>
      <c r="BL49" s="63">
        <f t="shared" si="31"/>
        <v>211.79999999999998</v>
      </c>
      <c r="BM49" s="63">
        <f t="shared" si="32"/>
        <v>353</v>
      </c>
      <c r="BN49" s="63">
        <f t="shared" si="33"/>
        <v>706</v>
      </c>
      <c r="BO49" s="63">
        <f t="shared" si="34"/>
        <v>1059</v>
      </c>
      <c r="BP49" s="63">
        <f t="shared" si="35"/>
        <v>44.654499999999992</v>
      </c>
      <c r="BQ49" s="63">
        <f t="shared" si="77"/>
        <v>334.92502553702218</v>
      </c>
      <c r="BR49" s="63" t="str">
        <f t="shared" si="78"/>
        <v>OK</v>
      </c>
      <c r="BW49" s="70">
        <f t="shared" si="10"/>
        <v>37.02600000000001</v>
      </c>
    </row>
    <row r="50" spans="4:104" ht="10.5" customHeight="1">
      <c r="D50" s="176" t="s">
        <v>169</v>
      </c>
      <c r="E50" s="177"/>
      <c r="F50" s="67" t="s">
        <v>15</v>
      </c>
      <c r="G50" s="78">
        <v>220</v>
      </c>
      <c r="H50" s="78">
        <v>450</v>
      </c>
      <c r="I50" s="79">
        <f t="shared" si="72"/>
        <v>97</v>
      </c>
      <c r="J50" s="80">
        <f t="shared" si="84"/>
        <v>353</v>
      </c>
      <c r="K50" s="81">
        <v>-334</v>
      </c>
      <c r="L50" s="81">
        <v>177</v>
      </c>
      <c r="M50" s="81">
        <v>177</v>
      </c>
      <c r="N50" s="82">
        <f t="shared" si="0"/>
        <v>1.2045046698911113</v>
      </c>
      <c r="O50" s="82" t="e">
        <f t="shared" si="85"/>
        <v>#NUM!</v>
      </c>
      <c r="P50" s="82" t="e">
        <f t="shared" si="86"/>
        <v>#NUM!</v>
      </c>
      <c r="Q50" s="83" t="e">
        <f t="shared" si="1"/>
        <v>#NUM!</v>
      </c>
      <c r="R50" s="84" t="e">
        <f t="shared" si="2"/>
        <v>#NUM!</v>
      </c>
      <c r="S50" s="131" t="e">
        <f t="shared" si="14"/>
        <v>#NUM!</v>
      </c>
      <c r="T50" s="86">
        <v>3</v>
      </c>
      <c r="U50" s="77">
        <v>22</v>
      </c>
      <c r="V50" s="87" t="str">
        <f t="shared" si="3"/>
        <v>+</v>
      </c>
      <c r="W50" s="86">
        <v>3</v>
      </c>
      <c r="X50" s="77">
        <v>22</v>
      </c>
      <c r="Y50" s="88">
        <f t="shared" si="87"/>
        <v>22.807962665061901</v>
      </c>
      <c r="Z50" s="89" t="e">
        <f t="shared" si="4"/>
        <v>#NUM!</v>
      </c>
      <c r="AA50" s="80">
        <f t="shared" si="79"/>
        <v>157.98139527665879</v>
      </c>
      <c r="AB50" s="80">
        <f t="shared" si="88"/>
        <v>258.3989793884802</v>
      </c>
      <c r="AC50" s="89" t="str">
        <f t="shared" si="81"/>
        <v>Not Ok</v>
      </c>
      <c r="AD50" s="85">
        <f t="shared" si="89"/>
        <v>2.3038346126325153E-2</v>
      </c>
      <c r="AE50" s="85">
        <f t="shared" si="5"/>
        <v>1.9281988961466403E-2</v>
      </c>
      <c r="AF50" s="60" t="str">
        <f t="shared" si="90"/>
        <v>No-Ok</v>
      </c>
      <c r="AG50" s="77">
        <v>8</v>
      </c>
      <c r="AH50" s="76">
        <v>3</v>
      </c>
      <c r="AI50" s="76">
        <v>100</v>
      </c>
      <c r="AJ50" s="60">
        <f t="shared" si="6"/>
        <v>10.048000000000002</v>
      </c>
      <c r="AK50" s="60" t="str">
        <f t="shared" si="7"/>
        <v>OK</v>
      </c>
      <c r="AL50" s="109">
        <f t="shared" si="8"/>
        <v>210</v>
      </c>
      <c r="AT50" s="133" t="str">
        <f t="shared" si="9"/>
        <v>need</v>
      </c>
      <c r="AV50" s="61">
        <f t="shared" si="18"/>
        <v>396.06599999999997</v>
      </c>
      <c r="AW50" s="61" t="str">
        <f t="shared" si="19"/>
        <v>OK</v>
      </c>
      <c r="AX50" s="63">
        <f t="shared" si="20"/>
        <v>178.11342937853107</v>
      </c>
      <c r="AY50" s="63">
        <f t="shared" si="21"/>
        <v>176.5</v>
      </c>
      <c r="AZ50" s="63">
        <f t="shared" si="22"/>
        <v>333.60948616600797</v>
      </c>
      <c r="BA50" s="63">
        <f t="shared" si="74"/>
        <v>63.249999999999993</v>
      </c>
      <c r="BB50" s="63">
        <f t="shared" si="75"/>
        <v>316.512</v>
      </c>
      <c r="BC50" s="63" t="str">
        <f t="shared" si="76"/>
        <v>OK</v>
      </c>
      <c r="BD50" s="63">
        <f t="shared" si="23"/>
        <v>446.32876146410263</v>
      </c>
      <c r="BE50" s="63">
        <f t="shared" si="24"/>
        <v>307.069052</v>
      </c>
      <c r="BF50" s="63">
        <f t="shared" si="25"/>
        <v>217.76005199999997</v>
      </c>
      <c r="BG50" s="63">
        <f t="shared" si="26"/>
        <v>322.66988862106518</v>
      </c>
      <c r="BH50" s="63">
        <f t="shared" si="27"/>
        <v>212.247604</v>
      </c>
      <c r="BI50" s="63">
        <f t="shared" si="28"/>
        <v>212.247604</v>
      </c>
      <c r="BJ50" s="63">
        <f t="shared" si="29"/>
        <v>212.247604</v>
      </c>
      <c r="BK50" s="63" t="str">
        <f t="shared" si="30"/>
        <v>OK</v>
      </c>
      <c r="BL50" s="63">
        <f t="shared" si="31"/>
        <v>211.79999999999998</v>
      </c>
      <c r="BM50" s="63">
        <f t="shared" si="32"/>
        <v>353</v>
      </c>
      <c r="BN50" s="63">
        <f t="shared" si="33"/>
        <v>706</v>
      </c>
      <c r="BO50" s="63">
        <f t="shared" si="34"/>
        <v>1059</v>
      </c>
      <c r="BP50" s="63">
        <f t="shared" si="35"/>
        <v>44.654499999999992</v>
      </c>
      <c r="BQ50" s="63">
        <f t="shared" si="77"/>
        <v>334.92502553702218</v>
      </c>
      <c r="BR50" s="63" t="str">
        <f t="shared" si="78"/>
        <v>OK</v>
      </c>
      <c r="BW50" s="70">
        <f t="shared" si="10"/>
        <v>37.02600000000001</v>
      </c>
    </row>
    <row r="51" spans="4:104" ht="11.25" customHeight="1">
      <c r="D51" s="177"/>
      <c r="E51" s="177"/>
      <c r="F51" s="68" t="s">
        <v>16</v>
      </c>
      <c r="G51" s="78">
        <v>220</v>
      </c>
      <c r="H51" s="78">
        <v>450</v>
      </c>
      <c r="I51" s="79">
        <f t="shared" si="72"/>
        <v>100</v>
      </c>
      <c r="J51" s="80">
        <f t="shared" si="84"/>
        <v>350</v>
      </c>
      <c r="K51" s="81">
        <v>141</v>
      </c>
      <c r="L51" s="81">
        <v>95</v>
      </c>
      <c r="M51" s="81">
        <v>95</v>
      </c>
      <c r="N51" s="82">
        <f t="shared" si="0"/>
        <v>0.51724280239215625</v>
      </c>
      <c r="O51" s="82" t="e">
        <f t="shared" si="85"/>
        <v>#NUM!</v>
      </c>
      <c r="P51" s="82" t="e">
        <f t="shared" si="86"/>
        <v>#NUM!</v>
      </c>
      <c r="Q51" s="83" t="e">
        <f t="shared" si="1"/>
        <v>#NUM!</v>
      </c>
      <c r="R51" s="84" t="e">
        <f t="shared" si="2"/>
        <v>#NUM!</v>
      </c>
      <c r="S51" s="131" t="e">
        <f t="shared" si="14"/>
        <v>#NUM!</v>
      </c>
      <c r="T51" s="86">
        <v>3</v>
      </c>
      <c r="U51" s="77">
        <v>25</v>
      </c>
      <c r="V51" s="87" t="str">
        <f t="shared" si="3"/>
        <v>+</v>
      </c>
      <c r="W51" s="86">
        <v>3</v>
      </c>
      <c r="X51" s="77">
        <v>25</v>
      </c>
      <c r="Y51" s="88">
        <f t="shared" si="87"/>
        <v>29.45243112740431</v>
      </c>
      <c r="Z51" s="89" t="e">
        <f t="shared" si="4"/>
        <v>#NUM!</v>
      </c>
      <c r="AA51" s="80">
        <f t="shared" si="79"/>
        <v>214.63361574030029</v>
      </c>
      <c r="AB51" s="80">
        <f t="shared" si="88"/>
        <v>314.38983440715214</v>
      </c>
      <c r="AC51" s="89" t="str">
        <f t="shared" si="81"/>
        <v>Ok</v>
      </c>
      <c r="AD51" s="85">
        <f t="shared" si="89"/>
        <v>2.9749930431721527E-2</v>
      </c>
      <c r="AE51" s="85">
        <f t="shared" si="5"/>
        <v>1.9281988961466403E-2</v>
      </c>
      <c r="AF51" s="60" t="str">
        <f t="shared" si="90"/>
        <v>No-Ok</v>
      </c>
      <c r="AG51" s="77">
        <v>8</v>
      </c>
      <c r="AH51" s="76">
        <v>3</v>
      </c>
      <c r="AI51" s="76">
        <v>100</v>
      </c>
      <c r="AJ51" s="60">
        <f t="shared" si="6"/>
        <v>10.048000000000002</v>
      </c>
      <c r="AK51" s="60" t="str">
        <f t="shared" si="7"/>
        <v>OK</v>
      </c>
      <c r="AL51" s="109">
        <f t="shared" si="8"/>
        <v>210</v>
      </c>
      <c r="AT51" s="133" t="str">
        <f t="shared" si="9"/>
        <v>need</v>
      </c>
      <c r="AV51" s="61">
        <f t="shared" si="18"/>
        <v>392.7</v>
      </c>
      <c r="AW51" s="61" t="str">
        <f t="shared" si="19"/>
        <v>OK</v>
      </c>
      <c r="AX51" s="63">
        <f t="shared" si="20"/>
        <v>326.23684210526312</v>
      </c>
      <c r="AY51" s="63">
        <f t="shared" si="21"/>
        <v>175</v>
      </c>
      <c r="AZ51" s="63">
        <f t="shared" si="22"/>
        <v>333.60948616600797</v>
      </c>
      <c r="BA51" s="63">
        <f t="shared" si="74"/>
        <v>63.249999999999993</v>
      </c>
      <c r="BB51" s="63">
        <f t="shared" si="75"/>
        <v>316.512</v>
      </c>
      <c r="BC51" s="63" t="str">
        <f t="shared" si="76"/>
        <v>OK</v>
      </c>
      <c r="BD51" s="63">
        <f t="shared" si="23"/>
        <v>442.53559918537093</v>
      </c>
      <c r="BE51" s="63">
        <f t="shared" si="24"/>
        <v>304.45940000000002</v>
      </c>
      <c r="BF51" s="63">
        <f t="shared" si="25"/>
        <v>215.90939999999995</v>
      </c>
      <c r="BG51" s="63">
        <f t="shared" si="26"/>
        <v>319.92765160728845</v>
      </c>
      <c r="BH51" s="63">
        <f t="shared" si="27"/>
        <v>210.44380000000001</v>
      </c>
      <c r="BI51" s="63">
        <f t="shared" si="28"/>
        <v>210.44380000000001</v>
      </c>
      <c r="BJ51" s="63">
        <f t="shared" si="29"/>
        <v>210.44380000000001</v>
      </c>
      <c r="BK51" s="63" t="str">
        <f t="shared" si="30"/>
        <v>OK</v>
      </c>
      <c r="BL51" s="63">
        <f t="shared" si="31"/>
        <v>210</v>
      </c>
      <c r="BM51" s="63">
        <f t="shared" si="32"/>
        <v>350</v>
      </c>
      <c r="BN51" s="63">
        <f t="shared" si="33"/>
        <v>700</v>
      </c>
      <c r="BO51" s="63">
        <f t="shared" si="34"/>
        <v>1050</v>
      </c>
      <c r="BP51" s="63">
        <f t="shared" si="35"/>
        <v>44.274999999999991</v>
      </c>
      <c r="BQ51" s="63">
        <f t="shared" si="77"/>
        <v>334.92502553702218</v>
      </c>
      <c r="BR51" s="63" t="str">
        <f t="shared" si="78"/>
        <v>OK</v>
      </c>
      <c r="BW51" s="70">
        <f t="shared" si="10"/>
        <v>37.02600000000001</v>
      </c>
    </row>
    <row r="52" spans="4:104" ht="10.5" customHeight="1">
      <c r="D52" s="178"/>
      <c r="E52" s="178"/>
      <c r="F52" s="67" t="s">
        <v>15</v>
      </c>
      <c r="G52" s="78">
        <v>220</v>
      </c>
      <c r="H52" s="78">
        <v>450</v>
      </c>
      <c r="I52" s="79">
        <f t="shared" si="72"/>
        <v>103</v>
      </c>
      <c r="J52" s="80">
        <f t="shared" si="84"/>
        <v>347</v>
      </c>
      <c r="K52" s="81">
        <v>-243</v>
      </c>
      <c r="L52" s="81">
        <v>154</v>
      </c>
      <c r="M52" s="81">
        <v>154</v>
      </c>
      <c r="N52" s="82">
        <f t="shared" si="0"/>
        <v>0.90689865141136339</v>
      </c>
      <c r="O52" s="82" t="e">
        <f t="shared" si="85"/>
        <v>#NUM!</v>
      </c>
      <c r="P52" s="82" t="e">
        <f t="shared" si="86"/>
        <v>#NUM!</v>
      </c>
      <c r="Q52" s="83" t="e">
        <f t="shared" si="1"/>
        <v>#NUM!</v>
      </c>
      <c r="R52" s="84" t="e">
        <f t="shared" si="2"/>
        <v>#NUM!</v>
      </c>
      <c r="S52" s="131" t="e">
        <f t="shared" si="14"/>
        <v>#NUM!</v>
      </c>
      <c r="T52" s="86">
        <v>3</v>
      </c>
      <c r="U52" s="77">
        <v>28</v>
      </c>
      <c r="V52" s="87" t="str">
        <f t="shared" si="3"/>
        <v>+</v>
      </c>
      <c r="W52" s="86">
        <v>3</v>
      </c>
      <c r="X52" s="77">
        <v>28</v>
      </c>
      <c r="Y52" s="88">
        <f t="shared" si="87"/>
        <v>36.945129606215971</v>
      </c>
      <c r="Z52" s="89" t="e">
        <f t="shared" si="4"/>
        <v>#NUM!</v>
      </c>
      <c r="AA52" s="80">
        <f t="shared" si="79"/>
        <v>350.66035647413861</v>
      </c>
      <c r="AB52" s="80">
        <f t="shared" si="88"/>
        <v>353.42042727131496</v>
      </c>
      <c r="AC52" s="89" t="str">
        <f t="shared" si="81"/>
        <v>Ok</v>
      </c>
      <c r="AD52" s="85">
        <f t="shared" si="89"/>
        <v>3.7318312733551483E-2</v>
      </c>
      <c r="AE52" s="85">
        <f t="shared" si="5"/>
        <v>1.9281988961466403E-2</v>
      </c>
      <c r="AF52" s="60" t="str">
        <f t="shared" si="90"/>
        <v>No-Ok</v>
      </c>
      <c r="AG52" s="77">
        <v>8</v>
      </c>
      <c r="AH52" s="76">
        <v>3</v>
      </c>
      <c r="AI52" s="76">
        <v>100</v>
      </c>
      <c r="AJ52" s="60">
        <f t="shared" si="6"/>
        <v>10.048000000000002</v>
      </c>
      <c r="AK52" s="60" t="str">
        <f t="shared" si="7"/>
        <v>OK</v>
      </c>
      <c r="AL52" s="109">
        <f t="shared" si="8"/>
        <v>210</v>
      </c>
      <c r="AT52" s="133" t="str">
        <f t="shared" si="9"/>
        <v>need</v>
      </c>
      <c r="AV52" s="61">
        <f t="shared" si="18"/>
        <v>389.334</v>
      </c>
      <c r="AW52" s="61" t="str">
        <f t="shared" si="19"/>
        <v>OK</v>
      </c>
      <c r="AX52" s="63">
        <f t="shared" si="20"/>
        <v>197.81478571428568</v>
      </c>
      <c r="AY52" s="63">
        <f t="shared" si="21"/>
        <v>173.5</v>
      </c>
      <c r="AZ52" s="63">
        <f t="shared" si="22"/>
        <v>333.60948616600797</v>
      </c>
      <c r="BA52" s="63">
        <f t="shared" si="74"/>
        <v>63.249999999999993</v>
      </c>
      <c r="BB52" s="63">
        <f t="shared" si="75"/>
        <v>316.512</v>
      </c>
      <c r="BC52" s="63" t="str">
        <f t="shared" si="76"/>
        <v>OK</v>
      </c>
      <c r="BD52" s="63">
        <f t="shared" si="23"/>
        <v>438.74243690663917</v>
      </c>
      <c r="BE52" s="63">
        <f t="shared" si="24"/>
        <v>301.84974799999998</v>
      </c>
      <c r="BF52" s="63">
        <f t="shared" si="25"/>
        <v>214.05874799999998</v>
      </c>
      <c r="BG52" s="63">
        <f t="shared" si="26"/>
        <v>317.18541459351167</v>
      </c>
      <c r="BH52" s="63">
        <f t="shared" si="27"/>
        <v>208.63999600000002</v>
      </c>
      <c r="BI52" s="63">
        <f t="shared" si="28"/>
        <v>208.63999600000002</v>
      </c>
      <c r="BJ52" s="63">
        <f t="shared" si="29"/>
        <v>208.63999600000002</v>
      </c>
      <c r="BK52" s="63" t="str">
        <f t="shared" si="30"/>
        <v>OK</v>
      </c>
      <c r="BL52" s="63">
        <f t="shared" si="31"/>
        <v>208.2</v>
      </c>
      <c r="BM52" s="63">
        <f t="shared" si="32"/>
        <v>347</v>
      </c>
      <c r="BN52" s="63">
        <f t="shared" si="33"/>
        <v>694</v>
      </c>
      <c r="BO52" s="63">
        <f t="shared" si="34"/>
        <v>1041</v>
      </c>
      <c r="BP52" s="63">
        <f t="shared" si="35"/>
        <v>43.895499999999991</v>
      </c>
      <c r="BQ52" s="63">
        <f t="shared" si="77"/>
        <v>422.95829752325761</v>
      </c>
      <c r="BR52" s="63" t="str">
        <f t="shared" si="78"/>
        <v>OK</v>
      </c>
      <c r="BW52" s="70">
        <f t="shared" si="10"/>
        <v>37.02600000000001</v>
      </c>
    </row>
    <row r="53" spans="4:104">
      <c r="D53" s="179" t="s">
        <v>178</v>
      </c>
      <c r="E53" s="179" t="s">
        <v>230</v>
      </c>
      <c r="F53" s="91" t="s">
        <v>15</v>
      </c>
      <c r="G53" s="78">
        <v>220</v>
      </c>
      <c r="H53" s="78">
        <v>450</v>
      </c>
      <c r="I53" s="92">
        <f t="shared" si="72"/>
        <v>81.560625814863101</v>
      </c>
      <c r="J53" s="93">
        <f t="shared" si="84"/>
        <v>368.4393741851369</v>
      </c>
      <c r="K53" s="94">
        <v>-13</v>
      </c>
      <c r="L53" s="94">
        <v>87</v>
      </c>
      <c r="M53" s="94">
        <v>87</v>
      </c>
      <c r="N53" s="95">
        <f t="shared" si="0"/>
        <v>4.3035089693779567E-2</v>
      </c>
      <c r="O53" s="95">
        <f t="shared" si="85"/>
        <v>4.3999999999999997E-2</v>
      </c>
      <c r="P53" s="95">
        <f t="shared" si="86"/>
        <v>0.97799999999999998</v>
      </c>
      <c r="Q53" s="96" t="str">
        <f t="shared" si="1"/>
        <v>Ok</v>
      </c>
      <c r="R53" s="97">
        <f t="shared" si="2"/>
        <v>0.8293716855142822</v>
      </c>
      <c r="S53" s="132">
        <f t="shared" si="14"/>
        <v>1.023199897168936E-3</v>
      </c>
      <c r="T53" s="99">
        <v>5</v>
      </c>
      <c r="U53" s="100">
        <v>22</v>
      </c>
      <c r="V53" s="101" t="str">
        <f t="shared" si="3"/>
        <v>+</v>
      </c>
      <c r="W53" s="99">
        <v>2</v>
      </c>
      <c r="X53" s="100">
        <v>18</v>
      </c>
      <c r="Y53" s="102">
        <f t="shared" si="87"/>
        <v>24.096015653033714</v>
      </c>
      <c r="Z53" s="103" t="str">
        <f t="shared" si="4"/>
        <v>Ok</v>
      </c>
      <c r="AA53" s="93">
        <f t="shared" si="79"/>
        <v>321.79689455770341</v>
      </c>
      <c r="AB53" s="93">
        <f t="shared" si="88"/>
        <v>248.05738481420556</v>
      </c>
      <c r="AC53" s="89" t="str">
        <f t="shared" si="81"/>
        <v>Ok</v>
      </c>
      <c r="AD53" s="98">
        <f t="shared" si="89"/>
        <v>2.4339409750539106E-2</v>
      </c>
      <c r="AE53" s="98">
        <f t="shared" si="5"/>
        <v>1.9281988961466403E-2</v>
      </c>
      <c r="AF53" s="104" t="str">
        <f t="shared" si="90"/>
        <v>No-Ok</v>
      </c>
      <c r="AG53" s="100">
        <v>12</v>
      </c>
      <c r="AH53" s="105">
        <v>3</v>
      </c>
      <c r="AI53" s="105">
        <v>100</v>
      </c>
      <c r="AJ53" s="104">
        <f t="shared" si="6"/>
        <v>22.608000000000004</v>
      </c>
      <c r="AK53" s="60" t="str">
        <f t="shared" si="7"/>
        <v>OK</v>
      </c>
      <c r="AL53" s="109">
        <f t="shared" si="8"/>
        <v>300</v>
      </c>
      <c r="AT53" s="133" t="str">
        <f t="shared" si="9"/>
        <v>need</v>
      </c>
      <c r="AV53" s="61">
        <f t="shared" si="18"/>
        <v>413.38897783572361</v>
      </c>
      <c r="AW53" s="61" t="str">
        <f t="shared" si="19"/>
        <v>OK</v>
      </c>
      <c r="AX53" s="63">
        <f t="shared" si="20"/>
        <v>394.76018195211066</v>
      </c>
      <c r="AY53" s="63">
        <f t="shared" si="21"/>
        <v>184.21968709256845</v>
      </c>
      <c r="AZ53" s="63">
        <f t="shared" si="22"/>
        <v>1072.3162055335972</v>
      </c>
      <c r="BA53" s="63">
        <f t="shared" si="74"/>
        <v>63.249999999999993</v>
      </c>
      <c r="BB53" s="63">
        <f t="shared" si="75"/>
        <v>1017.36</v>
      </c>
      <c r="BC53" s="63" t="str">
        <f t="shared" si="76"/>
        <v>OK</v>
      </c>
      <c r="BD53" s="63">
        <f t="shared" si="23"/>
        <v>259.83877807403451</v>
      </c>
      <c r="BE53" s="63">
        <f t="shared" si="24"/>
        <v>514.16451546284225</v>
      </c>
      <c r="BF53" s="63">
        <f t="shared" si="25"/>
        <v>420.94935379400255</v>
      </c>
      <c r="BG53" s="63">
        <f t="shared" si="26"/>
        <v>420.94935379400255</v>
      </c>
      <c r="BH53" s="63">
        <f t="shared" si="27"/>
        <v>608.86080341590605</v>
      </c>
      <c r="BI53" s="63">
        <f t="shared" si="28"/>
        <v>608.86080341590605</v>
      </c>
      <c r="BJ53" s="63">
        <f t="shared" si="29"/>
        <v>420.94935379400255</v>
      </c>
      <c r="BK53" s="63" t="str">
        <f t="shared" si="30"/>
        <v>OK</v>
      </c>
      <c r="BL53" s="63">
        <f t="shared" si="31"/>
        <v>221.06362451108214</v>
      </c>
      <c r="BM53" s="63">
        <f t="shared" si="32"/>
        <v>368.4393741851369</v>
      </c>
      <c r="BN53" s="63">
        <f t="shared" si="33"/>
        <v>736.8787483702738</v>
      </c>
      <c r="BO53" s="63">
        <f t="shared" si="34"/>
        <v>1105.3181225554108</v>
      </c>
      <c r="BP53" s="63">
        <f t="shared" si="35"/>
        <v>46.607580834419814</v>
      </c>
      <c r="BQ53" s="63">
        <f t="shared" si="77"/>
        <v>520.9568796609243</v>
      </c>
      <c r="BR53" s="63" t="str">
        <f t="shared" si="78"/>
        <v>OK</v>
      </c>
      <c r="BW53" s="70">
        <f t="shared" si="10"/>
        <v>37.02600000000001</v>
      </c>
    </row>
    <row r="54" spans="4:104">
      <c r="D54" s="180"/>
      <c r="E54" s="180"/>
      <c r="F54" s="106" t="s">
        <v>16</v>
      </c>
      <c r="G54" s="78">
        <v>220</v>
      </c>
      <c r="H54" s="78">
        <v>450</v>
      </c>
      <c r="I54" s="92">
        <f t="shared" si="72"/>
        <v>69</v>
      </c>
      <c r="J54" s="93">
        <f t="shared" si="84"/>
        <v>381</v>
      </c>
      <c r="K54" s="94">
        <v>-124</v>
      </c>
      <c r="L54" s="94">
        <v>120</v>
      </c>
      <c r="M54" s="94">
        <v>120</v>
      </c>
      <c r="N54" s="95">
        <f t="shared" si="0"/>
        <v>0.38386911008407115</v>
      </c>
      <c r="O54" s="95">
        <f t="shared" si="85"/>
        <v>0.51800000000000002</v>
      </c>
      <c r="P54" s="95">
        <f t="shared" si="86"/>
        <v>0.74099999999999999</v>
      </c>
      <c r="Q54" s="96" t="str">
        <f t="shared" si="1"/>
        <v>Not Ok</v>
      </c>
      <c r="R54" s="97">
        <f t="shared" si="2"/>
        <v>10.096927655554062</v>
      </c>
      <c r="S54" s="132">
        <f t="shared" si="14"/>
        <v>1.2045964752510213E-2</v>
      </c>
      <c r="T54" s="99">
        <v>3</v>
      </c>
      <c r="U54" s="100">
        <v>18</v>
      </c>
      <c r="V54" s="101" t="str">
        <f t="shared" si="3"/>
        <v>+</v>
      </c>
      <c r="W54" s="99">
        <v>0</v>
      </c>
      <c r="X54" s="100">
        <v>18</v>
      </c>
      <c r="Y54" s="102">
        <f t="shared" si="87"/>
        <v>7.6340701482231976</v>
      </c>
      <c r="Z54" s="103" t="str">
        <f t="shared" si="4"/>
        <v>Not Ok</v>
      </c>
      <c r="AA54" s="93">
        <f t="shared" si="79"/>
        <v>-222.31006837765008</v>
      </c>
      <c r="AB54" s="93">
        <f t="shared" si="88"/>
        <v>4.1007336690304577</v>
      </c>
      <c r="AC54" s="89" t="str">
        <f t="shared" si="81"/>
        <v>Not Ok</v>
      </c>
      <c r="AD54" s="98">
        <f t="shared" si="89"/>
        <v>7.7111819679022194E-3</v>
      </c>
      <c r="AE54" s="98">
        <f t="shared" si="5"/>
        <v>1.9281988961466403E-2</v>
      </c>
      <c r="AF54" s="104" t="str">
        <f t="shared" si="90"/>
        <v>Ok</v>
      </c>
      <c r="AG54" s="100">
        <v>12</v>
      </c>
      <c r="AH54" s="105">
        <v>3</v>
      </c>
      <c r="AI54" s="105">
        <v>100</v>
      </c>
      <c r="AJ54" s="104">
        <f t="shared" si="6"/>
        <v>22.608000000000004</v>
      </c>
      <c r="AK54" s="60" t="str">
        <f t="shared" si="7"/>
        <v>OK</v>
      </c>
      <c r="AL54" s="109">
        <f t="shared" si="8"/>
        <v>300</v>
      </c>
      <c r="AT54" s="133" t="str">
        <f t="shared" si="9"/>
        <v>need</v>
      </c>
      <c r="AV54" s="61">
        <f t="shared" si="18"/>
        <v>427.48200000000003</v>
      </c>
      <c r="AW54" s="61" t="str">
        <f t="shared" si="19"/>
        <v>OK</v>
      </c>
      <c r="AX54" s="63">
        <f t="shared" si="20"/>
        <v>306.04777499999994</v>
      </c>
      <c r="AY54" s="63">
        <f t="shared" si="21"/>
        <v>190.5</v>
      </c>
      <c r="AZ54" s="63">
        <f t="shared" si="22"/>
        <v>1072.3162055335972</v>
      </c>
      <c r="BA54" s="63">
        <f t="shared" si="74"/>
        <v>63.249999999999993</v>
      </c>
      <c r="BB54" s="63">
        <f t="shared" si="75"/>
        <v>1017.36</v>
      </c>
      <c r="BC54" s="63" t="str">
        <f t="shared" si="76"/>
        <v>OK</v>
      </c>
      <c r="BD54" s="63">
        <f t="shared" si="23"/>
        <v>268.69705406800909</v>
      </c>
      <c r="BE54" s="63">
        <f t="shared" si="24"/>
        <v>531.69312000000002</v>
      </c>
      <c r="BF54" s="63">
        <f t="shared" si="25"/>
        <v>435.30011999999999</v>
      </c>
      <c r="BG54" s="63">
        <f t="shared" si="26"/>
        <v>435.30011999999999</v>
      </c>
      <c r="BH54" s="63">
        <f t="shared" si="27"/>
        <v>629.61774000000003</v>
      </c>
      <c r="BI54" s="63">
        <f t="shared" si="28"/>
        <v>629.61774000000003</v>
      </c>
      <c r="BJ54" s="63">
        <f t="shared" si="29"/>
        <v>435.30011999999999</v>
      </c>
      <c r="BK54" s="63" t="str">
        <f t="shared" si="30"/>
        <v>OK</v>
      </c>
      <c r="BL54" s="63">
        <f t="shared" si="31"/>
        <v>228.6</v>
      </c>
      <c r="BM54" s="63">
        <f t="shared" si="32"/>
        <v>381</v>
      </c>
      <c r="BN54" s="63">
        <f t="shared" si="33"/>
        <v>762</v>
      </c>
      <c r="BO54" s="63">
        <f t="shared" si="34"/>
        <v>1143</v>
      </c>
      <c r="BP54" s="63">
        <f t="shared" si="35"/>
        <v>48.196499999999993</v>
      </c>
      <c r="BQ54" s="63">
        <f t="shared" si="77"/>
        <v>416.62267946776814</v>
      </c>
      <c r="BR54" s="63" t="str">
        <f t="shared" si="78"/>
        <v>OK</v>
      </c>
      <c r="BW54" s="70">
        <f t="shared" si="10"/>
        <v>37.02600000000001</v>
      </c>
    </row>
    <row r="55" spans="4:104">
      <c r="D55" s="181"/>
      <c r="E55" s="180"/>
      <c r="F55" s="91" t="s">
        <v>15</v>
      </c>
      <c r="G55" s="78">
        <v>220</v>
      </c>
      <c r="H55" s="78">
        <v>450</v>
      </c>
      <c r="I55" s="92">
        <f t="shared" si="72"/>
        <v>81.560625814863101</v>
      </c>
      <c r="J55" s="93">
        <f t="shared" si="84"/>
        <v>368.4393741851369</v>
      </c>
      <c r="K55" s="94">
        <v>-214</v>
      </c>
      <c r="L55" s="94">
        <v>133</v>
      </c>
      <c r="M55" s="94">
        <v>133</v>
      </c>
      <c r="N55" s="95">
        <f t="shared" si="0"/>
        <v>0.70842378418990981</v>
      </c>
      <c r="O55" s="95" t="e">
        <f t="shared" si="85"/>
        <v>#NUM!</v>
      </c>
      <c r="P55" s="95" t="e">
        <f t="shared" si="86"/>
        <v>#NUM!</v>
      </c>
      <c r="Q55" s="96" t="e">
        <f t="shared" si="1"/>
        <v>#NUM!</v>
      </c>
      <c r="R55" s="97" t="e">
        <f t="shared" si="2"/>
        <v>#NUM!</v>
      </c>
      <c r="S55" s="132" t="e">
        <f t="shared" si="14"/>
        <v>#NUM!</v>
      </c>
      <c r="T55" s="99">
        <v>5</v>
      </c>
      <c r="U55" s="100">
        <v>22</v>
      </c>
      <c r="V55" s="101" t="str">
        <f t="shared" si="3"/>
        <v>+</v>
      </c>
      <c r="W55" s="99">
        <v>2</v>
      </c>
      <c r="X55" s="100">
        <v>18</v>
      </c>
      <c r="Y55" s="102">
        <f t="shared" si="87"/>
        <v>24.096015653033714</v>
      </c>
      <c r="Z55" s="103" t="e">
        <f t="shared" si="4"/>
        <v>#NUM!</v>
      </c>
      <c r="AA55" s="93">
        <f t="shared" si="79"/>
        <v>99.486826180053328</v>
      </c>
      <c r="AB55" s="93">
        <f t="shared" si="88"/>
        <v>307.74356447150632</v>
      </c>
      <c r="AC55" s="89" t="str">
        <f t="shared" si="81"/>
        <v>Ok</v>
      </c>
      <c r="AD55" s="98">
        <f t="shared" si="89"/>
        <v>2.4339409750539106E-2</v>
      </c>
      <c r="AE55" s="98">
        <f t="shared" si="5"/>
        <v>1.9281988961466403E-2</v>
      </c>
      <c r="AF55" s="104" t="str">
        <f t="shared" si="90"/>
        <v>No-Ok</v>
      </c>
      <c r="AG55" s="100">
        <v>12</v>
      </c>
      <c r="AH55" s="105">
        <v>3</v>
      </c>
      <c r="AI55" s="105">
        <v>100</v>
      </c>
      <c r="AJ55" s="104">
        <f t="shared" si="6"/>
        <v>22.608000000000004</v>
      </c>
      <c r="AK55" s="60" t="str">
        <f t="shared" si="7"/>
        <v>OK</v>
      </c>
      <c r="AL55" s="109">
        <f t="shared" si="8"/>
        <v>300</v>
      </c>
      <c r="AT55" s="133" t="str">
        <f t="shared" si="9"/>
        <v>need</v>
      </c>
      <c r="AV55" s="61">
        <f t="shared" si="18"/>
        <v>413.38897783572361</v>
      </c>
      <c r="AW55" s="61" t="str">
        <f t="shared" si="19"/>
        <v>OK</v>
      </c>
      <c r="AX55" s="63">
        <f t="shared" si="20"/>
        <v>258.22658518671898</v>
      </c>
      <c r="AY55" s="63">
        <f t="shared" si="21"/>
        <v>184.21968709256845</v>
      </c>
      <c r="AZ55" s="63">
        <f t="shared" si="22"/>
        <v>1072.3162055335972</v>
      </c>
      <c r="BA55" s="63">
        <f t="shared" si="74"/>
        <v>63.249999999999993</v>
      </c>
      <c r="BB55" s="63">
        <f t="shared" si="75"/>
        <v>1017.36</v>
      </c>
      <c r="BC55" s="63" t="str">
        <f t="shared" si="76"/>
        <v>OK</v>
      </c>
      <c r="BD55" s="63">
        <f t="shared" si="23"/>
        <v>259.83877807403451</v>
      </c>
      <c r="BE55" s="63">
        <f t="shared" si="24"/>
        <v>514.16451546284225</v>
      </c>
      <c r="BF55" s="63">
        <f t="shared" si="25"/>
        <v>420.94935379400255</v>
      </c>
      <c r="BG55" s="63">
        <f t="shared" si="26"/>
        <v>420.94935379400255</v>
      </c>
      <c r="BH55" s="63">
        <f t="shared" si="27"/>
        <v>608.86080341590605</v>
      </c>
      <c r="BI55" s="63">
        <f t="shared" si="28"/>
        <v>608.86080341590605</v>
      </c>
      <c r="BJ55" s="63">
        <f t="shared" si="29"/>
        <v>420.94935379400255</v>
      </c>
      <c r="BK55" s="63" t="str">
        <f t="shared" si="30"/>
        <v>OK</v>
      </c>
      <c r="BL55" s="63">
        <f t="shared" si="31"/>
        <v>221.06362451108214</v>
      </c>
      <c r="BM55" s="63">
        <f t="shared" si="32"/>
        <v>368.4393741851369</v>
      </c>
      <c r="BN55" s="63">
        <f t="shared" si="33"/>
        <v>736.8787483702738</v>
      </c>
      <c r="BO55" s="63">
        <f t="shared" si="34"/>
        <v>1105.3181225554108</v>
      </c>
      <c r="BP55" s="63">
        <f t="shared" si="35"/>
        <v>46.607580834419814</v>
      </c>
      <c r="BQ55" s="63">
        <f t="shared" si="77"/>
        <v>187.71143292141943</v>
      </c>
      <c r="BR55" s="63" t="str">
        <f t="shared" si="78"/>
        <v>OK</v>
      </c>
      <c r="BW55" s="70">
        <f t="shared" si="10"/>
        <v>37.02600000000001</v>
      </c>
    </row>
    <row r="56" spans="4:104" ht="12.75" customHeight="1">
      <c r="D56" s="176" t="s">
        <v>155</v>
      </c>
      <c r="E56" s="180"/>
      <c r="F56" s="67" t="s">
        <v>15</v>
      </c>
      <c r="G56" s="78">
        <v>220</v>
      </c>
      <c r="H56" s="78">
        <v>450</v>
      </c>
      <c r="I56" s="79">
        <f t="shared" si="72"/>
        <v>81.560625814863101</v>
      </c>
      <c r="J56" s="80">
        <f>H56-I56</f>
        <v>368.4393741851369</v>
      </c>
      <c r="K56" s="81">
        <v>-330</v>
      </c>
      <c r="L56" s="81">
        <v>145</v>
      </c>
      <c r="M56" s="81">
        <v>145</v>
      </c>
      <c r="N56" s="82">
        <f t="shared" si="0"/>
        <v>1.0924291999190199</v>
      </c>
      <c r="O56" s="82" t="e">
        <f>ROUND(1-SQRT(1-2*N56),3)</f>
        <v>#NUM!</v>
      </c>
      <c r="P56" s="82" t="e">
        <f>1-0.5*O56</f>
        <v>#NUM!</v>
      </c>
      <c r="Q56" s="83" t="e">
        <f t="shared" si="1"/>
        <v>#NUM!</v>
      </c>
      <c r="R56" s="84" t="e">
        <f t="shared" si="2"/>
        <v>#NUM!</v>
      </c>
      <c r="S56" s="131" t="e">
        <f t="shared" si="14"/>
        <v>#NUM!</v>
      </c>
      <c r="T56" s="86">
        <v>5</v>
      </c>
      <c r="U56" s="77">
        <v>22</v>
      </c>
      <c r="V56" s="87" t="str">
        <f t="shared" si="3"/>
        <v>+</v>
      </c>
      <c r="W56" s="86">
        <v>2</v>
      </c>
      <c r="X56" s="77">
        <v>18</v>
      </c>
      <c r="Y56" s="88">
        <f>(T56*PI()*U56^2/4+W56*PI()*X56^2/4)/100</f>
        <v>24.096015653033714</v>
      </c>
      <c r="Z56" s="89" t="e">
        <f t="shared" si="4"/>
        <v>#NUM!</v>
      </c>
      <c r="AA56" s="90">
        <f t="shared" si="79"/>
        <v>222.31006837765008</v>
      </c>
      <c r="AB56" s="80">
        <f>($J$11*$H$4*G56*ABS(AA56)*(J56-0.5*ABS(AA56))+$H$6*(T57*PI()*U57^2/4)*(J56-I57))*10^-6</f>
        <v>293.01099593379593</v>
      </c>
      <c r="AC56" s="89" t="str">
        <f t="shared" si="81"/>
        <v>Not Ok</v>
      </c>
      <c r="AD56" s="85">
        <f>(Y56*100)/(G56*H56)</f>
        <v>2.4339409750539106E-2</v>
      </c>
      <c r="AE56" s="85">
        <f t="shared" si="5"/>
        <v>1.9281988961466403E-2</v>
      </c>
      <c r="AF56" s="60" t="str">
        <f>IF(AND(AD56&gt;0.1%,AD56&lt;AE56),"Ok","No-Ok")</f>
        <v>No-Ok</v>
      </c>
      <c r="AG56" s="77">
        <v>12</v>
      </c>
      <c r="AH56" s="76">
        <v>3</v>
      </c>
      <c r="AI56" s="76">
        <v>100</v>
      </c>
      <c r="AJ56" s="60">
        <f t="shared" si="6"/>
        <v>22.608000000000004</v>
      </c>
      <c r="AK56" s="60" t="str">
        <f t="shared" si="7"/>
        <v>OK</v>
      </c>
      <c r="AL56" s="109">
        <f t="shared" si="8"/>
        <v>300</v>
      </c>
      <c r="AT56" s="133" t="str">
        <f t="shared" si="9"/>
        <v>need</v>
      </c>
      <c r="AV56" s="61">
        <f t="shared" si="18"/>
        <v>413.38897783572361</v>
      </c>
      <c r="AW56" s="61" t="str">
        <f t="shared" si="19"/>
        <v>OK</v>
      </c>
      <c r="AX56" s="63">
        <f t="shared" si="20"/>
        <v>236.85610917126638</v>
      </c>
      <c r="AY56" s="63">
        <f t="shared" si="21"/>
        <v>184.21968709256845</v>
      </c>
      <c r="AZ56" s="63">
        <f t="shared" si="22"/>
        <v>1072.3162055335972</v>
      </c>
      <c r="BA56" s="63">
        <f t="shared" si="74"/>
        <v>63.249999999999993</v>
      </c>
      <c r="BB56" s="63">
        <f t="shared" si="75"/>
        <v>1017.36</v>
      </c>
      <c r="BC56" s="63" t="str">
        <f t="shared" si="76"/>
        <v>OK</v>
      </c>
      <c r="BD56" s="63">
        <f t="shared" si="23"/>
        <v>259.83877807403451</v>
      </c>
      <c r="BE56" s="63">
        <f t="shared" si="24"/>
        <v>514.16451546284225</v>
      </c>
      <c r="BF56" s="63">
        <f t="shared" si="25"/>
        <v>420.94935379400255</v>
      </c>
      <c r="BG56" s="63">
        <f t="shared" si="26"/>
        <v>420.94935379400255</v>
      </c>
      <c r="BH56" s="63">
        <f t="shared" si="27"/>
        <v>608.86080341590605</v>
      </c>
      <c r="BI56" s="63">
        <f t="shared" si="28"/>
        <v>608.86080341590605</v>
      </c>
      <c r="BJ56" s="63">
        <f t="shared" si="29"/>
        <v>420.94935379400255</v>
      </c>
      <c r="BK56" s="63" t="str">
        <f t="shared" si="30"/>
        <v>OK</v>
      </c>
      <c r="BL56" s="63">
        <f t="shared" si="31"/>
        <v>221.06362451108214</v>
      </c>
      <c r="BM56" s="63">
        <f t="shared" si="32"/>
        <v>368.4393741851369</v>
      </c>
      <c r="BN56" s="63">
        <f t="shared" si="33"/>
        <v>736.8787483702738</v>
      </c>
      <c r="BO56" s="63">
        <f t="shared" si="34"/>
        <v>1105.3181225554108</v>
      </c>
      <c r="BP56" s="63">
        <f t="shared" si="35"/>
        <v>46.607580834419814</v>
      </c>
      <c r="BQ56" s="63">
        <f t="shared" si="77"/>
        <v>416.62267946776814</v>
      </c>
      <c r="BR56" s="63" t="str">
        <f t="shared" si="78"/>
        <v>OK</v>
      </c>
      <c r="BU56" s="70">
        <v>12</v>
      </c>
      <c r="BV56" s="70">
        <v>1</v>
      </c>
      <c r="BW56" s="70">
        <f t="shared" si="10"/>
        <v>37.02600000000001</v>
      </c>
      <c r="BX56" s="70" t="str">
        <f>IF(BW56&gt;AT56,"OK","NOT OK")</f>
        <v>NOT OK</v>
      </c>
      <c r="BY56" s="70">
        <f>G56</f>
        <v>220</v>
      </c>
      <c r="BZ56" s="70">
        <f>H56</f>
        <v>450</v>
      </c>
      <c r="CA56" s="70">
        <f>BY56/(2*BZ56+BY56)</f>
        <v>0.19642857142857142</v>
      </c>
      <c r="CB56" s="27" t="e">
        <f>O43*AJ56/10</f>
        <v>#NUM!</v>
      </c>
      <c r="CE56" s="71" t="e">
        <f>CB56*CA56*BY56*BZ56/1000000</f>
        <v>#NUM!</v>
      </c>
      <c r="CF56" s="71"/>
      <c r="CG56" s="71"/>
      <c r="CH56" s="70">
        <f>T57*3.14*U57^2/4</f>
        <v>1271.7</v>
      </c>
      <c r="CI56" s="71">
        <f>0.5*$H$6*CH56*BZ56/1000000</f>
        <v>124.4676375</v>
      </c>
      <c r="CJ56" s="70" t="e">
        <f>IF((CI56+CE56)&gt;AT56,"OK","NOT OK")</f>
        <v>#NUM!</v>
      </c>
      <c r="CK56" s="27">
        <f>BZ56</f>
        <v>450</v>
      </c>
      <c r="CL56" s="27">
        <f>BY56</f>
        <v>220</v>
      </c>
      <c r="CM56" s="74">
        <f>CK56/(2*CL56+CK56)</f>
        <v>0.5056179775280899</v>
      </c>
      <c r="CN56" s="74"/>
      <c r="CO56" s="27" t="e">
        <f>O43*AJ56/10</f>
        <v>#NUM!</v>
      </c>
      <c r="CP56" s="74" t="e">
        <f>CO56*CM56*CK56*CL56/1000000</f>
        <v>#NUM!</v>
      </c>
      <c r="CQ56" s="27">
        <f>3.14*U57^2/4+3.14*U56^2/4+BV56*3.14*BU56^2/4</f>
        <v>747.31999999999994</v>
      </c>
      <c r="CT56" s="71">
        <f>0.5*$H$6*CQ56*CL56/1000000</f>
        <v>35.759261999999993</v>
      </c>
      <c r="CU56" s="71"/>
      <c r="CV56" s="70" t="e">
        <f>IF((CT56+CP56)&gt;U56,"OK","NOT OK")</f>
        <v>#NUM!</v>
      </c>
      <c r="CW56" s="74" t="e">
        <f>MIN((CP56+CT56),(CE56+CI56))</f>
        <v>#NUM!</v>
      </c>
      <c r="CX56" s="71">
        <f>AB56</f>
        <v>293.01099593379593</v>
      </c>
      <c r="CY56" s="71">
        <f>(BG56+BO56*J56)/1000</f>
        <v>407.66366670359997</v>
      </c>
      <c r="CZ56" s="62" t="e">
        <f>CW56*SQRT(1-(K56/CX56)^1)</f>
        <v>#NUM!</v>
      </c>
    </row>
    <row r="57" spans="4:104">
      <c r="D57" s="177"/>
      <c r="E57" s="180"/>
      <c r="F57" s="68" t="s">
        <v>16</v>
      </c>
      <c r="G57" s="78">
        <v>220</v>
      </c>
      <c r="H57" s="78">
        <v>450</v>
      </c>
      <c r="I57" s="79">
        <f t="shared" si="72"/>
        <v>69</v>
      </c>
      <c r="J57" s="80">
        <f t="shared" ref="J57:J67" si="91">H57-I57</f>
        <v>381</v>
      </c>
      <c r="K57" s="81">
        <v>150</v>
      </c>
      <c r="L57" s="81">
        <v>61</v>
      </c>
      <c r="M57" s="81">
        <v>61</v>
      </c>
      <c r="N57" s="82">
        <f t="shared" si="0"/>
        <v>0.46435779445653769</v>
      </c>
      <c r="O57" s="82">
        <f t="shared" ref="O57:O67" si="92">ROUND(1-SQRT(1-2*N57),3)</f>
        <v>0.73299999999999998</v>
      </c>
      <c r="P57" s="82">
        <f t="shared" ref="P57:P67" si="93">1-0.5*O57</f>
        <v>0.63349999999999995</v>
      </c>
      <c r="Q57" s="83" t="str">
        <f t="shared" si="1"/>
        <v>Not Ok</v>
      </c>
      <c r="R57" s="84">
        <f t="shared" si="2"/>
        <v>14.286650061293301</v>
      </c>
      <c r="S57" s="131">
        <f t="shared" si="14"/>
        <v>1.7044440540793723E-2</v>
      </c>
      <c r="T57" s="86">
        <v>5</v>
      </c>
      <c r="U57" s="77">
        <v>18</v>
      </c>
      <c r="V57" s="87" t="str">
        <f t="shared" si="3"/>
        <v>+</v>
      </c>
      <c r="W57" s="86">
        <v>0</v>
      </c>
      <c r="X57" s="77">
        <v>18</v>
      </c>
      <c r="Y57" s="88">
        <f t="shared" ref="Y57:Y67" si="94">(T57*PI()*U57^2/4+W57*PI()*X57^2/4)/100</f>
        <v>12.723450247038661</v>
      </c>
      <c r="Z57" s="89" t="str">
        <f t="shared" si="4"/>
        <v>Not Ok</v>
      </c>
      <c r="AA57" s="80">
        <f t="shared" si="79"/>
        <v>-122.82324219759676</v>
      </c>
      <c r="AB57" s="80">
        <f t="shared" ref="AB57:AB67" si="95">($J$11*$H$4*G57*AA57*(J57-0.5*AA57)+$H$6*(T58*PI()*U58^2/4)*(J57-I58))*10^-6</f>
        <v>126.65376733633762</v>
      </c>
      <c r="AC57" s="89" t="str">
        <f t="shared" si="81"/>
        <v>Not Ok</v>
      </c>
      <c r="AD57" s="85">
        <f t="shared" ref="AD57:AD67" si="96">(Y57*100)/(G57*H57)</f>
        <v>1.2851969946503698E-2</v>
      </c>
      <c r="AE57" s="85">
        <f t="shared" si="5"/>
        <v>1.9281988961466403E-2</v>
      </c>
      <c r="AF57" s="60" t="str">
        <f t="shared" ref="AF57:AF67" si="97">IF(AND(AD57&gt;0.1%,AD57&lt;AE57),"Ok","No-Ok")</f>
        <v>Ok</v>
      </c>
      <c r="AG57" s="77">
        <v>12</v>
      </c>
      <c r="AH57" s="76">
        <v>3</v>
      </c>
      <c r="AI57" s="76">
        <v>200</v>
      </c>
      <c r="AJ57" s="60">
        <f t="shared" si="6"/>
        <v>11.304000000000002</v>
      </c>
      <c r="AK57" s="60" t="str">
        <f t="shared" si="7"/>
        <v>OK</v>
      </c>
      <c r="AL57" s="109">
        <f t="shared" si="8"/>
        <v>300</v>
      </c>
      <c r="AT57" s="133" t="str">
        <f t="shared" si="9"/>
        <v>need</v>
      </c>
      <c r="AV57" s="61">
        <f t="shared" si="18"/>
        <v>427.48200000000003</v>
      </c>
      <c r="AW57" s="61" t="str">
        <f t="shared" si="19"/>
        <v>OK</v>
      </c>
      <c r="AX57" s="63">
        <f t="shared" si="20"/>
        <v>602.06119672131138</v>
      </c>
      <c r="AY57" s="63">
        <f t="shared" si="21"/>
        <v>190.5</v>
      </c>
      <c r="AZ57" s="63">
        <f t="shared" si="22"/>
        <v>536.15810276679861</v>
      </c>
      <c r="BA57" s="63">
        <f t="shared" si="74"/>
        <v>63.249999999999993</v>
      </c>
      <c r="BB57" s="63">
        <f t="shared" si="75"/>
        <v>508.68</v>
      </c>
      <c r="BC57" s="63" t="str">
        <f t="shared" si="76"/>
        <v>OK</v>
      </c>
      <c r="BD57" s="63">
        <f t="shared" si="23"/>
        <v>379.99501803267526</v>
      </c>
      <c r="BE57" s="63">
        <f t="shared" si="24"/>
        <v>386.33780999999999</v>
      </c>
      <c r="BF57" s="63">
        <f t="shared" si="25"/>
        <v>289.94480999999996</v>
      </c>
      <c r="BG57" s="63">
        <f t="shared" si="26"/>
        <v>289.94480999999996</v>
      </c>
      <c r="BH57" s="63">
        <f t="shared" si="27"/>
        <v>338.90712000000002</v>
      </c>
      <c r="BI57" s="63">
        <f t="shared" si="28"/>
        <v>338.90712000000002</v>
      </c>
      <c r="BJ57" s="63">
        <f t="shared" si="29"/>
        <v>289.94480999999996</v>
      </c>
      <c r="BK57" s="63" t="str">
        <f t="shared" si="30"/>
        <v>OK</v>
      </c>
      <c r="BL57" s="63">
        <f t="shared" si="31"/>
        <v>228.6</v>
      </c>
      <c r="BM57" s="63">
        <f t="shared" si="32"/>
        <v>381</v>
      </c>
      <c r="BN57" s="63">
        <f t="shared" si="33"/>
        <v>762</v>
      </c>
      <c r="BO57" s="63">
        <f t="shared" si="34"/>
        <v>1143</v>
      </c>
      <c r="BP57" s="63">
        <f t="shared" si="35"/>
        <v>48.196499999999993</v>
      </c>
      <c r="BQ57" s="63">
        <f t="shared" si="77"/>
        <v>416.62267946776814</v>
      </c>
      <c r="BR57" s="63" t="str">
        <f t="shared" si="78"/>
        <v>OK</v>
      </c>
      <c r="BW57" s="70">
        <f t="shared" si="10"/>
        <v>37.02600000000001</v>
      </c>
    </row>
    <row r="58" spans="4:104">
      <c r="D58" s="178"/>
      <c r="E58" s="180"/>
      <c r="F58" s="67" t="s">
        <v>15</v>
      </c>
      <c r="G58" s="78">
        <v>220</v>
      </c>
      <c r="H58" s="78">
        <v>450</v>
      </c>
      <c r="I58" s="79">
        <f t="shared" si="72"/>
        <v>81.560625814863101</v>
      </c>
      <c r="J58" s="80">
        <f t="shared" si="91"/>
        <v>368.4393741851369</v>
      </c>
      <c r="K58" s="81">
        <v>-328</v>
      </c>
      <c r="L58" s="81">
        <v>196</v>
      </c>
      <c r="M58" s="81">
        <v>196</v>
      </c>
      <c r="N58" s="82">
        <f t="shared" si="0"/>
        <v>1.0858084168892077</v>
      </c>
      <c r="O58" s="82" t="e">
        <f t="shared" si="92"/>
        <v>#NUM!</v>
      </c>
      <c r="P58" s="82" t="e">
        <f t="shared" si="93"/>
        <v>#NUM!</v>
      </c>
      <c r="Q58" s="83" t="e">
        <f t="shared" si="1"/>
        <v>#NUM!</v>
      </c>
      <c r="R58" s="84" t="e">
        <f t="shared" si="2"/>
        <v>#NUM!</v>
      </c>
      <c r="S58" s="131" t="e">
        <f t="shared" si="14"/>
        <v>#NUM!</v>
      </c>
      <c r="T58" s="86">
        <v>5</v>
      </c>
      <c r="U58" s="77">
        <v>22</v>
      </c>
      <c r="V58" s="87" t="str">
        <f t="shared" si="3"/>
        <v>+</v>
      </c>
      <c r="W58" s="86">
        <v>2</v>
      </c>
      <c r="X58" s="77">
        <v>18</v>
      </c>
      <c r="Y58" s="88">
        <f t="shared" si="94"/>
        <v>24.096015653033714</v>
      </c>
      <c r="Z58" s="89" t="e">
        <f t="shared" si="4"/>
        <v>#NUM!</v>
      </c>
      <c r="AA58" s="80">
        <f t="shared" si="79"/>
        <v>99.486826180053328</v>
      </c>
      <c r="AB58" s="80">
        <f t="shared" si="95"/>
        <v>307.74356447150632</v>
      </c>
      <c r="AC58" s="89" t="str">
        <f t="shared" si="81"/>
        <v>Not Ok</v>
      </c>
      <c r="AD58" s="85">
        <f t="shared" si="96"/>
        <v>2.4339409750539106E-2</v>
      </c>
      <c r="AE58" s="85">
        <f t="shared" si="5"/>
        <v>1.9281988961466403E-2</v>
      </c>
      <c r="AF58" s="60" t="str">
        <f t="shared" si="97"/>
        <v>No-Ok</v>
      </c>
      <c r="AG58" s="77">
        <v>12</v>
      </c>
      <c r="AH58" s="76">
        <v>3</v>
      </c>
      <c r="AI58" s="76">
        <v>100</v>
      </c>
      <c r="AJ58" s="60">
        <f t="shared" si="6"/>
        <v>22.608000000000004</v>
      </c>
      <c r="AK58" s="60" t="str">
        <f t="shared" si="7"/>
        <v>OK</v>
      </c>
      <c r="AL58" s="109">
        <f t="shared" si="8"/>
        <v>300</v>
      </c>
      <c r="AT58" s="133" t="str">
        <f t="shared" si="9"/>
        <v>need</v>
      </c>
      <c r="AV58" s="61">
        <f t="shared" si="18"/>
        <v>413.38897783572361</v>
      </c>
      <c r="AW58" s="61" t="str">
        <f t="shared" si="19"/>
        <v>OK</v>
      </c>
      <c r="AX58" s="63">
        <f t="shared" si="20"/>
        <v>175.22518280527362</v>
      </c>
      <c r="AY58" s="63">
        <f t="shared" si="21"/>
        <v>184.21968709256845</v>
      </c>
      <c r="AZ58" s="63">
        <f t="shared" si="22"/>
        <v>1072.3162055335972</v>
      </c>
      <c r="BA58" s="63">
        <f t="shared" si="74"/>
        <v>63.249999999999993</v>
      </c>
      <c r="BB58" s="63">
        <f t="shared" si="75"/>
        <v>1017.36</v>
      </c>
      <c r="BC58" s="63" t="str">
        <f t="shared" si="76"/>
        <v>OK</v>
      </c>
      <c r="BD58" s="63">
        <f t="shared" si="23"/>
        <v>259.83877807403451</v>
      </c>
      <c r="BE58" s="63">
        <f t="shared" si="24"/>
        <v>514.16451546284225</v>
      </c>
      <c r="BF58" s="63">
        <f t="shared" si="25"/>
        <v>420.94935379400255</v>
      </c>
      <c r="BG58" s="63">
        <f t="shared" si="26"/>
        <v>420.94935379400255</v>
      </c>
      <c r="BH58" s="63">
        <f t="shared" si="27"/>
        <v>608.86080341590605</v>
      </c>
      <c r="BI58" s="63">
        <f t="shared" si="28"/>
        <v>608.86080341590605</v>
      </c>
      <c r="BJ58" s="63">
        <f t="shared" si="29"/>
        <v>420.94935379400255</v>
      </c>
      <c r="BK58" s="63" t="str">
        <f t="shared" si="30"/>
        <v>OK</v>
      </c>
      <c r="BL58" s="63">
        <f t="shared" si="31"/>
        <v>221.06362451108214</v>
      </c>
      <c r="BM58" s="63">
        <f t="shared" si="32"/>
        <v>368.4393741851369</v>
      </c>
      <c r="BN58" s="63">
        <f t="shared" si="33"/>
        <v>736.8787483702738</v>
      </c>
      <c r="BO58" s="63">
        <f t="shared" si="34"/>
        <v>1105.3181225554108</v>
      </c>
      <c r="BP58" s="63">
        <f t="shared" si="35"/>
        <v>46.607580834419814</v>
      </c>
      <c r="BQ58" s="63">
        <f t="shared" si="77"/>
        <v>226.70514114236576</v>
      </c>
      <c r="BR58" s="63" t="str">
        <f t="shared" si="78"/>
        <v>OK</v>
      </c>
      <c r="BW58" s="70">
        <f t="shared" si="10"/>
        <v>37.02600000000001</v>
      </c>
    </row>
    <row r="59" spans="4:104">
      <c r="D59" s="179" t="s">
        <v>165</v>
      </c>
      <c r="E59" s="180"/>
      <c r="F59" s="91" t="s">
        <v>15</v>
      </c>
      <c r="G59" s="78">
        <v>220</v>
      </c>
      <c r="H59" s="78">
        <v>450</v>
      </c>
      <c r="I59" s="92">
        <f t="shared" si="72"/>
        <v>81.560625814863101</v>
      </c>
      <c r="J59" s="93">
        <f t="shared" si="91"/>
        <v>368.4393741851369</v>
      </c>
      <c r="K59" s="94">
        <v>-287</v>
      </c>
      <c r="L59" s="94">
        <v>119</v>
      </c>
      <c r="M59" s="94">
        <v>119</v>
      </c>
      <c r="N59" s="95">
        <f t="shared" si="0"/>
        <v>0.95008236477805663</v>
      </c>
      <c r="O59" s="95" t="e">
        <f t="shared" si="92"/>
        <v>#NUM!</v>
      </c>
      <c r="P59" s="95" t="e">
        <f t="shared" si="93"/>
        <v>#NUM!</v>
      </c>
      <c r="Q59" s="96" t="e">
        <f t="shared" si="1"/>
        <v>#NUM!</v>
      </c>
      <c r="R59" s="97" t="e">
        <f t="shared" si="2"/>
        <v>#NUM!</v>
      </c>
      <c r="S59" s="131" t="e">
        <f t="shared" si="14"/>
        <v>#NUM!</v>
      </c>
      <c r="T59" s="99">
        <v>5</v>
      </c>
      <c r="U59" s="100">
        <v>22</v>
      </c>
      <c r="V59" s="101" t="str">
        <f t="shared" si="3"/>
        <v>+</v>
      </c>
      <c r="W59" s="99">
        <v>2</v>
      </c>
      <c r="X59" s="100">
        <v>18</v>
      </c>
      <c r="Y59" s="102">
        <f t="shared" si="94"/>
        <v>24.096015653033714</v>
      </c>
      <c r="Z59" s="103" t="e">
        <f t="shared" si="4"/>
        <v>#NUM!</v>
      </c>
      <c r="AA59" s="93">
        <f t="shared" si="79"/>
        <v>222.31006837765008</v>
      </c>
      <c r="AB59" s="93">
        <f t="shared" si="95"/>
        <v>293.01099593379593</v>
      </c>
      <c r="AC59" s="89" t="str">
        <f t="shared" si="81"/>
        <v>Ok</v>
      </c>
      <c r="AD59" s="98">
        <f t="shared" si="96"/>
        <v>2.4339409750539106E-2</v>
      </c>
      <c r="AE59" s="98">
        <f t="shared" si="5"/>
        <v>1.9281988961466403E-2</v>
      </c>
      <c r="AF59" s="104" t="str">
        <f t="shared" si="97"/>
        <v>No-Ok</v>
      </c>
      <c r="AG59" s="100">
        <v>12</v>
      </c>
      <c r="AH59" s="105">
        <v>3</v>
      </c>
      <c r="AI59" s="105">
        <v>100</v>
      </c>
      <c r="AJ59" s="104">
        <f t="shared" si="6"/>
        <v>22.608000000000004</v>
      </c>
      <c r="AK59" s="60" t="str">
        <f t="shared" si="7"/>
        <v>OK</v>
      </c>
      <c r="AL59" s="109">
        <f t="shared" si="8"/>
        <v>300</v>
      </c>
      <c r="AT59" s="133" t="str">
        <f t="shared" si="9"/>
        <v>need</v>
      </c>
      <c r="AV59" s="61">
        <f t="shared" si="18"/>
        <v>413.38897783572361</v>
      </c>
      <c r="AW59" s="61" t="str">
        <f t="shared" si="19"/>
        <v>OK</v>
      </c>
      <c r="AX59" s="63">
        <f t="shared" si="20"/>
        <v>288.60618344398006</v>
      </c>
      <c r="AY59" s="63">
        <f t="shared" si="21"/>
        <v>184.21968709256845</v>
      </c>
      <c r="AZ59" s="63">
        <f t="shared" si="22"/>
        <v>1072.3162055335972</v>
      </c>
      <c r="BA59" s="63">
        <f t="shared" si="74"/>
        <v>63.249999999999993</v>
      </c>
      <c r="BB59" s="63">
        <f t="shared" si="75"/>
        <v>1017.36</v>
      </c>
      <c r="BC59" s="63" t="str">
        <f t="shared" si="76"/>
        <v>OK</v>
      </c>
      <c r="BD59" s="63">
        <f t="shared" si="23"/>
        <v>259.83877807403451</v>
      </c>
      <c r="BE59" s="63">
        <f t="shared" si="24"/>
        <v>514.16451546284225</v>
      </c>
      <c r="BF59" s="63">
        <f t="shared" si="25"/>
        <v>420.94935379400255</v>
      </c>
      <c r="BG59" s="63">
        <f t="shared" si="26"/>
        <v>420.94935379400255</v>
      </c>
      <c r="BH59" s="63">
        <f t="shared" si="27"/>
        <v>608.86080341590605</v>
      </c>
      <c r="BI59" s="63">
        <f t="shared" si="28"/>
        <v>608.86080341590605</v>
      </c>
      <c r="BJ59" s="63">
        <f t="shared" si="29"/>
        <v>420.94935379400255</v>
      </c>
      <c r="BK59" s="63" t="str">
        <f t="shared" si="30"/>
        <v>OK</v>
      </c>
      <c r="BL59" s="63">
        <f t="shared" si="31"/>
        <v>221.06362451108214</v>
      </c>
      <c r="BM59" s="63">
        <f t="shared" si="32"/>
        <v>368.4393741851369</v>
      </c>
      <c r="BN59" s="63">
        <f t="shared" si="33"/>
        <v>736.8787483702738</v>
      </c>
      <c r="BO59" s="63">
        <f t="shared" si="34"/>
        <v>1105.3181225554108</v>
      </c>
      <c r="BP59" s="63">
        <f t="shared" si="35"/>
        <v>46.607580834419814</v>
      </c>
      <c r="BQ59" s="63">
        <f t="shared" si="77"/>
        <v>416.62267946776814</v>
      </c>
      <c r="BR59" s="63" t="str">
        <f t="shared" si="78"/>
        <v>OK</v>
      </c>
      <c r="BW59" s="70">
        <f t="shared" si="10"/>
        <v>37.02600000000001</v>
      </c>
    </row>
    <row r="60" spans="4:104">
      <c r="D60" s="180"/>
      <c r="E60" s="180"/>
      <c r="F60" s="106" t="s">
        <v>16</v>
      </c>
      <c r="G60" s="78">
        <v>220</v>
      </c>
      <c r="H60" s="78">
        <v>450</v>
      </c>
      <c r="I60" s="92">
        <f t="shared" si="72"/>
        <v>69</v>
      </c>
      <c r="J60" s="93">
        <f t="shared" si="91"/>
        <v>381</v>
      </c>
      <c r="K60" s="94">
        <v>147</v>
      </c>
      <c r="L60" s="94">
        <v>116</v>
      </c>
      <c r="M60" s="94">
        <v>116</v>
      </c>
      <c r="N60" s="95">
        <f t="shared" si="0"/>
        <v>0.45507063856740693</v>
      </c>
      <c r="O60" s="95">
        <f t="shared" si="92"/>
        <v>0.7</v>
      </c>
      <c r="P60" s="95">
        <f t="shared" si="93"/>
        <v>0.65</v>
      </c>
      <c r="Q60" s="96" t="str">
        <f t="shared" si="1"/>
        <v>Not Ok</v>
      </c>
      <c r="R60" s="97">
        <f t="shared" si="2"/>
        <v>13.645509165465723</v>
      </c>
      <c r="S60" s="131">
        <f t="shared" si="14"/>
        <v>1.6279538493755335E-2</v>
      </c>
      <c r="T60" s="99">
        <v>5</v>
      </c>
      <c r="U60" s="100">
        <v>18</v>
      </c>
      <c r="V60" s="101" t="str">
        <f t="shared" si="3"/>
        <v>+</v>
      </c>
      <c r="W60" s="99">
        <v>0</v>
      </c>
      <c r="X60" s="100">
        <v>18</v>
      </c>
      <c r="Y60" s="102">
        <f t="shared" si="94"/>
        <v>12.723450247038661</v>
      </c>
      <c r="Z60" s="103" t="str">
        <f t="shared" si="4"/>
        <v>Not Ok</v>
      </c>
      <c r="AA60" s="93">
        <f t="shared" si="79"/>
        <v>-122.82324219759676</v>
      </c>
      <c r="AB60" s="93">
        <f t="shared" si="95"/>
        <v>126.65376733633762</v>
      </c>
      <c r="AC60" s="89" t="str">
        <f t="shared" si="81"/>
        <v>Not Ok</v>
      </c>
      <c r="AD60" s="98">
        <f t="shared" si="96"/>
        <v>1.2851969946503698E-2</v>
      </c>
      <c r="AE60" s="98">
        <f t="shared" si="5"/>
        <v>1.9281988961466403E-2</v>
      </c>
      <c r="AF60" s="104" t="str">
        <f t="shared" si="97"/>
        <v>Ok</v>
      </c>
      <c r="AG60" s="100">
        <v>12</v>
      </c>
      <c r="AH60" s="105">
        <v>3</v>
      </c>
      <c r="AI60" s="105">
        <v>200</v>
      </c>
      <c r="AJ60" s="104">
        <f t="shared" si="6"/>
        <v>11.304000000000002</v>
      </c>
      <c r="AK60" s="60" t="str">
        <f t="shared" si="7"/>
        <v>OK</v>
      </c>
      <c r="AL60" s="109">
        <f t="shared" si="8"/>
        <v>300</v>
      </c>
      <c r="AT60" s="133" t="str">
        <f t="shared" si="9"/>
        <v>need</v>
      </c>
      <c r="AV60" s="61">
        <f t="shared" si="18"/>
        <v>427.48200000000003</v>
      </c>
      <c r="AW60" s="61" t="str">
        <f t="shared" si="19"/>
        <v>OK</v>
      </c>
      <c r="AX60" s="63">
        <f t="shared" si="20"/>
        <v>316.60114655172407</v>
      </c>
      <c r="AY60" s="63">
        <f t="shared" si="21"/>
        <v>190.5</v>
      </c>
      <c r="AZ60" s="63">
        <f t="shared" si="22"/>
        <v>536.15810276679861</v>
      </c>
      <c r="BA60" s="63">
        <f t="shared" si="74"/>
        <v>63.249999999999993</v>
      </c>
      <c r="BB60" s="63">
        <f t="shared" si="75"/>
        <v>508.68</v>
      </c>
      <c r="BC60" s="63" t="str">
        <f t="shared" si="76"/>
        <v>OK</v>
      </c>
      <c r="BD60" s="63">
        <f t="shared" si="23"/>
        <v>379.99501803267526</v>
      </c>
      <c r="BE60" s="63">
        <f t="shared" si="24"/>
        <v>386.33780999999999</v>
      </c>
      <c r="BF60" s="63">
        <f t="shared" si="25"/>
        <v>289.94480999999996</v>
      </c>
      <c r="BG60" s="63">
        <f t="shared" si="26"/>
        <v>289.94480999999996</v>
      </c>
      <c r="BH60" s="63">
        <f t="shared" si="27"/>
        <v>338.90712000000002</v>
      </c>
      <c r="BI60" s="63">
        <f t="shared" si="28"/>
        <v>338.90712000000002</v>
      </c>
      <c r="BJ60" s="63">
        <f t="shared" si="29"/>
        <v>289.94480999999996</v>
      </c>
      <c r="BK60" s="63" t="str">
        <f t="shared" si="30"/>
        <v>OK</v>
      </c>
      <c r="BL60" s="63">
        <f t="shared" si="31"/>
        <v>228.6</v>
      </c>
      <c r="BM60" s="63">
        <f t="shared" si="32"/>
        <v>381</v>
      </c>
      <c r="BN60" s="63">
        <f t="shared" si="33"/>
        <v>762</v>
      </c>
      <c r="BO60" s="63">
        <f t="shared" si="34"/>
        <v>1143</v>
      </c>
      <c r="BP60" s="63">
        <f t="shared" si="35"/>
        <v>48.196499999999993</v>
      </c>
      <c r="BQ60" s="63">
        <f t="shared" si="77"/>
        <v>416.62267946776814</v>
      </c>
      <c r="BR60" s="63" t="str">
        <f t="shared" si="78"/>
        <v>OK</v>
      </c>
      <c r="BW60" s="70">
        <f t="shared" si="10"/>
        <v>37.02600000000001</v>
      </c>
    </row>
    <row r="61" spans="4:104">
      <c r="D61" s="181"/>
      <c r="E61" s="181"/>
      <c r="F61" s="91" t="s">
        <v>15</v>
      </c>
      <c r="G61" s="78">
        <v>220</v>
      </c>
      <c r="H61" s="78">
        <v>450</v>
      </c>
      <c r="I61" s="92">
        <f t="shared" si="72"/>
        <v>81.560625814863101</v>
      </c>
      <c r="J61" s="93">
        <f t="shared" si="91"/>
        <v>368.4393741851369</v>
      </c>
      <c r="K61" s="94">
        <v>-361</v>
      </c>
      <c r="L61" s="94">
        <v>173</v>
      </c>
      <c r="M61" s="94">
        <v>173</v>
      </c>
      <c r="N61" s="95">
        <f t="shared" si="0"/>
        <v>1.1950513368811095</v>
      </c>
      <c r="O61" s="95" t="e">
        <f t="shared" si="92"/>
        <v>#NUM!</v>
      </c>
      <c r="P61" s="95" t="e">
        <f t="shared" si="93"/>
        <v>#NUM!</v>
      </c>
      <c r="Q61" s="96" t="e">
        <f t="shared" si="1"/>
        <v>#NUM!</v>
      </c>
      <c r="R61" s="97" t="e">
        <f t="shared" si="2"/>
        <v>#NUM!</v>
      </c>
      <c r="S61" s="131" t="e">
        <f t="shared" si="14"/>
        <v>#NUM!</v>
      </c>
      <c r="T61" s="99">
        <v>5</v>
      </c>
      <c r="U61" s="100">
        <v>22</v>
      </c>
      <c r="V61" s="101" t="str">
        <f t="shared" si="3"/>
        <v>+</v>
      </c>
      <c r="W61" s="99">
        <v>2</v>
      </c>
      <c r="X61" s="100">
        <v>18</v>
      </c>
      <c r="Y61" s="102">
        <f t="shared" si="94"/>
        <v>24.096015653033714</v>
      </c>
      <c r="Z61" s="103" t="e">
        <f t="shared" si="4"/>
        <v>#NUM!</v>
      </c>
      <c r="AA61" s="93">
        <f t="shared" si="79"/>
        <v>99.486826180053328</v>
      </c>
      <c r="AB61" s="93">
        <f t="shared" si="95"/>
        <v>316.47496999631568</v>
      </c>
      <c r="AC61" s="89" t="str">
        <f t="shared" si="81"/>
        <v>Not Ok</v>
      </c>
      <c r="AD61" s="98">
        <f t="shared" si="96"/>
        <v>2.4339409750539106E-2</v>
      </c>
      <c r="AE61" s="98">
        <f t="shared" si="5"/>
        <v>1.9281988961466403E-2</v>
      </c>
      <c r="AF61" s="104" t="str">
        <f t="shared" si="97"/>
        <v>No-Ok</v>
      </c>
      <c r="AG61" s="100">
        <v>12</v>
      </c>
      <c r="AH61" s="105">
        <v>3</v>
      </c>
      <c r="AI61" s="105">
        <v>100</v>
      </c>
      <c r="AJ61" s="104">
        <f t="shared" si="6"/>
        <v>22.608000000000004</v>
      </c>
      <c r="AK61" s="60" t="str">
        <f t="shared" si="7"/>
        <v>OK</v>
      </c>
      <c r="AL61" s="109">
        <f t="shared" si="8"/>
        <v>300</v>
      </c>
      <c r="AT61" s="133" t="str">
        <f t="shared" si="9"/>
        <v>need</v>
      </c>
      <c r="AV61" s="61">
        <f t="shared" si="18"/>
        <v>413.38897783572361</v>
      </c>
      <c r="AW61" s="61" t="str">
        <f t="shared" si="19"/>
        <v>OK</v>
      </c>
      <c r="AX61" s="63">
        <f t="shared" si="20"/>
        <v>198.5210163574198</v>
      </c>
      <c r="AY61" s="63">
        <f t="shared" si="21"/>
        <v>184.21968709256845</v>
      </c>
      <c r="AZ61" s="63">
        <f t="shared" si="22"/>
        <v>1072.3162055335972</v>
      </c>
      <c r="BA61" s="63">
        <f t="shared" si="74"/>
        <v>63.249999999999993</v>
      </c>
      <c r="BB61" s="63">
        <f t="shared" si="75"/>
        <v>1017.36</v>
      </c>
      <c r="BC61" s="63" t="str">
        <f t="shared" si="76"/>
        <v>OK</v>
      </c>
      <c r="BD61" s="63">
        <f t="shared" si="23"/>
        <v>259.83877807403451</v>
      </c>
      <c r="BE61" s="63">
        <f t="shared" si="24"/>
        <v>514.16451546284225</v>
      </c>
      <c r="BF61" s="63">
        <f t="shared" si="25"/>
        <v>420.94935379400255</v>
      </c>
      <c r="BG61" s="63">
        <f t="shared" si="26"/>
        <v>420.94935379400255</v>
      </c>
      <c r="BH61" s="63">
        <f t="shared" si="27"/>
        <v>608.86080341590605</v>
      </c>
      <c r="BI61" s="63">
        <f t="shared" si="28"/>
        <v>608.86080341590605</v>
      </c>
      <c r="BJ61" s="63">
        <f t="shared" si="29"/>
        <v>420.94935379400255</v>
      </c>
      <c r="BK61" s="63" t="str">
        <f t="shared" si="30"/>
        <v>OK</v>
      </c>
      <c r="BL61" s="63">
        <f t="shared" si="31"/>
        <v>221.06362451108214</v>
      </c>
      <c r="BM61" s="63">
        <f t="shared" si="32"/>
        <v>368.4393741851369</v>
      </c>
      <c r="BN61" s="63">
        <f t="shared" si="33"/>
        <v>736.8787483702738</v>
      </c>
      <c r="BO61" s="63">
        <f t="shared" si="34"/>
        <v>1105.3181225554108</v>
      </c>
      <c r="BP61" s="63">
        <f t="shared" si="35"/>
        <v>46.607580834419814</v>
      </c>
      <c r="BQ61" s="63">
        <f t="shared" si="77"/>
        <v>226.70514114236576</v>
      </c>
      <c r="BR61" s="63" t="str">
        <f t="shared" si="78"/>
        <v>OK</v>
      </c>
      <c r="BW61" s="70">
        <f t="shared" si="10"/>
        <v>37.02600000000001</v>
      </c>
    </row>
    <row r="62" spans="4:104">
      <c r="D62" s="176" t="s">
        <v>174</v>
      </c>
      <c r="E62" s="176" t="s">
        <v>231</v>
      </c>
      <c r="F62" s="67" t="s">
        <v>15</v>
      </c>
      <c r="G62" s="78">
        <v>220</v>
      </c>
      <c r="H62" s="78">
        <v>450</v>
      </c>
      <c r="I62" s="79">
        <f t="shared" si="72"/>
        <v>71</v>
      </c>
      <c r="J62" s="80">
        <f t="shared" si="91"/>
        <v>379</v>
      </c>
      <c r="K62" s="81">
        <v>-269</v>
      </c>
      <c r="L62" s="81">
        <v>87</v>
      </c>
      <c r="M62" s="81">
        <v>87</v>
      </c>
      <c r="N62" s="82">
        <f t="shared" si="0"/>
        <v>0.84156040148691857</v>
      </c>
      <c r="O62" s="82" t="e">
        <f t="shared" si="92"/>
        <v>#NUM!</v>
      </c>
      <c r="P62" s="82" t="e">
        <f t="shared" si="93"/>
        <v>#NUM!</v>
      </c>
      <c r="Q62" s="83" t="e">
        <f t="shared" si="1"/>
        <v>#NUM!</v>
      </c>
      <c r="R62" s="84" t="e">
        <f t="shared" si="2"/>
        <v>#NUM!</v>
      </c>
      <c r="S62" s="131" t="e">
        <f t="shared" si="14"/>
        <v>#NUM!</v>
      </c>
      <c r="T62" s="86">
        <v>5</v>
      </c>
      <c r="U62" s="77">
        <v>22</v>
      </c>
      <c r="V62" s="87" t="str">
        <f t="shared" si="3"/>
        <v>+</v>
      </c>
      <c r="W62" s="86">
        <v>0</v>
      </c>
      <c r="X62" s="77">
        <v>18</v>
      </c>
      <c r="Y62" s="88">
        <f t="shared" si="94"/>
        <v>19.006635554218249</v>
      </c>
      <c r="Z62" s="89" t="e">
        <f t="shared" si="4"/>
        <v>#NUM!</v>
      </c>
      <c r="AA62" s="80">
        <f t="shared" si="79"/>
        <v>222.31006837765003</v>
      </c>
      <c r="AB62" s="80">
        <f t="shared" si="95"/>
        <v>235.45010701619296</v>
      </c>
      <c r="AC62" s="89" t="str">
        <f t="shared" si="81"/>
        <v>Not Ok</v>
      </c>
      <c r="AD62" s="85">
        <f t="shared" si="96"/>
        <v>1.9198621771937624E-2</v>
      </c>
      <c r="AE62" s="85">
        <f t="shared" si="5"/>
        <v>1.9281988961466403E-2</v>
      </c>
      <c r="AF62" s="60" t="str">
        <f t="shared" si="97"/>
        <v>Ok</v>
      </c>
      <c r="AG62" s="77">
        <v>8</v>
      </c>
      <c r="AH62" s="76">
        <v>3</v>
      </c>
      <c r="AI62" s="76">
        <v>100</v>
      </c>
      <c r="AJ62" s="60">
        <f t="shared" si="6"/>
        <v>10.048000000000002</v>
      </c>
      <c r="AK62" s="60" t="str">
        <f t="shared" si="7"/>
        <v>OK</v>
      </c>
      <c r="AL62" s="109">
        <f t="shared" si="8"/>
        <v>210</v>
      </c>
      <c r="AT62" s="133" t="str">
        <f t="shared" si="9"/>
        <v>need</v>
      </c>
      <c r="AV62" s="61">
        <f t="shared" si="18"/>
        <v>425.238</v>
      </c>
      <c r="AW62" s="61" t="str">
        <f t="shared" si="19"/>
        <v>OK</v>
      </c>
      <c r="AX62" s="63">
        <f t="shared" si="20"/>
        <v>417.71463218390795</v>
      </c>
      <c r="AY62" s="63">
        <f t="shared" si="21"/>
        <v>189.5</v>
      </c>
      <c r="AZ62" s="63">
        <f t="shared" si="22"/>
        <v>333.60948616600797</v>
      </c>
      <c r="BA62" s="63">
        <f t="shared" si="74"/>
        <v>63.249999999999993</v>
      </c>
      <c r="BB62" s="63">
        <f t="shared" si="75"/>
        <v>316.512</v>
      </c>
      <c r="BC62" s="63" t="str">
        <f t="shared" si="76"/>
        <v>OK</v>
      </c>
      <c r="BD62" s="63">
        <f t="shared" si="23"/>
        <v>479.20283454644448</v>
      </c>
      <c r="BE62" s="63">
        <f t="shared" si="24"/>
        <v>329.686036</v>
      </c>
      <c r="BF62" s="63">
        <f t="shared" si="25"/>
        <v>233.79903599999997</v>
      </c>
      <c r="BG62" s="63">
        <f t="shared" si="26"/>
        <v>346.43594274046376</v>
      </c>
      <c r="BH62" s="63">
        <f t="shared" si="27"/>
        <v>227.880572</v>
      </c>
      <c r="BI62" s="63">
        <f t="shared" si="28"/>
        <v>227.880572</v>
      </c>
      <c r="BJ62" s="63">
        <f t="shared" si="29"/>
        <v>227.880572</v>
      </c>
      <c r="BK62" s="63" t="str">
        <f t="shared" si="30"/>
        <v>OK</v>
      </c>
      <c r="BL62" s="63">
        <f t="shared" si="31"/>
        <v>227.4</v>
      </c>
      <c r="BM62" s="63">
        <f t="shared" si="32"/>
        <v>379</v>
      </c>
      <c r="BN62" s="63">
        <f t="shared" si="33"/>
        <v>758</v>
      </c>
      <c r="BO62" s="63">
        <f t="shared" si="34"/>
        <v>1137</v>
      </c>
      <c r="BP62" s="63">
        <f t="shared" si="35"/>
        <v>47.943499999999993</v>
      </c>
      <c r="BQ62" s="63">
        <f t="shared" si="77"/>
        <v>416.62267946776814</v>
      </c>
      <c r="BR62" s="63" t="str">
        <f t="shared" si="78"/>
        <v>OK</v>
      </c>
      <c r="BW62" s="70">
        <f t="shared" si="10"/>
        <v>37.02600000000001</v>
      </c>
    </row>
    <row r="63" spans="4:104">
      <c r="D63" s="177"/>
      <c r="E63" s="177"/>
      <c r="F63" s="68" t="s">
        <v>16</v>
      </c>
      <c r="G63" s="78">
        <v>220</v>
      </c>
      <c r="H63" s="78">
        <v>450</v>
      </c>
      <c r="I63" s="79">
        <f t="shared" si="72"/>
        <v>69</v>
      </c>
      <c r="J63" s="80">
        <f t="shared" si="91"/>
        <v>381</v>
      </c>
      <c r="K63" s="81">
        <v>96</v>
      </c>
      <c r="L63" s="81">
        <v>75</v>
      </c>
      <c r="M63" s="81">
        <v>75</v>
      </c>
      <c r="N63" s="82">
        <f t="shared" si="0"/>
        <v>0.29718898845218411</v>
      </c>
      <c r="O63" s="82">
        <f t="shared" si="92"/>
        <v>0.36299999999999999</v>
      </c>
      <c r="P63" s="82">
        <f t="shared" si="93"/>
        <v>0.81850000000000001</v>
      </c>
      <c r="Q63" s="83" t="str">
        <f t="shared" si="1"/>
        <v>Ok</v>
      </c>
      <c r="R63" s="84">
        <f t="shared" si="2"/>
        <v>7.076822725535437</v>
      </c>
      <c r="S63" s="131">
        <f t="shared" si="14"/>
        <v>8.4428808464989697E-3</v>
      </c>
      <c r="T63" s="86">
        <v>3</v>
      </c>
      <c r="U63" s="77">
        <v>18</v>
      </c>
      <c r="V63" s="87" t="str">
        <f t="shared" si="3"/>
        <v>+</v>
      </c>
      <c r="W63" s="86">
        <v>0</v>
      </c>
      <c r="X63" s="77">
        <v>18</v>
      </c>
      <c r="Y63" s="88">
        <f t="shared" si="94"/>
        <v>7.6340701482231976</v>
      </c>
      <c r="Z63" s="89" t="str">
        <f t="shared" si="4"/>
        <v>Ok</v>
      </c>
      <c r="AA63" s="80">
        <f t="shared" si="79"/>
        <v>-222.31006837765008</v>
      </c>
      <c r="AB63" s="80">
        <f t="shared" si="95"/>
        <v>12.832139193839847</v>
      </c>
      <c r="AC63" s="89" t="str">
        <f t="shared" si="81"/>
        <v>Not Ok</v>
      </c>
      <c r="AD63" s="85">
        <f t="shared" si="96"/>
        <v>7.7111819679022194E-3</v>
      </c>
      <c r="AE63" s="85">
        <f t="shared" si="5"/>
        <v>1.9281988961466403E-2</v>
      </c>
      <c r="AF63" s="60" t="str">
        <f t="shared" si="97"/>
        <v>Ok</v>
      </c>
      <c r="AG63" s="77">
        <v>8</v>
      </c>
      <c r="AH63" s="76">
        <v>3</v>
      </c>
      <c r="AI63" s="76">
        <v>100</v>
      </c>
      <c r="AJ63" s="60">
        <f t="shared" si="6"/>
        <v>10.048000000000002</v>
      </c>
      <c r="AK63" s="60" t="str">
        <f t="shared" si="7"/>
        <v>OK</v>
      </c>
      <c r="AL63" s="109">
        <f t="shared" si="8"/>
        <v>210</v>
      </c>
      <c r="AT63" s="133" t="str">
        <f t="shared" si="9"/>
        <v>need</v>
      </c>
      <c r="AV63" s="61">
        <f t="shared" si="18"/>
        <v>427.48200000000003</v>
      </c>
      <c r="AW63" s="61" t="str">
        <f t="shared" si="19"/>
        <v>OK</v>
      </c>
      <c r="AX63" s="63">
        <f t="shared" si="20"/>
        <v>489.6764399999999</v>
      </c>
      <c r="AY63" s="63">
        <f t="shared" si="21"/>
        <v>190.5</v>
      </c>
      <c r="AZ63" s="63">
        <f t="shared" si="22"/>
        <v>333.60948616600797</v>
      </c>
      <c r="BA63" s="63">
        <f t="shared" si="74"/>
        <v>63.249999999999993</v>
      </c>
      <c r="BB63" s="63">
        <f t="shared" si="75"/>
        <v>316.512</v>
      </c>
      <c r="BC63" s="63" t="str">
        <f t="shared" si="76"/>
        <v>OK</v>
      </c>
      <c r="BD63" s="63">
        <f t="shared" si="23"/>
        <v>481.73160939893228</v>
      </c>
      <c r="BE63" s="63">
        <f t="shared" si="24"/>
        <v>331.42580399999997</v>
      </c>
      <c r="BF63" s="63">
        <f t="shared" si="25"/>
        <v>235.03280399999994</v>
      </c>
      <c r="BG63" s="63">
        <f t="shared" si="26"/>
        <v>348.26410074964832</v>
      </c>
      <c r="BH63" s="63">
        <f t="shared" si="27"/>
        <v>229.08310799999998</v>
      </c>
      <c r="BI63" s="63">
        <f t="shared" si="28"/>
        <v>229.08310799999998</v>
      </c>
      <c r="BJ63" s="63">
        <f t="shared" si="29"/>
        <v>229.08310799999998</v>
      </c>
      <c r="BK63" s="63" t="str">
        <f t="shared" si="30"/>
        <v>OK</v>
      </c>
      <c r="BL63" s="63">
        <f t="shared" si="31"/>
        <v>228.6</v>
      </c>
      <c r="BM63" s="63">
        <f t="shared" si="32"/>
        <v>381</v>
      </c>
      <c r="BN63" s="63">
        <f t="shared" si="33"/>
        <v>762</v>
      </c>
      <c r="BO63" s="63">
        <f t="shared" si="34"/>
        <v>1143</v>
      </c>
      <c r="BP63" s="63">
        <f t="shared" si="35"/>
        <v>48.196499999999993</v>
      </c>
      <c r="BQ63" s="63">
        <f t="shared" si="77"/>
        <v>304.74965745415722</v>
      </c>
      <c r="BR63" s="63" t="str">
        <f t="shared" si="78"/>
        <v>OK</v>
      </c>
      <c r="BW63" s="70">
        <f t="shared" si="10"/>
        <v>37.02600000000001</v>
      </c>
    </row>
    <row r="64" spans="4:104">
      <c r="D64" s="178"/>
      <c r="E64" s="178"/>
      <c r="F64" s="67" t="s">
        <v>15</v>
      </c>
      <c r="G64" s="78">
        <v>220</v>
      </c>
      <c r="H64" s="78">
        <v>450</v>
      </c>
      <c r="I64" s="79">
        <f t="shared" si="72"/>
        <v>71</v>
      </c>
      <c r="J64" s="80">
        <f t="shared" si="91"/>
        <v>379</v>
      </c>
      <c r="K64" s="81">
        <v>-295</v>
      </c>
      <c r="L64" s="81">
        <v>119</v>
      </c>
      <c r="M64" s="81">
        <v>119</v>
      </c>
      <c r="N64" s="82">
        <f t="shared" si="0"/>
        <v>0.92290081203955754</v>
      </c>
      <c r="O64" s="82" t="e">
        <f t="shared" si="92"/>
        <v>#NUM!</v>
      </c>
      <c r="P64" s="82" t="e">
        <f t="shared" si="93"/>
        <v>#NUM!</v>
      </c>
      <c r="Q64" s="83" t="e">
        <f t="shared" si="1"/>
        <v>#NUM!</v>
      </c>
      <c r="R64" s="84" t="e">
        <f t="shared" si="2"/>
        <v>#NUM!</v>
      </c>
      <c r="S64" s="131" t="e">
        <f t="shared" si="14"/>
        <v>#NUM!</v>
      </c>
      <c r="T64" s="86">
        <v>5</v>
      </c>
      <c r="U64" s="77">
        <v>22</v>
      </c>
      <c r="V64" s="87" t="str">
        <f t="shared" si="3"/>
        <v>+</v>
      </c>
      <c r="W64" s="86">
        <v>0</v>
      </c>
      <c r="X64" s="77">
        <v>18</v>
      </c>
      <c r="Y64" s="88">
        <f t="shared" si="94"/>
        <v>19.006635554218249</v>
      </c>
      <c r="Z64" s="89" t="e">
        <f t="shared" si="4"/>
        <v>#NUM!</v>
      </c>
      <c r="AA64" s="80">
        <f t="shared" si="79"/>
        <v>148.61612305909199</v>
      </c>
      <c r="AB64" s="80">
        <f t="shared" si="95"/>
        <v>253.55687606945168</v>
      </c>
      <c r="AC64" s="89" t="str">
        <f t="shared" si="81"/>
        <v>Not Ok</v>
      </c>
      <c r="AD64" s="85">
        <f t="shared" si="96"/>
        <v>1.9198621771937624E-2</v>
      </c>
      <c r="AE64" s="85">
        <f t="shared" si="5"/>
        <v>1.9281988961466403E-2</v>
      </c>
      <c r="AF64" s="60" t="str">
        <f t="shared" si="97"/>
        <v>Ok</v>
      </c>
      <c r="AG64" s="77">
        <v>8</v>
      </c>
      <c r="AH64" s="76">
        <v>3</v>
      </c>
      <c r="AI64" s="76">
        <v>100</v>
      </c>
      <c r="AJ64" s="60">
        <f t="shared" si="6"/>
        <v>10.048000000000002</v>
      </c>
      <c r="AK64" s="60" t="str">
        <f t="shared" si="7"/>
        <v>OK</v>
      </c>
      <c r="AL64" s="109">
        <f t="shared" si="8"/>
        <v>210</v>
      </c>
      <c r="AT64" s="133" t="str">
        <f t="shared" si="9"/>
        <v>need</v>
      </c>
      <c r="AV64" s="61">
        <f t="shared" si="18"/>
        <v>425.238</v>
      </c>
      <c r="AW64" s="61" t="str">
        <f t="shared" si="19"/>
        <v>OK</v>
      </c>
      <c r="AX64" s="63">
        <f t="shared" si="20"/>
        <v>305.38800840336125</v>
      </c>
      <c r="AY64" s="63">
        <f t="shared" si="21"/>
        <v>189.5</v>
      </c>
      <c r="AZ64" s="63">
        <f t="shared" si="22"/>
        <v>333.60948616600797</v>
      </c>
      <c r="BA64" s="63">
        <f t="shared" si="74"/>
        <v>63.249999999999993</v>
      </c>
      <c r="BB64" s="63">
        <f t="shared" si="75"/>
        <v>316.512</v>
      </c>
      <c r="BC64" s="63" t="str">
        <f t="shared" si="76"/>
        <v>OK</v>
      </c>
      <c r="BD64" s="63">
        <f t="shared" si="23"/>
        <v>479.20283454644448</v>
      </c>
      <c r="BE64" s="63">
        <f t="shared" si="24"/>
        <v>329.686036</v>
      </c>
      <c r="BF64" s="63">
        <f t="shared" si="25"/>
        <v>233.79903599999997</v>
      </c>
      <c r="BG64" s="63">
        <f t="shared" si="26"/>
        <v>346.43594274046376</v>
      </c>
      <c r="BH64" s="63">
        <f t="shared" si="27"/>
        <v>227.880572</v>
      </c>
      <c r="BI64" s="63">
        <f t="shared" si="28"/>
        <v>227.880572</v>
      </c>
      <c r="BJ64" s="63">
        <f t="shared" si="29"/>
        <v>227.880572</v>
      </c>
      <c r="BK64" s="63" t="str">
        <f t="shared" si="30"/>
        <v>OK</v>
      </c>
      <c r="BL64" s="63">
        <f t="shared" si="31"/>
        <v>227.4</v>
      </c>
      <c r="BM64" s="63">
        <f t="shared" si="32"/>
        <v>379</v>
      </c>
      <c r="BN64" s="63">
        <f t="shared" si="33"/>
        <v>758</v>
      </c>
      <c r="BO64" s="63">
        <f t="shared" si="34"/>
        <v>1137</v>
      </c>
      <c r="BP64" s="63">
        <f t="shared" si="35"/>
        <v>47.943499999999993</v>
      </c>
      <c r="BQ64" s="63">
        <f t="shared" si="77"/>
        <v>136.84353465741944</v>
      </c>
      <c r="BR64" s="63" t="str">
        <f t="shared" si="78"/>
        <v>OK</v>
      </c>
      <c r="BW64" s="70">
        <f t="shared" si="10"/>
        <v>37.02600000000001</v>
      </c>
    </row>
    <row r="65" spans="4:104">
      <c r="D65" s="179" t="s">
        <v>234</v>
      </c>
      <c r="E65" s="179" t="s">
        <v>232</v>
      </c>
      <c r="F65" s="91" t="s">
        <v>15</v>
      </c>
      <c r="G65" s="78">
        <v>220</v>
      </c>
      <c r="H65" s="78">
        <v>450</v>
      </c>
      <c r="I65" s="92">
        <f t="shared" si="72"/>
        <v>71</v>
      </c>
      <c r="J65" s="93">
        <f t="shared" si="91"/>
        <v>379</v>
      </c>
      <c r="K65" s="94">
        <v>-218</v>
      </c>
      <c r="L65" s="94">
        <v>97</v>
      </c>
      <c r="M65" s="94">
        <v>97</v>
      </c>
      <c r="N65" s="95">
        <f t="shared" si="0"/>
        <v>0.68200805771058826</v>
      </c>
      <c r="O65" s="95" t="e">
        <f t="shared" si="92"/>
        <v>#NUM!</v>
      </c>
      <c r="P65" s="95" t="e">
        <f t="shared" si="93"/>
        <v>#NUM!</v>
      </c>
      <c r="Q65" s="96" t="e">
        <f t="shared" si="1"/>
        <v>#NUM!</v>
      </c>
      <c r="R65" s="97" t="e">
        <f t="shared" si="2"/>
        <v>#NUM!</v>
      </c>
      <c r="S65" s="131" t="e">
        <f t="shared" si="14"/>
        <v>#NUM!</v>
      </c>
      <c r="T65" s="99">
        <v>3</v>
      </c>
      <c r="U65" s="100">
        <v>22</v>
      </c>
      <c r="V65" s="101" t="str">
        <f t="shared" si="3"/>
        <v>+</v>
      </c>
      <c r="W65" s="99">
        <v>0</v>
      </c>
      <c r="X65" s="100">
        <v>18</v>
      </c>
      <c r="Y65" s="102">
        <f t="shared" si="94"/>
        <v>11.40398133253095</v>
      </c>
      <c r="Z65" s="103" t="e">
        <f t="shared" si="4"/>
        <v>#NUM!</v>
      </c>
      <c r="AA65" s="93">
        <f t="shared" si="79"/>
        <v>73.69394531855805</v>
      </c>
      <c r="AB65" s="93">
        <f t="shared" si="95"/>
        <v>159.05549976525933</v>
      </c>
      <c r="AC65" s="89" t="str">
        <f t="shared" si="81"/>
        <v>Not Ok</v>
      </c>
      <c r="AD65" s="98">
        <f t="shared" si="96"/>
        <v>1.1519173063162576E-2</v>
      </c>
      <c r="AE65" s="98">
        <f t="shared" si="5"/>
        <v>1.9281988961466403E-2</v>
      </c>
      <c r="AF65" s="104" t="str">
        <f t="shared" si="97"/>
        <v>Ok</v>
      </c>
      <c r="AG65" s="100">
        <v>8</v>
      </c>
      <c r="AH65" s="105">
        <v>2</v>
      </c>
      <c r="AI65" s="105">
        <v>100</v>
      </c>
      <c r="AJ65" s="104">
        <f t="shared" si="6"/>
        <v>10.048000000000002</v>
      </c>
      <c r="AK65" s="60" t="str">
        <f t="shared" si="7"/>
        <v>OK</v>
      </c>
      <c r="AL65" s="109">
        <f t="shared" si="8"/>
        <v>210</v>
      </c>
      <c r="AT65" s="133" t="str">
        <f t="shared" si="9"/>
        <v>need</v>
      </c>
      <c r="AV65" s="61">
        <f t="shared" si="18"/>
        <v>425.238</v>
      </c>
      <c r="AW65" s="61" t="str">
        <f t="shared" si="19"/>
        <v>OK</v>
      </c>
      <c r="AX65" s="63">
        <f t="shared" si="20"/>
        <v>374.65126804123702</v>
      </c>
      <c r="AY65" s="63">
        <f t="shared" si="21"/>
        <v>189.5</v>
      </c>
      <c r="AZ65" s="63">
        <f t="shared" si="22"/>
        <v>333.60948616600797</v>
      </c>
      <c r="BA65" s="63">
        <f t="shared" si="74"/>
        <v>63.249999999999993</v>
      </c>
      <c r="BB65" s="63">
        <f t="shared" si="75"/>
        <v>211.00799999999998</v>
      </c>
      <c r="BC65" s="63" t="str">
        <f t="shared" si="76"/>
        <v>OK</v>
      </c>
      <c r="BD65" s="63">
        <f t="shared" si="23"/>
        <v>586.90121396707013</v>
      </c>
      <c r="BE65" s="63">
        <f t="shared" si="24"/>
        <v>299.69652400000001</v>
      </c>
      <c r="BF65" s="63">
        <f t="shared" si="25"/>
        <v>203.80952399999995</v>
      </c>
      <c r="BG65" s="63">
        <f t="shared" si="26"/>
        <v>282.86376275806208</v>
      </c>
      <c r="BH65" s="63">
        <f t="shared" si="27"/>
        <v>167.90154799999996</v>
      </c>
      <c r="BI65" s="63">
        <f t="shared" si="28"/>
        <v>167.90154799999996</v>
      </c>
      <c r="BJ65" s="63">
        <f t="shared" si="29"/>
        <v>167.90154799999996</v>
      </c>
      <c r="BK65" s="63" t="str">
        <f t="shared" si="30"/>
        <v>OK</v>
      </c>
      <c r="BL65" s="63">
        <f t="shared" si="31"/>
        <v>227.4</v>
      </c>
      <c r="BM65" s="63">
        <f t="shared" si="32"/>
        <v>379</v>
      </c>
      <c r="BN65" s="63">
        <f t="shared" si="33"/>
        <v>758</v>
      </c>
      <c r="BO65" s="63">
        <f t="shared" si="34"/>
        <v>1137</v>
      </c>
      <c r="BP65" s="63">
        <f t="shared" si="35"/>
        <v>47.943499999999993</v>
      </c>
      <c r="BQ65" s="63">
        <f t="shared" si="77"/>
        <v>304.74965745415722</v>
      </c>
      <c r="BR65" s="63" t="str">
        <f t="shared" si="78"/>
        <v>OK</v>
      </c>
      <c r="BW65" s="70">
        <f t="shared" si="10"/>
        <v>37.02600000000001</v>
      </c>
    </row>
    <row r="66" spans="4:104">
      <c r="D66" s="180"/>
      <c r="E66" s="180"/>
      <c r="F66" s="106" t="s">
        <v>16</v>
      </c>
      <c r="G66" s="78">
        <v>220</v>
      </c>
      <c r="H66" s="78">
        <v>450</v>
      </c>
      <c r="I66" s="92">
        <f t="shared" si="72"/>
        <v>69</v>
      </c>
      <c r="J66" s="93">
        <f t="shared" si="91"/>
        <v>381</v>
      </c>
      <c r="K66" s="94">
        <v>111</v>
      </c>
      <c r="L66" s="94">
        <v>40</v>
      </c>
      <c r="M66" s="94">
        <v>40</v>
      </c>
      <c r="N66" s="95">
        <f t="shared" si="0"/>
        <v>0.34362476789783786</v>
      </c>
      <c r="O66" s="95">
        <f t="shared" si="92"/>
        <v>0.441</v>
      </c>
      <c r="P66" s="95">
        <f t="shared" si="93"/>
        <v>0.77949999999999997</v>
      </c>
      <c r="Q66" s="96" t="str">
        <f t="shared" si="1"/>
        <v>Ok</v>
      </c>
      <c r="R66" s="97">
        <f t="shared" si="2"/>
        <v>8.5919675205050492</v>
      </c>
      <c r="S66" s="131">
        <f t="shared" si="14"/>
        <v>1.0250498115610891E-2</v>
      </c>
      <c r="T66" s="99">
        <v>3</v>
      </c>
      <c r="U66" s="100">
        <v>18</v>
      </c>
      <c r="V66" s="101" t="str">
        <f t="shared" si="3"/>
        <v>+</v>
      </c>
      <c r="W66" s="99">
        <v>0</v>
      </c>
      <c r="X66" s="100">
        <v>18</v>
      </c>
      <c r="Y66" s="102">
        <f t="shared" si="94"/>
        <v>7.6340701482231976</v>
      </c>
      <c r="Z66" s="103" t="str">
        <f t="shared" si="4"/>
        <v>Not Ok</v>
      </c>
      <c r="AA66" s="93">
        <f t="shared" si="79"/>
        <v>-73.69394531855805</v>
      </c>
      <c r="AB66" s="93">
        <f t="shared" si="95"/>
        <v>85.259488332435055</v>
      </c>
      <c r="AC66" s="89" t="str">
        <f t="shared" si="81"/>
        <v>Not Ok</v>
      </c>
      <c r="AD66" s="98">
        <f t="shared" si="96"/>
        <v>7.7111819679022194E-3</v>
      </c>
      <c r="AE66" s="98">
        <f t="shared" si="5"/>
        <v>1.9281988961466403E-2</v>
      </c>
      <c r="AF66" s="104" t="str">
        <f t="shared" si="97"/>
        <v>Ok</v>
      </c>
      <c r="AG66" s="100">
        <v>8</v>
      </c>
      <c r="AH66" s="105">
        <v>2</v>
      </c>
      <c r="AI66" s="105">
        <v>100</v>
      </c>
      <c r="AJ66" s="104">
        <f t="shared" si="6"/>
        <v>10.048000000000002</v>
      </c>
      <c r="AK66" s="60" t="str">
        <f t="shared" si="7"/>
        <v>OK</v>
      </c>
      <c r="AL66" s="109">
        <f t="shared" si="8"/>
        <v>210</v>
      </c>
      <c r="AT66" s="133" t="str">
        <f t="shared" si="9"/>
        <v>no need</v>
      </c>
      <c r="AV66" s="61">
        <f t="shared" si="18"/>
        <v>427.48200000000003</v>
      </c>
      <c r="AW66" s="61" t="str">
        <f t="shared" si="19"/>
        <v>OK</v>
      </c>
      <c r="AX66" s="63">
        <f t="shared" si="20"/>
        <v>918.14332499999978</v>
      </c>
      <c r="AY66" s="63">
        <f t="shared" si="21"/>
        <v>190.5</v>
      </c>
      <c r="AZ66" s="63">
        <f t="shared" si="22"/>
        <v>333.60948616600797</v>
      </c>
      <c r="BA66" s="63">
        <f t="shared" si="74"/>
        <v>63.249999999999993</v>
      </c>
      <c r="BB66" s="63">
        <f t="shared" si="75"/>
        <v>211.00799999999998</v>
      </c>
      <c r="BC66" s="63" t="str">
        <f t="shared" si="76"/>
        <v>OK</v>
      </c>
      <c r="BD66" s="63">
        <f t="shared" si="23"/>
        <v>589.9983179985586</v>
      </c>
      <c r="BE66" s="63">
        <f t="shared" si="24"/>
        <v>301.27803599999999</v>
      </c>
      <c r="BF66" s="63">
        <f t="shared" si="25"/>
        <v>204.88503599999996</v>
      </c>
      <c r="BG66" s="63">
        <f t="shared" si="26"/>
        <v>284.35644752195691</v>
      </c>
      <c r="BH66" s="63">
        <f t="shared" si="27"/>
        <v>168.78757199999998</v>
      </c>
      <c r="BI66" s="63">
        <f t="shared" si="28"/>
        <v>168.78757199999998</v>
      </c>
      <c r="BJ66" s="63">
        <f t="shared" si="29"/>
        <v>168.78757199999998</v>
      </c>
      <c r="BK66" s="63" t="str">
        <f t="shared" si="30"/>
        <v>OK</v>
      </c>
      <c r="BL66" s="63">
        <f t="shared" si="31"/>
        <v>228.6</v>
      </c>
      <c r="BM66" s="63">
        <f t="shared" si="32"/>
        <v>381</v>
      </c>
      <c r="BN66" s="63">
        <f t="shared" si="33"/>
        <v>762</v>
      </c>
      <c r="BO66" s="63">
        <f t="shared" si="34"/>
        <v>1143</v>
      </c>
      <c r="BP66" s="63">
        <f t="shared" si="35"/>
        <v>48.196499999999993</v>
      </c>
      <c r="BQ66" s="63">
        <f t="shared" si="77"/>
        <v>184.36526447889435</v>
      </c>
      <c r="BR66" s="63" t="str">
        <f t="shared" si="78"/>
        <v>OK</v>
      </c>
      <c r="BW66" s="70">
        <f t="shared" si="10"/>
        <v>37.02600000000001</v>
      </c>
    </row>
    <row r="67" spans="4:104">
      <c r="D67" s="181"/>
      <c r="E67" s="181"/>
      <c r="F67" s="91" t="s">
        <v>15</v>
      </c>
      <c r="G67" s="78">
        <v>220</v>
      </c>
      <c r="H67" s="78">
        <v>450</v>
      </c>
      <c r="I67" s="92">
        <f t="shared" si="72"/>
        <v>71</v>
      </c>
      <c r="J67" s="93">
        <f t="shared" si="91"/>
        <v>379</v>
      </c>
      <c r="K67" s="94">
        <v>-207</v>
      </c>
      <c r="L67" s="94">
        <v>75</v>
      </c>
      <c r="M67" s="94">
        <v>75</v>
      </c>
      <c r="N67" s="95">
        <f t="shared" si="0"/>
        <v>0.6475948070921641</v>
      </c>
      <c r="O67" s="95" t="e">
        <f t="shared" si="92"/>
        <v>#NUM!</v>
      </c>
      <c r="P67" s="95" t="e">
        <f t="shared" si="93"/>
        <v>#NUM!</v>
      </c>
      <c r="Q67" s="96" t="e">
        <f t="shared" si="1"/>
        <v>#NUM!</v>
      </c>
      <c r="R67" s="97" t="e">
        <f t="shared" si="2"/>
        <v>#NUM!</v>
      </c>
      <c r="S67" s="131" t="e">
        <f t="shared" si="14"/>
        <v>#NUM!</v>
      </c>
      <c r="T67" s="99">
        <v>3</v>
      </c>
      <c r="U67" s="100">
        <v>22</v>
      </c>
      <c r="V67" s="101" t="str">
        <f t="shared" si="3"/>
        <v>+</v>
      </c>
      <c r="W67" s="99">
        <v>0</v>
      </c>
      <c r="X67" s="100">
        <v>18</v>
      </c>
      <c r="Y67" s="102">
        <f t="shared" si="94"/>
        <v>11.40398133253095</v>
      </c>
      <c r="Z67" s="103" t="e">
        <f t="shared" si="4"/>
        <v>#NUM!</v>
      </c>
      <c r="AA67" s="93">
        <f t="shared" si="79"/>
        <v>73.69394531855805</v>
      </c>
      <c r="AB67" s="93">
        <f t="shared" si="95"/>
        <v>152.67952437746331</v>
      </c>
      <c r="AC67" s="89" t="str">
        <f t="shared" si="81"/>
        <v>Not Ok</v>
      </c>
      <c r="AD67" s="98">
        <f t="shared" si="96"/>
        <v>1.1519173063162576E-2</v>
      </c>
      <c r="AE67" s="98">
        <f t="shared" si="5"/>
        <v>1.9281988961466403E-2</v>
      </c>
      <c r="AF67" s="104" t="str">
        <f t="shared" si="97"/>
        <v>Ok</v>
      </c>
      <c r="AG67" s="100">
        <v>8</v>
      </c>
      <c r="AH67" s="105">
        <v>2</v>
      </c>
      <c r="AI67" s="105">
        <v>100</v>
      </c>
      <c r="AJ67" s="104">
        <f t="shared" si="6"/>
        <v>10.048000000000002</v>
      </c>
      <c r="AK67" s="60" t="str">
        <f t="shared" si="7"/>
        <v>OK</v>
      </c>
      <c r="AL67" s="109">
        <f t="shared" si="8"/>
        <v>210</v>
      </c>
      <c r="AT67" s="133" t="str">
        <f t="shared" si="9"/>
        <v>need</v>
      </c>
      <c r="AV67" s="61">
        <f t="shared" si="18"/>
        <v>425.238</v>
      </c>
      <c r="AW67" s="61" t="str">
        <f t="shared" si="19"/>
        <v>OK</v>
      </c>
      <c r="AX67" s="63">
        <f t="shared" si="20"/>
        <v>484.54897333333321</v>
      </c>
      <c r="AY67" s="63">
        <f t="shared" si="21"/>
        <v>189.5</v>
      </c>
      <c r="AZ67" s="63">
        <f t="shared" si="22"/>
        <v>333.60948616600797</v>
      </c>
      <c r="BA67" s="63">
        <f t="shared" si="74"/>
        <v>63.249999999999993</v>
      </c>
      <c r="BB67" s="63">
        <f t="shared" si="75"/>
        <v>211.00799999999998</v>
      </c>
      <c r="BC67" s="63" t="str">
        <f t="shared" si="76"/>
        <v>OK</v>
      </c>
      <c r="BD67" s="63">
        <f t="shared" si="23"/>
        <v>586.90121396707013</v>
      </c>
      <c r="BE67" s="63">
        <f t="shared" si="24"/>
        <v>299.69652400000001</v>
      </c>
      <c r="BF67" s="63">
        <f t="shared" si="25"/>
        <v>203.80952399999995</v>
      </c>
      <c r="BG67" s="63">
        <f t="shared" si="26"/>
        <v>282.86376275806208</v>
      </c>
      <c r="BH67" s="63">
        <f t="shared" si="27"/>
        <v>167.90154799999996</v>
      </c>
      <c r="BI67" s="63">
        <f t="shared" si="28"/>
        <v>167.90154799999996</v>
      </c>
      <c r="BJ67" s="63">
        <f t="shared" si="29"/>
        <v>167.90154799999996</v>
      </c>
      <c r="BK67" s="63" t="str">
        <f t="shared" si="30"/>
        <v>OK</v>
      </c>
      <c r="BL67" s="63">
        <f t="shared" si="31"/>
        <v>227.4</v>
      </c>
      <c r="BM67" s="63">
        <f t="shared" si="32"/>
        <v>379</v>
      </c>
      <c r="BN67" s="63">
        <f t="shared" si="33"/>
        <v>758</v>
      </c>
      <c r="BO67" s="63">
        <f t="shared" si="34"/>
        <v>1137</v>
      </c>
      <c r="BP67" s="63">
        <f t="shared" si="35"/>
        <v>47.943499999999993</v>
      </c>
      <c r="BQ67" s="63">
        <f t="shared" si="77"/>
        <v>129.18600158541943</v>
      </c>
      <c r="BR67" s="63" t="str">
        <f t="shared" si="78"/>
        <v>OK</v>
      </c>
      <c r="BW67" s="70">
        <f t="shared" si="10"/>
        <v>37.02600000000001</v>
      </c>
    </row>
    <row r="68" spans="4:104" ht="12.75" customHeight="1">
      <c r="D68" s="176" t="s">
        <v>234</v>
      </c>
      <c r="E68" s="176" t="s">
        <v>233</v>
      </c>
      <c r="F68" s="67" t="s">
        <v>15</v>
      </c>
      <c r="G68" s="78">
        <v>220</v>
      </c>
      <c r="H68" s="78">
        <v>450</v>
      </c>
      <c r="I68" s="79">
        <f t="shared" si="72"/>
        <v>88.2</v>
      </c>
      <c r="J68" s="80">
        <f>H68-I68</f>
        <v>361.8</v>
      </c>
      <c r="K68" s="81">
        <v>-233</v>
      </c>
      <c r="L68" s="81">
        <v>100</v>
      </c>
      <c r="M68" s="81">
        <v>100</v>
      </c>
      <c r="N68" s="82">
        <f t="shared" si="0"/>
        <v>0.79988992753294175</v>
      </c>
      <c r="O68" s="82" t="e">
        <f>ROUND(1-SQRT(1-2*N68),3)</f>
        <v>#NUM!</v>
      </c>
      <c r="P68" s="82" t="e">
        <f>1-0.5*O68</f>
        <v>#NUM!</v>
      </c>
      <c r="Q68" s="83" t="e">
        <f t="shared" si="1"/>
        <v>#NUM!</v>
      </c>
      <c r="R68" s="84" t="e">
        <f t="shared" si="2"/>
        <v>#NUM!</v>
      </c>
      <c r="S68" s="131" t="e">
        <f t="shared" si="14"/>
        <v>#NUM!</v>
      </c>
      <c r="T68" s="86">
        <v>3</v>
      </c>
      <c r="U68" s="77">
        <v>18</v>
      </c>
      <c r="V68" s="87" t="str">
        <f t="shared" si="3"/>
        <v>+</v>
      </c>
      <c r="W68" s="86">
        <v>2</v>
      </c>
      <c r="X68" s="77">
        <v>18</v>
      </c>
      <c r="Y68" s="88">
        <f>(T68*PI()*U68^2/4+W68*PI()*X68^2/4)/100</f>
        <v>12.723450247038663</v>
      </c>
      <c r="Z68" s="89" t="e">
        <f t="shared" si="4"/>
        <v>#NUM!</v>
      </c>
      <c r="AA68" s="90">
        <f t="shared" si="79"/>
        <v>99.486826180053384</v>
      </c>
      <c r="AB68" s="80">
        <f>($J$11*$H$4*G68*ABS(AA68)*(J68-0.5*ABS(AA68))+$H$6*(T69*PI()*U69^2/4)*(J68-I69))*10^-6</f>
        <v>166.31921902977876</v>
      </c>
      <c r="AC68" s="89" t="str">
        <f t="shared" si="81"/>
        <v>Not Ok</v>
      </c>
      <c r="AD68" s="85">
        <f>(Y68*100)/(G68*H68)</f>
        <v>1.28519699465037E-2</v>
      </c>
      <c r="AE68" s="85">
        <f t="shared" si="5"/>
        <v>1.9281988961466403E-2</v>
      </c>
      <c r="AF68" s="60" t="str">
        <f>IF(AND(AD68&gt;0.1%,AD68&lt;AE68),"Ok","No-Ok")</f>
        <v>Ok</v>
      </c>
      <c r="AG68" s="77">
        <v>8</v>
      </c>
      <c r="AH68" s="76">
        <v>2</v>
      </c>
      <c r="AI68" s="76">
        <v>100</v>
      </c>
      <c r="AJ68" s="60">
        <f t="shared" si="6"/>
        <v>10.048000000000002</v>
      </c>
      <c r="AK68" s="60" t="str">
        <f t="shared" si="7"/>
        <v>OK</v>
      </c>
      <c r="AL68" s="109">
        <f t="shared" si="8"/>
        <v>210</v>
      </c>
      <c r="AT68" s="133" t="str">
        <f t="shared" si="9"/>
        <v>need</v>
      </c>
      <c r="AV68" s="61">
        <f t="shared" si="18"/>
        <v>405.93960000000004</v>
      </c>
      <c r="AW68" s="61" t="str">
        <f t="shared" si="19"/>
        <v>OK</v>
      </c>
      <c r="AX68" s="63">
        <f t="shared" si="20"/>
        <v>331.17507719999998</v>
      </c>
      <c r="AY68" s="63">
        <f t="shared" si="21"/>
        <v>180.9</v>
      </c>
      <c r="AZ68" s="63">
        <f t="shared" si="22"/>
        <v>333.60948616600797</v>
      </c>
      <c r="BA68" s="63">
        <f t="shared" si="74"/>
        <v>63.249999999999993</v>
      </c>
      <c r="BB68" s="63">
        <f t="shared" si="75"/>
        <v>211.00799999999998</v>
      </c>
      <c r="BC68" s="63" t="str">
        <f t="shared" si="76"/>
        <v>OK</v>
      </c>
      <c r="BD68" s="63">
        <f t="shared" si="23"/>
        <v>560.26611929626904</v>
      </c>
      <c r="BE68" s="63">
        <f t="shared" si="24"/>
        <v>286.09552080000003</v>
      </c>
      <c r="BF68" s="63">
        <f t="shared" si="25"/>
        <v>194.56012079999996</v>
      </c>
      <c r="BG68" s="63">
        <f t="shared" si="26"/>
        <v>270.02667378856694</v>
      </c>
      <c r="BH68" s="63">
        <f t="shared" si="27"/>
        <v>160.28174159999998</v>
      </c>
      <c r="BI68" s="63">
        <f t="shared" si="28"/>
        <v>160.28174159999998</v>
      </c>
      <c r="BJ68" s="63">
        <f t="shared" si="29"/>
        <v>160.28174159999998</v>
      </c>
      <c r="BK68" s="63" t="str">
        <f t="shared" si="30"/>
        <v>OK</v>
      </c>
      <c r="BL68" s="63">
        <f t="shared" si="31"/>
        <v>217.08</v>
      </c>
      <c r="BM68" s="63">
        <f t="shared" si="32"/>
        <v>361.8</v>
      </c>
      <c r="BN68" s="63">
        <f t="shared" si="33"/>
        <v>723.6</v>
      </c>
      <c r="BO68" s="63">
        <f t="shared" si="34"/>
        <v>1085.4000000000001</v>
      </c>
      <c r="BP68" s="63">
        <f t="shared" si="35"/>
        <v>45.767699999999998</v>
      </c>
      <c r="BQ68" s="63">
        <f t="shared" si="77"/>
        <v>184.36526447889435</v>
      </c>
      <c r="BR68" s="63" t="str">
        <f t="shared" si="78"/>
        <v>OK</v>
      </c>
      <c r="BU68" s="70">
        <v>12</v>
      </c>
      <c r="BV68" s="70">
        <v>1</v>
      </c>
      <c r="BW68" s="70">
        <f t="shared" si="10"/>
        <v>37.02600000000001</v>
      </c>
      <c r="BX68" s="70" t="str">
        <f>IF(BW68&gt;AT68,"OK","NOT OK")</f>
        <v>NOT OK</v>
      </c>
      <c r="BY68" s="70">
        <f>G68</f>
        <v>220</v>
      </c>
      <c r="BZ68" s="70">
        <f>H68</f>
        <v>450</v>
      </c>
      <c r="CA68" s="70">
        <f>BY68/(2*BZ68+BY68)</f>
        <v>0.19642857142857142</v>
      </c>
      <c r="CB68" s="27" t="e">
        <f>O55*AJ68/10</f>
        <v>#NUM!</v>
      </c>
      <c r="CE68" s="71" t="e">
        <f>CB68*CA68*BY68*BZ68/1000000</f>
        <v>#NUM!</v>
      </c>
      <c r="CF68" s="71"/>
      <c r="CG68" s="71"/>
      <c r="CH68" s="70">
        <f>T69*3.14*U69^2/4</f>
        <v>763.02</v>
      </c>
      <c r="CI68" s="71">
        <f>0.5*$H$6*CH68*BZ68/1000000</f>
        <v>74.6805825</v>
      </c>
      <c r="CJ68" s="70" t="e">
        <f>IF((CI68+CE68)&gt;AT68,"OK","NOT OK")</f>
        <v>#NUM!</v>
      </c>
      <c r="CK68" s="27">
        <f>BZ68</f>
        <v>450</v>
      </c>
      <c r="CL68" s="27">
        <f>BY68</f>
        <v>220</v>
      </c>
      <c r="CM68" s="74">
        <f>CK68/(2*CL68+CK68)</f>
        <v>0.5056179775280899</v>
      </c>
      <c r="CN68" s="74"/>
      <c r="CO68" s="27" t="e">
        <f>O55*AJ68/10</f>
        <v>#NUM!</v>
      </c>
      <c r="CP68" s="74" t="e">
        <f>CO68*CM68*CK68*CL68/1000000</f>
        <v>#NUM!</v>
      </c>
      <c r="CQ68" s="27">
        <f>3.14*U69^2/4+3.14*U68^2/4+BV68*3.14*BU68^2/4</f>
        <v>621.72</v>
      </c>
      <c r="CT68" s="71">
        <f>0.5*$H$6*CQ68*CL68/1000000</f>
        <v>29.749302</v>
      </c>
      <c r="CU68" s="71"/>
      <c r="CV68" s="70" t="e">
        <f>IF((CT68+CP68)&gt;U68,"OK","NOT OK")</f>
        <v>#NUM!</v>
      </c>
      <c r="CW68" s="74" t="e">
        <f>MIN((CP68+CT68),(CE68+CI68))</f>
        <v>#NUM!</v>
      </c>
      <c r="CX68" s="71">
        <f>AB68</f>
        <v>166.31921902977876</v>
      </c>
      <c r="CY68" s="71">
        <f>(BG68+BO68*J68)/1000</f>
        <v>392.96774667378861</v>
      </c>
      <c r="CZ68" s="62" t="e">
        <f>CW68*SQRT(1-(K68/CX68)^1)</f>
        <v>#NUM!</v>
      </c>
    </row>
    <row r="69" spans="4:104">
      <c r="D69" s="177"/>
      <c r="E69" s="177"/>
      <c r="F69" s="68" t="s">
        <v>16</v>
      </c>
      <c r="G69" s="78">
        <v>220</v>
      </c>
      <c r="H69" s="78">
        <v>450</v>
      </c>
      <c r="I69" s="79">
        <f t="shared" si="72"/>
        <v>69</v>
      </c>
      <c r="J69" s="80">
        <f t="shared" ref="J69:J79" si="98">H69-I69</f>
        <v>381</v>
      </c>
      <c r="K69" s="81">
        <v>102</v>
      </c>
      <c r="L69" s="81">
        <v>70</v>
      </c>
      <c r="M69" s="81">
        <v>70</v>
      </c>
      <c r="N69" s="82">
        <f t="shared" si="0"/>
        <v>0.31576330023044563</v>
      </c>
      <c r="O69" s="82">
        <f t="shared" ref="O69:O79" si="99">ROUND(1-SQRT(1-2*N69),3)</f>
        <v>0.39300000000000002</v>
      </c>
      <c r="P69" s="82">
        <f t="shared" ref="P69:P79" si="100">1-0.5*O69</f>
        <v>0.80349999999999999</v>
      </c>
      <c r="Q69" s="83" t="str">
        <f t="shared" si="1"/>
        <v>Ok</v>
      </c>
      <c r="R69" s="84">
        <f t="shared" si="2"/>
        <v>7.6594936072233084</v>
      </c>
      <c r="S69" s="131">
        <f t="shared" si="14"/>
        <v>9.1380262553368025E-3</v>
      </c>
      <c r="T69" s="86">
        <v>3</v>
      </c>
      <c r="U69" s="77">
        <v>18</v>
      </c>
      <c r="V69" s="87" t="str">
        <f t="shared" si="3"/>
        <v>+</v>
      </c>
      <c r="W69" s="86">
        <v>0</v>
      </c>
      <c r="X69" s="77">
        <v>18</v>
      </c>
      <c r="Y69" s="88">
        <f t="shared" ref="Y69:Y79" si="101">(T69*PI()*U69^2/4+W69*PI()*X69^2/4)/100</f>
        <v>7.6340701482231976</v>
      </c>
      <c r="Z69" s="89" t="str">
        <f t="shared" si="4"/>
        <v>Not Ok</v>
      </c>
      <c r="AA69" s="80">
        <f t="shared" si="79"/>
        <v>0</v>
      </c>
      <c r="AB69" s="80">
        <f t="shared" ref="AB69:AB79" si="102">($J$11*$H$4*G69*AA69*(J69-0.5*AA69)+$H$6*(T70*PI()*U70^2/4)*(J69-I70))*10^-6</f>
        <v>97.233624663889231</v>
      </c>
      <c r="AC69" s="89" t="str">
        <f t="shared" si="81"/>
        <v>Not Ok</v>
      </c>
      <c r="AD69" s="85">
        <f t="shared" ref="AD69:AD79" si="103">(Y69*100)/(G69*H69)</f>
        <v>7.7111819679022194E-3</v>
      </c>
      <c r="AE69" s="85">
        <f t="shared" si="5"/>
        <v>1.9281988961466403E-2</v>
      </c>
      <c r="AF69" s="60" t="str">
        <f t="shared" ref="AF69:AF79" si="104">IF(AND(AD69&gt;0.1%,AD69&lt;AE69),"Ok","No-Ok")</f>
        <v>Ok</v>
      </c>
      <c r="AG69" s="77">
        <v>8</v>
      </c>
      <c r="AH69" s="76">
        <v>2</v>
      </c>
      <c r="AI69" s="76">
        <v>100</v>
      </c>
      <c r="AJ69" s="60">
        <f t="shared" si="6"/>
        <v>10.048000000000002</v>
      </c>
      <c r="AK69" s="60" t="str">
        <f t="shared" si="7"/>
        <v>OK</v>
      </c>
      <c r="AL69" s="109">
        <f t="shared" si="8"/>
        <v>210</v>
      </c>
      <c r="AT69" s="133" t="str">
        <f t="shared" si="9"/>
        <v>need</v>
      </c>
      <c r="AV69" s="61">
        <f t="shared" si="18"/>
        <v>427.48200000000003</v>
      </c>
      <c r="AW69" s="61" t="str">
        <f t="shared" si="19"/>
        <v>OK</v>
      </c>
      <c r="AX69" s="63">
        <f t="shared" si="20"/>
        <v>524.65332857142846</v>
      </c>
      <c r="AY69" s="63">
        <f t="shared" si="21"/>
        <v>190.5</v>
      </c>
      <c r="AZ69" s="63">
        <f t="shared" si="22"/>
        <v>333.60948616600797</v>
      </c>
      <c r="BA69" s="63">
        <f t="shared" si="74"/>
        <v>63.249999999999993</v>
      </c>
      <c r="BB69" s="63">
        <f t="shared" si="75"/>
        <v>211.00799999999998</v>
      </c>
      <c r="BC69" s="63" t="str">
        <f t="shared" si="76"/>
        <v>OK</v>
      </c>
      <c r="BD69" s="63">
        <f t="shared" si="23"/>
        <v>589.9983179985586</v>
      </c>
      <c r="BE69" s="63">
        <f t="shared" si="24"/>
        <v>301.27803599999999</v>
      </c>
      <c r="BF69" s="63">
        <f t="shared" si="25"/>
        <v>204.88503599999996</v>
      </c>
      <c r="BG69" s="63">
        <f t="shared" si="26"/>
        <v>284.35644752195691</v>
      </c>
      <c r="BH69" s="63">
        <f t="shared" si="27"/>
        <v>168.78757199999998</v>
      </c>
      <c r="BI69" s="63">
        <f t="shared" si="28"/>
        <v>168.78757199999998</v>
      </c>
      <c r="BJ69" s="63">
        <f t="shared" si="29"/>
        <v>168.78757199999998</v>
      </c>
      <c r="BK69" s="63" t="str">
        <f t="shared" si="30"/>
        <v>OK</v>
      </c>
      <c r="BL69" s="63">
        <f t="shared" si="31"/>
        <v>228.6</v>
      </c>
      <c r="BM69" s="63">
        <f t="shared" si="32"/>
        <v>381</v>
      </c>
      <c r="BN69" s="63">
        <f t="shared" si="33"/>
        <v>762</v>
      </c>
      <c r="BO69" s="63">
        <f t="shared" si="34"/>
        <v>1143</v>
      </c>
      <c r="BP69" s="63">
        <f t="shared" si="35"/>
        <v>48.196499999999993</v>
      </c>
      <c r="BQ69" s="63">
        <f t="shared" si="77"/>
        <v>194.03132273763174</v>
      </c>
      <c r="BR69" s="63" t="str">
        <f t="shared" si="78"/>
        <v>OK</v>
      </c>
      <c r="BW69" s="70">
        <f t="shared" si="10"/>
        <v>37.02600000000001</v>
      </c>
    </row>
    <row r="70" spans="4:104">
      <c r="D70" s="178"/>
      <c r="E70" s="178"/>
      <c r="F70" s="67" t="s">
        <v>15</v>
      </c>
      <c r="G70" s="78">
        <v>220</v>
      </c>
      <c r="H70" s="78">
        <v>450</v>
      </c>
      <c r="I70" s="79">
        <f t="shared" si="72"/>
        <v>88.2</v>
      </c>
      <c r="J70" s="80">
        <f t="shared" si="98"/>
        <v>361.8</v>
      </c>
      <c r="K70" s="81">
        <v>-140</v>
      </c>
      <c r="L70" s="81">
        <v>92</v>
      </c>
      <c r="M70" s="81">
        <v>92</v>
      </c>
      <c r="N70" s="82">
        <f t="shared" si="0"/>
        <v>0.48062055731593067</v>
      </c>
      <c r="O70" s="82">
        <f t="shared" si="99"/>
        <v>0.80300000000000005</v>
      </c>
      <c r="P70" s="82">
        <f t="shared" si="100"/>
        <v>0.59850000000000003</v>
      </c>
      <c r="Q70" s="83" t="str">
        <f t="shared" si="1"/>
        <v>Not Ok</v>
      </c>
      <c r="R70" s="84">
        <f t="shared" si="2"/>
        <v>14.862985751635865</v>
      </c>
      <c r="S70" s="131">
        <f t="shared" si="14"/>
        <v>1.8673030996075007E-2</v>
      </c>
      <c r="T70" s="86">
        <v>3</v>
      </c>
      <c r="U70" s="77">
        <v>18</v>
      </c>
      <c r="V70" s="87" t="str">
        <f t="shared" si="3"/>
        <v>+</v>
      </c>
      <c r="W70" s="86">
        <v>2</v>
      </c>
      <c r="X70" s="77">
        <v>18</v>
      </c>
      <c r="Y70" s="88">
        <f t="shared" si="101"/>
        <v>12.723450247038663</v>
      </c>
      <c r="Z70" s="89" t="str">
        <f t="shared" si="4"/>
        <v>Not Ok</v>
      </c>
      <c r="AA70" s="80">
        <f t="shared" si="79"/>
        <v>-39.149908450483927</v>
      </c>
      <c r="AB70" s="80">
        <f t="shared" si="102"/>
        <v>134.48106360706907</v>
      </c>
      <c r="AC70" s="89" t="str">
        <f t="shared" si="81"/>
        <v>Not Ok</v>
      </c>
      <c r="AD70" s="85">
        <f t="shared" si="103"/>
        <v>1.28519699465037E-2</v>
      </c>
      <c r="AE70" s="85">
        <f t="shared" si="5"/>
        <v>1.9281988961466403E-2</v>
      </c>
      <c r="AF70" s="60" t="str">
        <f t="shared" si="104"/>
        <v>Ok</v>
      </c>
      <c r="AG70" s="77">
        <v>8</v>
      </c>
      <c r="AH70" s="76">
        <v>2</v>
      </c>
      <c r="AI70" s="76">
        <v>100</v>
      </c>
      <c r="AJ70" s="60">
        <f t="shared" si="6"/>
        <v>10.048000000000002</v>
      </c>
      <c r="AK70" s="60" t="str">
        <f t="shared" si="7"/>
        <v>OK</v>
      </c>
      <c r="AL70" s="109">
        <f t="shared" si="8"/>
        <v>210</v>
      </c>
      <c r="AT70" s="133" t="str">
        <f t="shared" si="9"/>
        <v>need</v>
      </c>
      <c r="AV70" s="61">
        <f t="shared" si="18"/>
        <v>405.93960000000004</v>
      </c>
      <c r="AW70" s="61" t="str">
        <f t="shared" si="19"/>
        <v>OK</v>
      </c>
      <c r="AX70" s="63">
        <f t="shared" si="20"/>
        <v>359.97291000000001</v>
      </c>
      <c r="AY70" s="63">
        <f t="shared" si="21"/>
        <v>180.9</v>
      </c>
      <c r="AZ70" s="63">
        <f t="shared" si="22"/>
        <v>333.60948616600797</v>
      </c>
      <c r="BA70" s="63">
        <f t="shared" si="74"/>
        <v>63.249999999999993</v>
      </c>
      <c r="BB70" s="63">
        <f t="shared" si="75"/>
        <v>211.00799999999998</v>
      </c>
      <c r="BC70" s="63" t="str">
        <f t="shared" si="76"/>
        <v>OK</v>
      </c>
      <c r="BD70" s="63">
        <f t="shared" si="23"/>
        <v>560.26611929626904</v>
      </c>
      <c r="BE70" s="63">
        <f t="shared" si="24"/>
        <v>286.09552080000003</v>
      </c>
      <c r="BF70" s="63">
        <f t="shared" si="25"/>
        <v>194.56012079999996</v>
      </c>
      <c r="BG70" s="63">
        <f t="shared" si="26"/>
        <v>270.02667378856694</v>
      </c>
      <c r="BH70" s="63">
        <f t="shared" si="27"/>
        <v>160.28174159999998</v>
      </c>
      <c r="BI70" s="63">
        <f t="shared" si="28"/>
        <v>160.28174159999998</v>
      </c>
      <c r="BJ70" s="63">
        <f t="shared" si="29"/>
        <v>160.28174159999998</v>
      </c>
      <c r="BK70" s="63" t="str">
        <f t="shared" si="30"/>
        <v>OK</v>
      </c>
      <c r="BL70" s="63">
        <f t="shared" si="31"/>
        <v>217.08</v>
      </c>
      <c r="BM70" s="63">
        <f t="shared" si="32"/>
        <v>361.8</v>
      </c>
      <c r="BN70" s="63">
        <f t="shared" si="33"/>
        <v>723.6</v>
      </c>
      <c r="BO70" s="63">
        <f t="shared" si="34"/>
        <v>1085.4000000000001</v>
      </c>
      <c r="BP70" s="63">
        <f t="shared" si="35"/>
        <v>45.767699999999998</v>
      </c>
      <c r="BQ70" s="63">
        <f t="shared" si="77"/>
        <v>129.18600158541943</v>
      </c>
      <c r="BR70" s="63" t="str">
        <f t="shared" si="78"/>
        <v>OK</v>
      </c>
      <c r="BW70" s="70">
        <f t="shared" si="10"/>
        <v>37.02600000000001</v>
      </c>
    </row>
    <row r="71" spans="4:104">
      <c r="D71" s="179" t="s">
        <v>118</v>
      </c>
      <c r="E71" s="179" t="s">
        <v>235</v>
      </c>
      <c r="F71" s="91" t="s">
        <v>15</v>
      </c>
      <c r="G71" s="78">
        <v>220</v>
      </c>
      <c r="H71" s="78">
        <v>450</v>
      </c>
      <c r="I71" s="92">
        <f t="shared" si="72"/>
        <v>100</v>
      </c>
      <c r="J71" s="93">
        <f t="shared" si="98"/>
        <v>350</v>
      </c>
      <c r="K71" s="94">
        <v>-573</v>
      </c>
      <c r="L71" s="94">
        <v>273</v>
      </c>
      <c r="M71" s="94">
        <v>273</v>
      </c>
      <c r="N71" s="95">
        <f t="shared" si="0"/>
        <v>2.1019867075936562</v>
      </c>
      <c r="O71" s="95" t="e">
        <f t="shared" si="99"/>
        <v>#NUM!</v>
      </c>
      <c r="P71" s="95" t="e">
        <f t="shared" si="100"/>
        <v>#NUM!</v>
      </c>
      <c r="Q71" s="96" t="e">
        <f t="shared" si="1"/>
        <v>#NUM!</v>
      </c>
      <c r="R71" s="97" t="e">
        <f t="shared" si="2"/>
        <v>#NUM!</v>
      </c>
      <c r="S71" s="131" t="e">
        <f t="shared" si="14"/>
        <v>#NUM!</v>
      </c>
      <c r="T71" s="99">
        <v>3</v>
      </c>
      <c r="U71" s="100">
        <v>25</v>
      </c>
      <c r="V71" s="101" t="str">
        <f t="shared" si="3"/>
        <v>+</v>
      </c>
      <c r="W71" s="99">
        <v>3</v>
      </c>
      <c r="X71" s="100">
        <v>25</v>
      </c>
      <c r="Y71" s="102">
        <f t="shared" si="101"/>
        <v>29.45243112740431</v>
      </c>
      <c r="Z71" s="103" t="e">
        <f t="shared" si="4"/>
        <v>#NUM!</v>
      </c>
      <c r="AA71" s="93">
        <f t="shared" si="79"/>
        <v>287.86697390061732</v>
      </c>
      <c r="AB71" s="93">
        <f t="shared" si="102"/>
        <v>295.6750666147903</v>
      </c>
      <c r="AC71" s="89" t="str">
        <f t="shared" si="81"/>
        <v>Not Ok</v>
      </c>
      <c r="AD71" s="98">
        <f t="shared" si="103"/>
        <v>2.9749930431721527E-2</v>
      </c>
      <c r="AE71" s="98">
        <f t="shared" si="5"/>
        <v>1.9281988961466403E-2</v>
      </c>
      <c r="AF71" s="104" t="str">
        <f t="shared" si="104"/>
        <v>No-Ok</v>
      </c>
      <c r="AG71" s="100">
        <v>8</v>
      </c>
      <c r="AH71" s="105">
        <v>2</v>
      </c>
      <c r="AI71" s="105">
        <v>100</v>
      </c>
      <c r="AJ71" s="104">
        <f t="shared" si="6"/>
        <v>10.048000000000002</v>
      </c>
      <c r="AK71" s="60" t="str">
        <f t="shared" si="7"/>
        <v>NOT OK</v>
      </c>
      <c r="AL71" s="109">
        <f t="shared" si="8"/>
        <v>210</v>
      </c>
      <c r="AT71" s="133" t="str">
        <f t="shared" si="9"/>
        <v>need</v>
      </c>
      <c r="AV71" s="61">
        <f t="shared" si="18"/>
        <v>392.7</v>
      </c>
      <c r="AW71" s="61" t="str">
        <f t="shared" si="19"/>
        <v>OK</v>
      </c>
      <c r="AX71" s="63">
        <f t="shared" si="20"/>
        <v>113.52564102564101</v>
      </c>
      <c r="AY71" s="63">
        <f t="shared" si="21"/>
        <v>175</v>
      </c>
      <c r="AZ71" s="63">
        <f t="shared" si="22"/>
        <v>333.60948616600797</v>
      </c>
      <c r="BA71" s="63">
        <f t="shared" si="74"/>
        <v>63.249999999999993</v>
      </c>
      <c r="BB71" s="63">
        <f t="shared" si="75"/>
        <v>211.00799999999998</v>
      </c>
      <c r="BC71" s="63" t="str">
        <f t="shared" si="76"/>
        <v>OK</v>
      </c>
      <c r="BD71" s="63">
        <f t="shared" si="23"/>
        <v>541.99320551048697</v>
      </c>
      <c r="BE71" s="63">
        <f t="shared" si="24"/>
        <v>276.76459999999997</v>
      </c>
      <c r="BF71" s="63">
        <f t="shared" si="25"/>
        <v>188.21459999999996</v>
      </c>
      <c r="BG71" s="63">
        <f t="shared" si="26"/>
        <v>261.21983368158772</v>
      </c>
      <c r="BH71" s="63">
        <f t="shared" si="27"/>
        <v>155.05419999999998</v>
      </c>
      <c r="BI71" s="63">
        <f t="shared" si="28"/>
        <v>155.05419999999998</v>
      </c>
      <c r="BJ71" s="63">
        <f t="shared" si="29"/>
        <v>155.05419999999998</v>
      </c>
      <c r="BK71" s="63" t="str">
        <f t="shared" si="30"/>
        <v>NOT OK</v>
      </c>
      <c r="BL71" s="63">
        <f t="shared" si="31"/>
        <v>210</v>
      </c>
      <c r="BM71" s="63">
        <f t="shared" si="32"/>
        <v>350</v>
      </c>
      <c r="BN71" s="63">
        <f t="shared" si="33"/>
        <v>700</v>
      </c>
      <c r="BO71" s="63">
        <f t="shared" si="34"/>
        <v>1050</v>
      </c>
      <c r="BP71" s="63">
        <f t="shared" si="35"/>
        <v>44.274999999999991</v>
      </c>
      <c r="BQ71" s="63">
        <f t="shared" si="77"/>
        <v>194.03132273763174</v>
      </c>
      <c r="BR71" s="63" t="str">
        <f t="shared" si="78"/>
        <v>OK</v>
      </c>
      <c r="BW71" s="70">
        <f t="shared" si="10"/>
        <v>37.02600000000001</v>
      </c>
    </row>
    <row r="72" spans="4:104">
      <c r="D72" s="180"/>
      <c r="E72" s="180"/>
      <c r="F72" s="106" t="s">
        <v>16</v>
      </c>
      <c r="G72" s="78">
        <v>220</v>
      </c>
      <c r="H72" s="78">
        <v>450</v>
      </c>
      <c r="I72" s="92">
        <f t="shared" si="72"/>
        <v>94.5</v>
      </c>
      <c r="J72" s="93">
        <f t="shared" si="98"/>
        <v>355.5</v>
      </c>
      <c r="K72" s="94">
        <v>553</v>
      </c>
      <c r="L72" s="94">
        <v>256</v>
      </c>
      <c r="M72" s="94">
        <v>256</v>
      </c>
      <c r="N72" s="95">
        <f t="shared" si="0"/>
        <v>1.966334292265409</v>
      </c>
      <c r="O72" s="95" t="e">
        <f t="shared" si="99"/>
        <v>#NUM!</v>
      </c>
      <c r="P72" s="95" t="e">
        <f t="shared" si="100"/>
        <v>#NUM!</v>
      </c>
      <c r="Q72" s="96" t="e">
        <f t="shared" si="1"/>
        <v>#NUM!</v>
      </c>
      <c r="R72" s="97" t="e">
        <f t="shared" si="2"/>
        <v>#NUM!</v>
      </c>
      <c r="S72" s="131" t="e">
        <f t="shared" si="14"/>
        <v>#NUM!</v>
      </c>
      <c r="T72" s="99">
        <v>3</v>
      </c>
      <c r="U72" s="100">
        <v>25</v>
      </c>
      <c r="V72" s="101" t="str">
        <f t="shared" si="3"/>
        <v>+</v>
      </c>
      <c r="W72" s="99">
        <v>2</v>
      </c>
      <c r="X72" s="100">
        <v>25</v>
      </c>
      <c r="Y72" s="102">
        <f t="shared" si="101"/>
        <v>24.543692606170261</v>
      </c>
      <c r="Z72" s="103" t="e">
        <f t="shared" si="4"/>
        <v>#NUM!</v>
      </c>
      <c r="AA72" s="93">
        <f t="shared" si="79"/>
        <v>191.91131593374487</v>
      </c>
      <c r="AB72" s="93">
        <f t="shared" si="102"/>
        <v>274.51191327332998</v>
      </c>
      <c r="AC72" s="89" t="str">
        <f t="shared" si="81"/>
        <v>Not Ok</v>
      </c>
      <c r="AD72" s="98">
        <f t="shared" si="103"/>
        <v>2.4791608693101274E-2</v>
      </c>
      <c r="AE72" s="98">
        <f t="shared" si="5"/>
        <v>1.9281988961466403E-2</v>
      </c>
      <c r="AF72" s="104" t="str">
        <f t="shared" si="104"/>
        <v>No-Ok</v>
      </c>
      <c r="AG72" s="100">
        <v>8</v>
      </c>
      <c r="AH72" s="105">
        <v>2</v>
      </c>
      <c r="AI72" s="105">
        <v>100</v>
      </c>
      <c r="AJ72" s="104">
        <f t="shared" si="6"/>
        <v>10.048000000000002</v>
      </c>
      <c r="AK72" s="60" t="str">
        <f t="shared" si="7"/>
        <v>NOT OK</v>
      </c>
      <c r="AL72" s="109">
        <f t="shared" si="8"/>
        <v>210</v>
      </c>
      <c r="AT72" s="133" t="str">
        <f t="shared" si="9"/>
        <v>need</v>
      </c>
      <c r="AV72" s="61">
        <f t="shared" si="18"/>
        <v>398.87099999999998</v>
      </c>
      <c r="AW72" s="61" t="str">
        <f t="shared" si="19"/>
        <v>OK</v>
      </c>
      <c r="AX72" s="63">
        <f t="shared" si="20"/>
        <v>124.89923144531248</v>
      </c>
      <c r="AY72" s="63">
        <f t="shared" si="21"/>
        <v>177.75</v>
      </c>
      <c r="AZ72" s="63">
        <f t="shared" si="22"/>
        <v>333.60948616600797</v>
      </c>
      <c r="BA72" s="63">
        <f t="shared" si="74"/>
        <v>63.249999999999993</v>
      </c>
      <c r="BB72" s="63">
        <f t="shared" si="75"/>
        <v>211.00799999999998</v>
      </c>
      <c r="BC72" s="63" t="str">
        <f t="shared" si="76"/>
        <v>OK</v>
      </c>
      <c r="BD72" s="63">
        <f t="shared" si="23"/>
        <v>550.51024159708027</v>
      </c>
      <c r="BE72" s="63">
        <f t="shared" si="24"/>
        <v>281.11375799999996</v>
      </c>
      <c r="BF72" s="63">
        <f t="shared" si="25"/>
        <v>191.17225799999994</v>
      </c>
      <c r="BG72" s="63">
        <f t="shared" si="26"/>
        <v>265.32471678229837</v>
      </c>
      <c r="BH72" s="63">
        <f t="shared" si="27"/>
        <v>157.49076599999995</v>
      </c>
      <c r="BI72" s="63">
        <f t="shared" si="28"/>
        <v>157.49076599999995</v>
      </c>
      <c r="BJ72" s="63">
        <f t="shared" si="29"/>
        <v>157.49076599999995</v>
      </c>
      <c r="BK72" s="63" t="str">
        <f t="shared" si="30"/>
        <v>NOT OK</v>
      </c>
      <c r="BL72" s="63">
        <f t="shared" si="31"/>
        <v>213.29999999999998</v>
      </c>
      <c r="BM72" s="63">
        <f t="shared" si="32"/>
        <v>355.5</v>
      </c>
      <c r="BN72" s="63">
        <f t="shared" si="33"/>
        <v>711</v>
      </c>
      <c r="BO72" s="63">
        <f t="shared" si="34"/>
        <v>1066.5</v>
      </c>
      <c r="BP72" s="63">
        <f t="shared" si="35"/>
        <v>44.970749999999995</v>
      </c>
      <c r="BQ72" s="63">
        <f t="shared" si="77"/>
        <v>416.49617752325759</v>
      </c>
      <c r="BR72" s="63" t="str">
        <f t="shared" si="78"/>
        <v>OK</v>
      </c>
      <c r="BW72" s="70">
        <f t="shared" si="10"/>
        <v>37.02600000000001</v>
      </c>
    </row>
    <row r="73" spans="4:104">
      <c r="D73" s="181"/>
      <c r="E73" s="181"/>
      <c r="F73" s="91" t="s">
        <v>15</v>
      </c>
      <c r="G73" s="78">
        <v>220</v>
      </c>
      <c r="H73" s="78">
        <v>450</v>
      </c>
      <c r="I73" s="92">
        <f t="shared" si="72"/>
        <v>100</v>
      </c>
      <c r="J73" s="93">
        <f t="shared" si="98"/>
        <v>350</v>
      </c>
      <c r="K73" s="94">
        <v>-637</v>
      </c>
      <c r="L73" s="94">
        <v>298</v>
      </c>
      <c r="M73" s="94">
        <v>298</v>
      </c>
      <c r="N73" s="95">
        <f t="shared" si="0"/>
        <v>2.3367635824383228</v>
      </c>
      <c r="O73" s="95" t="e">
        <f t="shared" si="99"/>
        <v>#NUM!</v>
      </c>
      <c r="P73" s="95" t="e">
        <f t="shared" si="100"/>
        <v>#NUM!</v>
      </c>
      <c r="Q73" s="96" t="e">
        <f t="shared" si="1"/>
        <v>#NUM!</v>
      </c>
      <c r="R73" s="97" t="e">
        <f t="shared" si="2"/>
        <v>#NUM!</v>
      </c>
      <c r="S73" s="131" t="e">
        <f t="shared" si="14"/>
        <v>#NUM!</v>
      </c>
      <c r="T73" s="99">
        <v>3</v>
      </c>
      <c r="U73" s="100">
        <v>25</v>
      </c>
      <c r="V73" s="101" t="str">
        <f t="shared" si="3"/>
        <v>+</v>
      </c>
      <c r="W73" s="99">
        <v>3</v>
      </c>
      <c r="X73" s="100">
        <v>25</v>
      </c>
      <c r="Y73" s="102">
        <f t="shared" si="101"/>
        <v>29.45243112740431</v>
      </c>
      <c r="Z73" s="103" t="e">
        <f t="shared" si="4"/>
        <v>#NUM!</v>
      </c>
      <c r="AA73" s="93">
        <f t="shared" si="79"/>
        <v>287.86697390061732</v>
      </c>
      <c r="AB73" s="93">
        <f t="shared" si="102"/>
        <v>289.62923919560944</v>
      </c>
      <c r="AC73" s="89" t="str">
        <f t="shared" si="81"/>
        <v>Not Ok</v>
      </c>
      <c r="AD73" s="98">
        <f t="shared" si="103"/>
        <v>2.9749930431721527E-2</v>
      </c>
      <c r="AE73" s="98">
        <f t="shared" si="5"/>
        <v>1.9281988961466403E-2</v>
      </c>
      <c r="AF73" s="104" t="str">
        <f t="shared" si="104"/>
        <v>No-Ok</v>
      </c>
      <c r="AG73" s="100">
        <v>8</v>
      </c>
      <c r="AH73" s="105">
        <v>2</v>
      </c>
      <c r="AI73" s="105">
        <v>100</v>
      </c>
      <c r="AJ73" s="104">
        <f t="shared" si="6"/>
        <v>10.048000000000002</v>
      </c>
      <c r="AK73" s="60" t="str">
        <f t="shared" si="7"/>
        <v>NOT OK</v>
      </c>
      <c r="AL73" s="109">
        <f t="shared" si="8"/>
        <v>210</v>
      </c>
      <c r="AT73" s="133" t="str">
        <f t="shared" si="9"/>
        <v>need</v>
      </c>
      <c r="AV73" s="61">
        <f t="shared" si="18"/>
        <v>392.7</v>
      </c>
      <c r="AW73" s="61" t="str">
        <f t="shared" si="19"/>
        <v>OK</v>
      </c>
      <c r="AX73" s="63">
        <f t="shared" si="20"/>
        <v>104.00167785234898</v>
      </c>
      <c r="AY73" s="63">
        <f t="shared" si="21"/>
        <v>175</v>
      </c>
      <c r="AZ73" s="63">
        <f t="shared" si="22"/>
        <v>333.60948616600797</v>
      </c>
      <c r="BA73" s="63">
        <f t="shared" si="74"/>
        <v>63.249999999999993</v>
      </c>
      <c r="BB73" s="63">
        <f t="shared" si="75"/>
        <v>211.00799999999998</v>
      </c>
      <c r="BC73" s="63" t="str">
        <f t="shared" si="76"/>
        <v>OK</v>
      </c>
      <c r="BD73" s="63">
        <f t="shared" si="23"/>
        <v>541.99320551048697</v>
      </c>
      <c r="BE73" s="63">
        <f t="shared" si="24"/>
        <v>276.76459999999997</v>
      </c>
      <c r="BF73" s="63">
        <f t="shared" si="25"/>
        <v>188.21459999999996</v>
      </c>
      <c r="BG73" s="63">
        <f t="shared" si="26"/>
        <v>261.21983368158772</v>
      </c>
      <c r="BH73" s="63">
        <f t="shared" si="27"/>
        <v>155.05419999999998</v>
      </c>
      <c r="BI73" s="63">
        <f t="shared" si="28"/>
        <v>155.05419999999998</v>
      </c>
      <c r="BJ73" s="63">
        <f t="shared" si="29"/>
        <v>155.05419999999998</v>
      </c>
      <c r="BK73" s="63" t="str">
        <f t="shared" si="30"/>
        <v>NOT OK</v>
      </c>
      <c r="BL73" s="63">
        <f t="shared" si="31"/>
        <v>210</v>
      </c>
      <c r="BM73" s="63">
        <f t="shared" si="32"/>
        <v>350</v>
      </c>
      <c r="BN73" s="63">
        <f t="shared" si="33"/>
        <v>700</v>
      </c>
      <c r="BO73" s="63">
        <f t="shared" si="34"/>
        <v>1050</v>
      </c>
      <c r="BP73" s="63">
        <f t="shared" si="35"/>
        <v>44.274999999999991</v>
      </c>
      <c r="BQ73" s="63">
        <f t="shared" si="77"/>
        <v>354.92844044247164</v>
      </c>
      <c r="BR73" s="63" t="str">
        <f t="shared" si="78"/>
        <v>NOT OK</v>
      </c>
      <c r="BW73" s="70">
        <f t="shared" si="10"/>
        <v>37.02600000000001</v>
      </c>
    </row>
    <row r="74" spans="4:104">
      <c r="D74" s="176" t="s">
        <v>119</v>
      </c>
      <c r="E74" s="176" t="s">
        <v>236</v>
      </c>
      <c r="F74" s="67" t="s">
        <v>15</v>
      </c>
      <c r="G74" s="78">
        <v>220</v>
      </c>
      <c r="H74" s="78">
        <v>450</v>
      </c>
      <c r="I74" s="79">
        <f t="shared" si="72"/>
        <v>103.93789921930448</v>
      </c>
      <c r="J74" s="80">
        <f t="shared" si="98"/>
        <v>346.06210078069552</v>
      </c>
      <c r="K74" s="81">
        <v>-379</v>
      </c>
      <c r="L74" s="81">
        <v>174</v>
      </c>
      <c r="M74" s="81">
        <v>174</v>
      </c>
      <c r="N74" s="82">
        <f t="shared" si="0"/>
        <v>1.4221406893124442</v>
      </c>
      <c r="O74" s="82" t="e">
        <f t="shared" si="99"/>
        <v>#NUM!</v>
      </c>
      <c r="P74" s="82" t="e">
        <f t="shared" si="100"/>
        <v>#NUM!</v>
      </c>
      <c r="Q74" s="83" t="e">
        <f t="shared" si="1"/>
        <v>#NUM!</v>
      </c>
      <c r="R74" s="84" t="e">
        <f t="shared" si="2"/>
        <v>#NUM!</v>
      </c>
      <c r="S74" s="131" t="e">
        <f t="shared" si="14"/>
        <v>#NUM!</v>
      </c>
      <c r="T74" s="86">
        <v>3</v>
      </c>
      <c r="U74" s="77">
        <v>25</v>
      </c>
      <c r="V74" s="87" t="str">
        <f t="shared" si="3"/>
        <v>+</v>
      </c>
      <c r="W74" s="86">
        <v>3</v>
      </c>
      <c r="X74" s="77">
        <v>28</v>
      </c>
      <c r="Y74" s="88">
        <f t="shared" si="101"/>
        <v>33.198780366810141</v>
      </c>
      <c r="Z74" s="89" t="e">
        <f t="shared" si="4"/>
        <v>#NUM!</v>
      </c>
      <c r="AA74" s="80">
        <f t="shared" si="79"/>
        <v>426.04312137291362</v>
      </c>
      <c r="AB74" s="80">
        <f t="shared" si="102"/>
        <v>252.2648557252987</v>
      </c>
      <c r="AC74" s="89" t="str">
        <f t="shared" si="81"/>
        <v>Not Ok</v>
      </c>
      <c r="AD74" s="85">
        <f t="shared" si="103"/>
        <v>3.3534121582636509E-2</v>
      </c>
      <c r="AE74" s="85">
        <f t="shared" si="5"/>
        <v>1.9281988961466403E-2</v>
      </c>
      <c r="AF74" s="60" t="str">
        <f t="shared" si="104"/>
        <v>No-Ok</v>
      </c>
      <c r="AG74" s="77">
        <v>8</v>
      </c>
      <c r="AH74" s="76">
        <v>2</v>
      </c>
      <c r="AI74" s="76">
        <v>100</v>
      </c>
      <c r="AJ74" s="60">
        <f t="shared" si="6"/>
        <v>10.048000000000002</v>
      </c>
      <c r="AK74" s="60" t="str">
        <f t="shared" si="7"/>
        <v>NOT OK</v>
      </c>
      <c r="AL74" s="109">
        <f t="shared" si="8"/>
        <v>210</v>
      </c>
      <c r="AT74" s="133" t="str">
        <f t="shared" si="9"/>
        <v>need</v>
      </c>
      <c r="AV74" s="61">
        <f t="shared" si="18"/>
        <v>388.28167707594037</v>
      </c>
      <c r="AW74" s="61" t="str">
        <f t="shared" si="19"/>
        <v>OK</v>
      </c>
      <c r="AX74" s="63">
        <f t="shared" si="20"/>
        <v>174.1323065056167</v>
      </c>
      <c r="AY74" s="63">
        <f t="shared" si="21"/>
        <v>173.03105039034776</v>
      </c>
      <c r="AZ74" s="63">
        <f t="shared" si="22"/>
        <v>333.60948616600797</v>
      </c>
      <c r="BA74" s="63">
        <f t="shared" si="74"/>
        <v>63.249999999999993</v>
      </c>
      <c r="BB74" s="63">
        <f t="shared" si="75"/>
        <v>211.00799999999998</v>
      </c>
      <c r="BC74" s="63" t="str">
        <f t="shared" si="76"/>
        <v>OK</v>
      </c>
      <c r="BD74" s="63">
        <f t="shared" si="23"/>
        <v>535.89516373663525</v>
      </c>
      <c r="BE74" s="63">
        <f t="shared" si="24"/>
        <v>273.65068256493964</v>
      </c>
      <c r="BF74" s="63">
        <f t="shared" si="25"/>
        <v>186.09697106742365</v>
      </c>
      <c r="BG74" s="63">
        <f t="shared" si="26"/>
        <v>258.28081259838319</v>
      </c>
      <c r="BH74" s="63">
        <f t="shared" si="27"/>
        <v>153.30966339105746</v>
      </c>
      <c r="BI74" s="63">
        <f t="shared" si="28"/>
        <v>153.30966339105746</v>
      </c>
      <c r="BJ74" s="63">
        <f t="shared" si="29"/>
        <v>153.30966339105746</v>
      </c>
      <c r="BK74" s="63" t="str">
        <f t="shared" si="30"/>
        <v>NOT OK</v>
      </c>
      <c r="BL74" s="63">
        <f t="shared" si="31"/>
        <v>207.63726046841731</v>
      </c>
      <c r="BM74" s="63">
        <f t="shared" si="32"/>
        <v>346.06210078069552</v>
      </c>
      <c r="BN74" s="63">
        <f t="shared" si="33"/>
        <v>692.12420156139103</v>
      </c>
      <c r="BO74" s="63">
        <f t="shared" si="34"/>
        <v>1038.1863023420865</v>
      </c>
      <c r="BP74" s="63">
        <f t="shared" si="35"/>
        <v>43.776855748757974</v>
      </c>
      <c r="BQ74" s="63">
        <f t="shared" si="77"/>
        <v>416.49617752325759</v>
      </c>
      <c r="BR74" s="63" t="str">
        <f t="shared" si="78"/>
        <v>OK</v>
      </c>
      <c r="BW74" s="70">
        <f t="shared" si="10"/>
        <v>37.02600000000001</v>
      </c>
    </row>
    <row r="75" spans="4:104">
      <c r="D75" s="177"/>
      <c r="E75" s="177"/>
      <c r="F75" s="68" t="s">
        <v>16</v>
      </c>
      <c r="G75" s="78">
        <v>220</v>
      </c>
      <c r="H75" s="78">
        <v>450</v>
      </c>
      <c r="I75" s="79">
        <f t="shared" si="72"/>
        <v>91.8</v>
      </c>
      <c r="J75" s="80">
        <f t="shared" si="98"/>
        <v>358.2</v>
      </c>
      <c r="K75" s="81">
        <v>304</v>
      </c>
      <c r="L75" s="81">
        <v>156</v>
      </c>
      <c r="M75" s="81">
        <v>156</v>
      </c>
      <c r="N75" s="82">
        <f t="shared" si="0"/>
        <v>1.0647161769689724</v>
      </c>
      <c r="O75" s="82" t="e">
        <f t="shared" si="99"/>
        <v>#NUM!</v>
      </c>
      <c r="P75" s="82" t="e">
        <f t="shared" si="100"/>
        <v>#NUM!</v>
      </c>
      <c r="Q75" s="83" t="e">
        <f t="shared" si="1"/>
        <v>#NUM!</v>
      </c>
      <c r="R75" s="84" t="e">
        <f t="shared" si="2"/>
        <v>#NUM!</v>
      </c>
      <c r="S75" s="131" t="e">
        <f t="shared" si="14"/>
        <v>#NUM!</v>
      </c>
      <c r="T75" s="86">
        <v>3</v>
      </c>
      <c r="U75" s="77">
        <v>22</v>
      </c>
      <c r="V75" s="87" t="str">
        <f t="shared" si="3"/>
        <v>+</v>
      </c>
      <c r="W75" s="86">
        <v>2</v>
      </c>
      <c r="X75" s="77">
        <v>22</v>
      </c>
      <c r="Y75" s="88">
        <f t="shared" si="101"/>
        <v>19.006635554218249</v>
      </c>
      <c r="Z75" s="89" t="e">
        <f t="shared" si="4"/>
        <v>#NUM!</v>
      </c>
      <c r="AA75" s="80">
        <f t="shared" si="79"/>
        <v>83.673333747112721</v>
      </c>
      <c r="AB75" s="80">
        <f t="shared" si="102"/>
        <v>221.78416019033014</v>
      </c>
      <c r="AC75" s="89" t="str">
        <f t="shared" si="81"/>
        <v>Not Ok</v>
      </c>
      <c r="AD75" s="85">
        <f t="shared" si="103"/>
        <v>1.9198621771937624E-2</v>
      </c>
      <c r="AE75" s="85">
        <f t="shared" si="5"/>
        <v>1.9281988961466403E-2</v>
      </c>
      <c r="AF75" s="60" t="str">
        <f t="shared" si="104"/>
        <v>Ok</v>
      </c>
      <c r="AG75" s="77">
        <v>8</v>
      </c>
      <c r="AH75" s="76">
        <v>2</v>
      </c>
      <c r="AI75" s="76">
        <v>100</v>
      </c>
      <c r="AJ75" s="60">
        <f t="shared" si="6"/>
        <v>10.048000000000002</v>
      </c>
      <c r="AK75" s="60" t="str">
        <f t="shared" si="7"/>
        <v>OK</v>
      </c>
      <c r="AL75" s="109">
        <f t="shared" si="8"/>
        <v>210</v>
      </c>
      <c r="AT75" s="133" t="str">
        <f t="shared" si="9"/>
        <v>need</v>
      </c>
      <c r="AV75" s="61">
        <f t="shared" si="18"/>
        <v>401.90039999999999</v>
      </c>
      <c r="AW75" s="61" t="str">
        <f t="shared" si="19"/>
        <v>OK</v>
      </c>
      <c r="AX75" s="63">
        <f t="shared" si="20"/>
        <v>208.08802384615382</v>
      </c>
      <c r="AY75" s="63">
        <f t="shared" si="21"/>
        <v>179.1</v>
      </c>
      <c r="AZ75" s="63">
        <f t="shared" si="22"/>
        <v>333.60948616600797</v>
      </c>
      <c r="BA75" s="63">
        <f t="shared" si="74"/>
        <v>63.249999999999993</v>
      </c>
      <c r="BB75" s="63">
        <f t="shared" si="75"/>
        <v>211.00799999999998</v>
      </c>
      <c r="BC75" s="63" t="str">
        <f t="shared" si="76"/>
        <v>OK</v>
      </c>
      <c r="BD75" s="63">
        <f t="shared" si="23"/>
        <v>554.69133203958972</v>
      </c>
      <c r="BE75" s="63">
        <f t="shared" si="24"/>
        <v>283.24879920000001</v>
      </c>
      <c r="BF75" s="63">
        <f t="shared" si="25"/>
        <v>192.62419919999994</v>
      </c>
      <c r="BG75" s="63">
        <f t="shared" si="26"/>
        <v>267.33984121355633</v>
      </c>
      <c r="BH75" s="63">
        <f t="shared" si="27"/>
        <v>158.68689839999996</v>
      </c>
      <c r="BI75" s="63">
        <f t="shared" si="28"/>
        <v>158.68689839999996</v>
      </c>
      <c r="BJ75" s="63">
        <f t="shared" si="29"/>
        <v>158.68689839999996</v>
      </c>
      <c r="BK75" s="63" t="str">
        <f t="shared" si="30"/>
        <v>OK</v>
      </c>
      <c r="BL75" s="63">
        <f t="shared" si="31"/>
        <v>214.92</v>
      </c>
      <c r="BM75" s="63">
        <f t="shared" si="32"/>
        <v>358.2</v>
      </c>
      <c r="BN75" s="63">
        <f t="shared" si="33"/>
        <v>716.4</v>
      </c>
      <c r="BO75" s="63">
        <f t="shared" si="34"/>
        <v>1074.5999999999999</v>
      </c>
      <c r="BP75" s="63">
        <f t="shared" si="35"/>
        <v>45.312299999999993</v>
      </c>
      <c r="BQ75" s="63">
        <f t="shared" si="77"/>
        <v>462.42312453064551</v>
      </c>
      <c r="BR75" s="63" t="str">
        <f t="shared" si="78"/>
        <v>OK</v>
      </c>
      <c r="BW75" s="70">
        <f t="shared" si="10"/>
        <v>37.02600000000001</v>
      </c>
    </row>
    <row r="76" spans="4:104">
      <c r="D76" s="178"/>
      <c r="E76" s="177"/>
      <c r="F76" s="67" t="s">
        <v>15</v>
      </c>
      <c r="G76" s="78">
        <v>220</v>
      </c>
      <c r="H76" s="78">
        <v>450</v>
      </c>
      <c r="I76" s="79">
        <f t="shared" si="72"/>
        <v>103.93789921930448</v>
      </c>
      <c r="J76" s="80">
        <f t="shared" si="98"/>
        <v>346.06210078069552</v>
      </c>
      <c r="K76" s="81">
        <v>-395</v>
      </c>
      <c r="L76" s="81">
        <v>178</v>
      </c>
      <c r="M76" s="81">
        <v>178</v>
      </c>
      <c r="N76" s="82">
        <f t="shared" si="0"/>
        <v>1.4821782909720727</v>
      </c>
      <c r="O76" s="82" t="e">
        <f t="shared" si="99"/>
        <v>#NUM!</v>
      </c>
      <c r="P76" s="82" t="e">
        <f t="shared" si="100"/>
        <v>#NUM!</v>
      </c>
      <c r="Q76" s="83" t="e">
        <f t="shared" si="1"/>
        <v>#NUM!</v>
      </c>
      <c r="R76" s="84" t="e">
        <f t="shared" si="2"/>
        <v>#NUM!</v>
      </c>
      <c r="S76" s="131" t="e">
        <f t="shared" si="14"/>
        <v>#NUM!</v>
      </c>
      <c r="T76" s="86">
        <v>3</v>
      </c>
      <c r="U76" s="77">
        <v>25</v>
      </c>
      <c r="V76" s="87" t="str">
        <f t="shared" si="3"/>
        <v>+</v>
      </c>
      <c r="W76" s="86">
        <v>3</v>
      </c>
      <c r="X76" s="77">
        <v>28</v>
      </c>
      <c r="Y76" s="88">
        <f t="shared" si="101"/>
        <v>33.198780366810141</v>
      </c>
      <c r="Z76" s="89" t="e">
        <f t="shared" si="4"/>
        <v>#NUM!</v>
      </c>
      <c r="AA76" s="80">
        <f t="shared" si="79"/>
        <v>361.10033206093436</v>
      </c>
      <c r="AB76" s="80">
        <f t="shared" si="102"/>
        <v>288.10063596985043</v>
      </c>
      <c r="AC76" s="89" t="str">
        <f t="shared" si="81"/>
        <v>Not Ok</v>
      </c>
      <c r="AD76" s="85">
        <f t="shared" si="103"/>
        <v>3.3534121582636509E-2</v>
      </c>
      <c r="AE76" s="85">
        <f t="shared" si="5"/>
        <v>1.9281988961466403E-2</v>
      </c>
      <c r="AF76" s="60" t="str">
        <f t="shared" si="104"/>
        <v>No-Ok</v>
      </c>
      <c r="AG76" s="77">
        <v>8</v>
      </c>
      <c r="AH76" s="76">
        <v>2</v>
      </c>
      <c r="AI76" s="76">
        <v>100</v>
      </c>
      <c r="AJ76" s="60">
        <f t="shared" si="6"/>
        <v>10.048000000000002</v>
      </c>
      <c r="AK76" s="60" t="str">
        <f t="shared" si="7"/>
        <v>NOT OK</v>
      </c>
      <c r="AL76" s="109">
        <f t="shared" si="8"/>
        <v>210</v>
      </c>
      <c r="AT76" s="133" t="str">
        <f t="shared" si="9"/>
        <v>need</v>
      </c>
      <c r="AV76" s="61">
        <f t="shared" si="18"/>
        <v>388.28167707594037</v>
      </c>
      <c r="AW76" s="61" t="str">
        <f t="shared" si="19"/>
        <v>OK</v>
      </c>
      <c r="AX76" s="63">
        <f t="shared" si="20"/>
        <v>170.21922096616464</v>
      </c>
      <c r="AY76" s="63">
        <f t="shared" si="21"/>
        <v>173.03105039034776</v>
      </c>
      <c r="AZ76" s="63">
        <f t="shared" si="22"/>
        <v>333.60948616600797</v>
      </c>
      <c r="BA76" s="63">
        <f t="shared" si="74"/>
        <v>63.249999999999993</v>
      </c>
      <c r="BB76" s="63">
        <f t="shared" si="75"/>
        <v>211.00799999999998</v>
      </c>
      <c r="BC76" s="63" t="str">
        <f t="shared" si="76"/>
        <v>OK</v>
      </c>
      <c r="BD76" s="63">
        <f t="shared" si="23"/>
        <v>535.89516373663525</v>
      </c>
      <c r="BE76" s="63">
        <f t="shared" si="24"/>
        <v>273.65068256493964</v>
      </c>
      <c r="BF76" s="63">
        <f t="shared" si="25"/>
        <v>186.09697106742365</v>
      </c>
      <c r="BG76" s="63">
        <f t="shared" si="26"/>
        <v>258.28081259838319</v>
      </c>
      <c r="BH76" s="63">
        <f t="shared" si="27"/>
        <v>153.30966339105746</v>
      </c>
      <c r="BI76" s="63">
        <f t="shared" si="28"/>
        <v>153.30966339105746</v>
      </c>
      <c r="BJ76" s="63">
        <f t="shared" si="29"/>
        <v>153.30966339105746</v>
      </c>
      <c r="BK76" s="63" t="str">
        <f t="shared" si="30"/>
        <v>NOT OK</v>
      </c>
      <c r="BL76" s="63">
        <f t="shared" si="31"/>
        <v>207.63726046841731</v>
      </c>
      <c r="BM76" s="63">
        <f t="shared" si="32"/>
        <v>346.06210078069552</v>
      </c>
      <c r="BN76" s="63">
        <f t="shared" si="33"/>
        <v>692.12420156139103</v>
      </c>
      <c r="BO76" s="63">
        <f t="shared" si="34"/>
        <v>1038.1863023420865</v>
      </c>
      <c r="BP76" s="63">
        <f t="shared" si="35"/>
        <v>43.776855748757974</v>
      </c>
      <c r="BQ76" s="63">
        <f t="shared" si="77"/>
        <v>280.07705094260621</v>
      </c>
      <c r="BR76" s="63" t="str">
        <f t="shared" si="78"/>
        <v>NOT OK</v>
      </c>
      <c r="BW76" s="70">
        <f t="shared" si="10"/>
        <v>37.02600000000001</v>
      </c>
    </row>
    <row r="77" spans="4:104">
      <c r="D77" s="179" t="s">
        <v>121</v>
      </c>
      <c r="E77" s="177"/>
      <c r="F77" s="91" t="s">
        <v>15</v>
      </c>
      <c r="G77" s="78">
        <v>220</v>
      </c>
      <c r="H77" s="78">
        <v>450</v>
      </c>
      <c r="I77" s="92">
        <f t="shared" si="72"/>
        <v>103.93789921930448</v>
      </c>
      <c r="J77" s="93">
        <f t="shared" si="98"/>
        <v>346.06210078069552</v>
      </c>
      <c r="K77" s="94">
        <v>-510</v>
      </c>
      <c r="L77" s="94">
        <v>200</v>
      </c>
      <c r="M77" s="94">
        <v>200</v>
      </c>
      <c r="N77" s="95">
        <f t="shared" si="0"/>
        <v>1.9136985529006507</v>
      </c>
      <c r="O77" s="95" t="e">
        <f t="shared" si="99"/>
        <v>#NUM!</v>
      </c>
      <c r="P77" s="95" t="e">
        <f t="shared" si="100"/>
        <v>#NUM!</v>
      </c>
      <c r="Q77" s="96" t="e">
        <f t="shared" si="1"/>
        <v>#NUM!</v>
      </c>
      <c r="R77" s="97" t="e">
        <f t="shared" si="2"/>
        <v>#NUM!</v>
      </c>
      <c r="S77" s="131" t="e">
        <f t="shared" si="14"/>
        <v>#NUM!</v>
      </c>
      <c r="T77" s="99">
        <v>3</v>
      </c>
      <c r="U77" s="100">
        <v>25</v>
      </c>
      <c r="V77" s="101" t="str">
        <f t="shared" si="3"/>
        <v>+</v>
      </c>
      <c r="W77" s="99">
        <v>3</v>
      </c>
      <c r="X77" s="100">
        <v>28</v>
      </c>
      <c r="Y77" s="102">
        <f t="shared" si="101"/>
        <v>33.198780366810141</v>
      </c>
      <c r="Z77" s="103" t="e">
        <f t="shared" si="4"/>
        <v>#NUM!</v>
      </c>
      <c r="AA77" s="93">
        <f t="shared" si="79"/>
        <v>426.04312137291362</v>
      </c>
      <c r="AB77" s="93">
        <f t="shared" si="102"/>
        <v>262.58317803497272</v>
      </c>
      <c r="AC77" s="89" t="str">
        <f t="shared" si="81"/>
        <v>Not Ok</v>
      </c>
      <c r="AD77" s="98">
        <f t="shared" si="103"/>
        <v>3.3534121582636509E-2</v>
      </c>
      <c r="AE77" s="98">
        <f t="shared" si="5"/>
        <v>1.9281988961466403E-2</v>
      </c>
      <c r="AF77" s="104" t="str">
        <f t="shared" si="104"/>
        <v>No-Ok</v>
      </c>
      <c r="AG77" s="100">
        <v>8</v>
      </c>
      <c r="AH77" s="105">
        <v>2</v>
      </c>
      <c r="AI77" s="105">
        <v>100</v>
      </c>
      <c r="AJ77" s="104">
        <f t="shared" si="6"/>
        <v>10.048000000000002</v>
      </c>
      <c r="AK77" s="60" t="str">
        <f t="shared" si="7"/>
        <v>NOT OK</v>
      </c>
      <c r="AL77" s="109">
        <f t="shared" si="8"/>
        <v>210</v>
      </c>
      <c r="AT77" s="133" t="str">
        <f t="shared" si="9"/>
        <v>need</v>
      </c>
      <c r="AV77" s="61">
        <f t="shared" si="18"/>
        <v>388.28167707594037</v>
      </c>
      <c r="AW77" s="61" t="str">
        <f t="shared" si="19"/>
        <v>OK</v>
      </c>
      <c r="AX77" s="63">
        <f t="shared" si="20"/>
        <v>151.49510665988652</v>
      </c>
      <c r="AY77" s="63">
        <f t="shared" si="21"/>
        <v>173.03105039034776</v>
      </c>
      <c r="AZ77" s="63">
        <f t="shared" si="22"/>
        <v>333.60948616600797</v>
      </c>
      <c r="BA77" s="63">
        <f t="shared" si="74"/>
        <v>63.249999999999993</v>
      </c>
      <c r="BB77" s="63">
        <f t="shared" si="75"/>
        <v>211.00799999999998</v>
      </c>
      <c r="BC77" s="63" t="str">
        <f t="shared" si="76"/>
        <v>OK</v>
      </c>
      <c r="BD77" s="63">
        <f t="shared" si="23"/>
        <v>535.89516373663525</v>
      </c>
      <c r="BE77" s="63">
        <f t="shared" si="24"/>
        <v>273.65068256493964</v>
      </c>
      <c r="BF77" s="63">
        <f t="shared" si="25"/>
        <v>186.09697106742365</v>
      </c>
      <c r="BG77" s="63">
        <f t="shared" si="26"/>
        <v>258.28081259838319</v>
      </c>
      <c r="BH77" s="63">
        <f t="shared" si="27"/>
        <v>153.30966339105746</v>
      </c>
      <c r="BI77" s="63">
        <f t="shared" si="28"/>
        <v>153.30966339105746</v>
      </c>
      <c r="BJ77" s="63">
        <f t="shared" si="29"/>
        <v>153.30966339105746</v>
      </c>
      <c r="BK77" s="63" t="str">
        <f t="shared" si="30"/>
        <v>NOT OK</v>
      </c>
      <c r="BL77" s="63">
        <f t="shared" si="31"/>
        <v>207.63726046841731</v>
      </c>
      <c r="BM77" s="63">
        <f t="shared" si="32"/>
        <v>346.06210078069552</v>
      </c>
      <c r="BN77" s="63">
        <f t="shared" si="33"/>
        <v>692.12420156139103</v>
      </c>
      <c r="BO77" s="63">
        <f t="shared" si="34"/>
        <v>1038.1863023420865</v>
      </c>
      <c r="BP77" s="63">
        <f t="shared" si="35"/>
        <v>43.776855748757974</v>
      </c>
      <c r="BQ77" s="63">
        <f t="shared" si="77"/>
        <v>462.42312453064551</v>
      </c>
      <c r="BR77" s="63" t="str">
        <f t="shared" si="78"/>
        <v>OK</v>
      </c>
      <c r="BW77" s="70">
        <f t="shared" si="10"/>
        <v>37.02600000000001</v>
      </c>
    </row>
    <row r="78" spans="4:104">
      <c r="D78" s="180"/>
      <c r="E78" s="177"/>
      <c r="F78" s="106" t="s">
        <v>16</v>
      </c>
      <c r="G78" s="78">
        <v>220</v>
      </c>
      <c r="H78" s="78">
        <v>450</v>
      </c>
      <c r="I78" s="92">
        <f t="shared" si="72"/>
        <v>71</v>
      </c>
      <c r="J78" s="93">
        <f t="shared" si="98"/>
        <v>379</v>
      </c>
      <c r="K78" s="94">
        <v>120</v>
      </c>
      <c r="L78" s="94">
        <v>28</v>
      </c>
      <c r="M78" s="94">
        <v>28</v>
      </c>
      <c r="N78" s="95">
        <f t="shared" si="0"/>
        <v>0.37541727947371833</v>
      </c>
      <c r="O78" s="95">
        <f t="shared" si="99"/>
        <v>0.501</v>
      </c>
      <c r="P78" s="95">
        <f t="shared" si="100"/>
        <v>0.74950000000000006</v>
      </c>
      <c r="Q78" s="96" t="str">
        <f t="shared" si="1"/>
        <v>Not Ok</v>
      </c>
      <c r="R78" s="97">
        <f t="shared" si="2"/>
        <v>9.7113843341653361</v>
      </c>
      <c r="S78" s="131">
        <f t="shared" si="14"/>
        <v>1.1647138803268573E-2</v>
      </c>
      <c r="T78" s="99">
        <v>3</v>
      </c>
      <c r="U78" s="100">
        <v>22</v>
      </c>
      <c r="V78" s="101" t="str">
        <f t="shared" si="3"/>
        <v>+</v>
      </c>
      <c r="W78" s="99">
        <v>0</v>
      </c>
      <c r="X78" s="100">
        <v>18</v>
      </c>
      <c r="Y78" s="102">
        <f t="shared" si="101"/>
        <v>11.40398133253095</v>
      </c>
      <c r="Z78" s="103" t="str">
        <f t="shared" si="4"/>
        <v>Ok</v>
      </c>
      <c r="AA78" s="93">
        <f t="shared" si="79"/>
        <v>31.012868654893179</v>
      </c>
      <c r="AB78" s="93">
        <f t="shared" si="102"/>
        <v>155.97972544668059</v>
      </c>
      <c r="AC78" s="89" t="str">
        <f t="shared" si="81"/>
        <v>Ok</v>
      </c>
      <c r="AD78" s="98">
        <f t="shared" si="103"/>
        <v>1.1519173063162576E-2</v>
      </c>
      <c r="AE78" s="98">
        <f t="shared" si="5"/>
        <v>1.9281988961466403E-2</v>
      </c>
      <c r="AF78" s="104" t="str">
        <f t="shared" si="104"/>
        <v>Ok</v>
      </c>
      <c r="AG78" s="100">
        <v>8</v>
      </c>
      <c r="AH78" s="105">
        <v>2</v>
      </c>
      <c r="AI78" s="105">
        <v>100</v>
      </c>
      <c r="AJ78" s="104">
        <f t="shared" si="6"/>
        <v>10.048000000000002</v>
      </c>
      <c r="AK78" s="60" t="str">
        <f t="shared" si="7"/>
        <v>OK</v>
      </c>
      <c r="AL78" s="109">
        <f t="shared" si="8"/>
        <v>210</v>
      </c>
      <c r="AT78" s="133" t="str">
        <f t="shared" si="9"/>
        <v>no need</v>
      </c>
      <c r="AV78" s="61">
        <f t="shared" si="18"/>
        <v>425.238</v>
      </c>
      <c r="AW78" s="61" t="str">
        <f t="shared" si="19"/>
        <v>OK</v>
      </c>
      <c r="AX78" s="63">
        <f t="shared" si="20"/>
        <v>1297.8990357142854</v>
      </c>
      <c r="AY78" s="63">
        <f t="shared" si="21"/>
        <v>189.5</v>
      </c>
      <c r="AZ78" s="63">
        <f t="shared" si="22"/>
        <v>333.60948616600797</v>
      </c>
      <c r="BA78" s="63">
        <f t="shared" si="74"/>
        <v>63.249999999999993</v>
      </c>
      <c r="BB78" s="63">
        <f t="shared" si="75"/>
        <v>211.00799999999998</v>
      </c>
      <c r="BC78" s="63" t="str">
        <f t="shared" si="76"/>
        <v>OK</v>
      </c>
      <c r="BD78" s="63">
        <f t="shared" si="23"/>
        <v>586.90121396707013</v>
      </c>
      <c r="BE78" s="63">
        <f t="shared" si="24"/>
        <v>299.69652400000001</v>
      </c>
      <c r="BF78" s="63">
        <f t="shared" si="25"/>
        <v>203.80952399999995</v>
      </c>
      <c r="BG78" s="63">
        <f t="shared" si="26"/>
        <v>282.86376275806208</v>
      </c>
      <c r="BH78" s="63">
        <f t="shared" si="27"/>
        <v>167.90154799999996</v>
      </c>
      <c r="BI78" s="63">
        <f t="shared" si="28"/>
        <v>167.90154799999996</v>
      </c>
      <c r="BJ78" s="63">
        <f t="shared" si="29"/>
        <v>167.90154799999996</v>
      </c>
      <c r="BK78" s="63" t="str">
        <f t="shared" si="30"/>
        <v>OK</v>
      </c>
      <c r="BL78" s="63">
        <f t="shared" si="31"/>
        <v>227.4</v>
      </c>
      <c r="BM78" s="63">
        <f t="shared" si="32"/>
        <v>379</v>
      </c>
      <c r="BN78" s="63">
        <f t="shared" si="33"/>
        <v>758</v>
      </c>
      <c r="BO78" s="63">
        <f t="shared" si="34"/>
        <v>1137</v>
      </c>
      <c r="BP78" s="63">
        <f t="shared" si="35"/>
        <v>47.943499999999993</v>
      </c>
      <c r="BQ78" s="63">
        <f t="shared" si="77"/>
        <v>462.42312453064551</v>
      </c>
      <c r="BR78" s="63" t="str">
        <f t="shared" si="78"/>
        <v>OK</v>
      </c>
      <c r="BW78" s="70">
        <f t="shared" si="10"/>
        <v>37.02600000000001</v>
      </c>
    </row>
    <row r="79" spans="4:104">
      <c r="D79" s="181"/>
      <c r="E79" s="178"/>
      <c r="F79" s="91" t="s">
        <v>15</v>
      </c>
      <c r="G79" s="78">
        <v>220</v>
      </c>
      <c r="H79" s="78">
        <v>450</v>
      </c>
      <c r="I79" s="92">
        <f t="shared" si="72"/>
        <v>72.5</v>
      </c>
      <c r="J79" s="93">
        <f t="shared" si="98"/>
        <v>377.5</v>
      </c>
      <c r="K79" s="94">
        <v>-70</v>
      </c>
      <c r="L79" s="94">
        <v>85</v>
      </c>
      <c r="M79" s="94">
        <v>85</v>
      </c>
      <c r="N79" s="95">
        <f t="shared" si="0"/>
        <v>0.22073721566959964</v>
      </c>
      <c r="O79" s="95">
        <f t="shared" si="99"/>
        <v>0.253</v>
      </c>
      <c r="P79" s="95">
        <f t="shared" si="100"/>
        <v>0.87349999999999994</v>
      </c>
      <c r="Q79" s="96" t="str">
        <f t="shared" si="1"/>
        <v>Ok</v>
      </c>
      <c r="R79" s="97">
        <f t="shared" si="2"/>
        <v>4.8801022067691466</v>
      </c>
      <c r="S79" s="131">
        <f t="shared" si="14"/>
        <v>5.8761013928586951E-3</v>
      </c>
      <c r="T79" s="99">
        <v>2</v>
      </c>
      <c r="U79" s="100">
        <v>25</v>
      </c>
      <c r="V79" s="101" t="str">
        <f t="shared" si="3"/>
        <v>+</v>
      </c>
      <c r="W79" s="99">
        <v>0</v>
      </c>
      <c r="X79" s="100">
        <v>18</v>
      </c>
      <c r="Y79" s="102">
        <f t="shared" si="101"/>
        <v>9.8174770424681039</v>
      </c>
      <c r="Z79" s="103" t="str">
        <f t="shared" si="4"/>
        <v>Ok</v>
      </c>
      <c r="AA79" s="93">
        <f t="shared" si="79"/>
        <v>0</v>
      </c>
      <c r="AB79" s="93">
        <f t="shared" si="102"/>
        <v>130.25337666094555</v>
      </c>
      <c r="AC79" s="89" t="str">
        <f t="shared" si="81"/>
        <v>Ok</v>
      </c>
      <c r="AD79" s="98">
        <f t="shared" si="103"/>
        <v>9.9166434772405086E-3</v>
      </c>
      <c r="AE79" s="98">
        <f t="shared" si="5"/>
        <v>1.9281988961466403E-2</v>
      </c>
      <c r="AF79" s="104" t="str">
        <f t="shared" si="104"/>
        <v>Ok</v>
      </c>
      <c r="AG79" s="100">
        <v>8</v>
      </c>
      <c r="AH79" s="105">
        <v>2</v>
      </c>
      <c r="AI79" s="105">
        <v>100</v>
      </c>
      <c r="AJ79" s="104">
        <f t="shared" si="6"/>
        <v>10.048000000000002</v>
      </c>
      <c r="AK79" s="60" t="str">
        <f t="shared" si="7"/>
        <v>OK</v>
      </c>
      <c r="AL79" s="109">
        <f t="shared" si="8"/>
        <v>210</v>
      </c>
      <c r="AT79" s="133" t="str">
        <f t="shared" si="9"/>
        <v>need</v>
      </c>
      <c r="AV79" s="61">
        <f t="shared" si="18"/>
        <v>423.55500000000001</v>
      </c>
      <c r="AW79" s="61" t="str">
        <f t="shared" si="19"/>
        <v>OK</v>
      </c>
      <c r="AX79" s="63">
        <f t="shared" si="20"/>
        <v>424.16566176470582</v>
      </c>
      <c r="AY79" s="63">
        <f t="shared" si="21"/>
        <v>188.75</v>
      </c>
      <c r="AZ79" s="63">
        <f t="shared" si="22"/>
        <v>333.60948616600797</v>
      </c>
      <c r="BA79" s="63">
        <f t="shared" si="74"/>
        <v>63.249999999999993</v>
      </c>
      <c r="BB79" s="63">
        <f t="shared" si="75"/>
        <v>211.00799999999998</v>
      </c>
      <c r="BC79" s="63" t="str">
        <f t="shared" si="76"/>
        <v>OK</v>
      </c>
      <c r="BD79" s="63">
        <f t="shared" si="23"/>
        <v>584.57838594345367</v>
      </c>
      <c r="BE79" s="63">
        <f t="shared" si="24"/>
        <v>298.51039000000003</v>
      </c>
      <c r="BF79" s="63">
        <f t="shared" si="25"/>
        <v>203.00288999999995</v>
      </c>
      <c r="BG79" s="63">
        <f t="shared" si="26"/>
        <v>281.74424918514103</v>
      </c>
      <c r="BH79" s="63">
        <f t="shared" si="27"/>
        <v>167.23702999999998</v>
      </c>
      <c r="BI79" s="63">
        <f t="shared" si="28"/>
        <v>167.23702999999998</v>
      </c>
      <c r="BJ79" s="63">
        <f t="shared" si="29"/>
        <v>167.23702999999998</v>
      </c>
      <c r="BK79" s="63" t="str">
        <f t="shared" si="30"/>
        <v>OK</v>
      </c>
      <c r="BL79" s="63">
        <f t="shared" si="31"/>
        <v>226.5</v>
      </c>
      <c r="BM79" s="63">
        <f t="shared" si="32"/>
        <v>377.5</v>
      </c>
      <c r="BN79" s="63">
        <f t="shared" si="33"/>
        <v>755</v>
      </c>
      <c r="BO79" s="63">
        <f t="shared" si="34"/>
        <v>1132.5</v>
      </c>
      <c r="BP79" s="63">
        <f t="shared" si="35"/>
        <v>47.753749999999989</v>
      </c>
      <c r="BQ79" s="63">
        <f t="shared" si="77"/>
        <v>184.36526447889435</v>
      </c>
      <c r="BR79" s="63" t="str">
        <f t="shared" si="78"/>
        <v>OK</v>
      </c>
      <c r="BW79" s="70">
        <f t="shared" si="10"/>
        <v>37.02600000000001</v>
      </c>
    </row>
    <row r="80" spans="4:104" ht="12.75" customHeight="1">
      <c r="D80" s="176" t="s">
        <v>120</v>
      </c>
      <c r="E80" s="176" t="s">
        <v>237</v>
      </c>
      <c r="F80" s="67" t="s">
        <v>15</v>
      </c>
      <c r="G80" s="78">
        <v>220</v>
      </c>
      <c r="H80" s="78">
        <v>450</v>
      </c>
      <c r="I80" s="79">
        <f t="shared" si="72"/>
        <v>72.5</v>
      </c>
      <c r="J80" s="80">
        <f>H80-I80</f>
        <v>377.5</v>
      </c>
      <c r="K80" s="81">
        <v>-64</v>
      </c>
      <c r="L80" s="81">
        <v>50</v>
      </c>
      <c r="M80" s="81">
        <v>50</v>
      </c>
      <c r="N80" s="82">
        <f t="shared" si="0"/>
        <v>0.20181688289791969</v>
      </c>
      <c r="O80" s="82">
        <f>ROUND(1-SQRT(1-2*N80),3)</f>
        <v>0.22800000000000001</v>
      </c>
      <c r="P80" s="82">
        <f>1-0.5*O80</f>
        <v>0.88600000000000001</v>
      </c>
      <c r="Q80" s="83" t="str">
        <f t="shared" si="1"/>
        <v>Ok</v>
      </c>
      <c r="R80" s="84">
        <f t="shared" si="2"/>
        <v>4.3988589772206117</v>
      </c>
      <c r="S80" s="131">
        <f t="shared" si="14"/>
        <v>5.296639346442639E-3</v>
      </c>
      <c r="T80" s="86">
        <v>2</v>
      </c>
      <c r="U80" s="77">
        <v>25</v>
      </c>
      <c r="V80" s="87" t="str">
        <f t="shared" si="3"/>
        <v>+</v>
      </c>
      <c r="W80" s="86">
        <v>0</v>
      </c>
      <c r="X80" s="77">
        <v>18</v>
      </c>
      <c r="Y80" s="88">
        <f>(T80*PI()*U80^2/4+W80*PI()*X80^2/4)/100</f>
        <v>9.8174770424681039</v>
      </c>
      <c r="Z80" s="89" t="str">
        <f t="shared" si="4"/>
        <v>Ok</v>
      </c>
      <c r="AA80" s="90">
        <f t="shared" si="79"/>
        <v>42.681076663664868</v>
      </c>
      <c r="AB80" s="80">
        <f>($J$11*$H$4*G80*ABS(AA80)*(J80-0.5*ABS(AA80))+$H$6*(T81*PI()*U81^2/4)*(J80-I81))*10^-6</f>
        <v>129.89872203029441</v>
      </c>
      <c r="AC80" s="89" t="str">
        <f t="shared" si="81"/>
        <v>Ok</v>
      </c>
      <c r="AD80" s="85">
        <f>(Y80*100)/(G80*H80)</f>
        <v>9.9166434772405086E-3</v>
      </c>
      <c r="AE80" s="85">
        <f t="shared" si="5"/>
        <v>1.9281988961466403E-2</v>
      </c>
      <c r="AF80" s="60" t="str">
        <f>IF(AND(AD80&gt;0.1%,AD80&lt;AE80),"Ok","No-Ok")</f>
        <v>Ok</v>
      </c>
      <c r="AG80" s="77">
        <v>8</v>
      </c>
      <c r="AH80" s="76">
        <v>2</v>
      </c>
      <c r="AI80" s="76">
        <v>100</v>
      </c>
      <c r="AJ80" s="60">
        <f t="shared" si="6"/>
        <v>10.048000000000002</v>
      </c>
      <c r="AK80" s="60" t="str">
        <f t="shared" si="7"/>
        <v>OK</v>
      </c>
      <c r="AL80" s="109">
        <f t="shared" si="8"/>
        <v>210</v>
      </c>
      <c r="AT80" s="133" t="str">
        <f t="shared" si="9"/>
        <v>need</v>
      </c>
      <c r="AV80" s="61">
        <f t="shared" si="18"/>
        <v>423.55500000000001</v>
      </c>
      <c r="AW80" s="61" t="str">
        <f t="shared" si="19"/>
        <v>OK</v>
      </c>
      <c r="AX80" s="63">
        <f t="shared" si="20"/>
        <v>721.0816249999998</v>
      </c>
      <c r="AY80" s="63">
        <f t="shared" si="21"/>
        <v>188.75</v>
      </c>
      <c r="AZ80" s="63">
        <f t="shared" si="22"/>
        <v>333.60948616600797</v>
      </c>
      <c r="BA80" s="63">
        <f t="shared" si="74"/>
        <v>63.249999999999993</v>
      </c>
      <c r="BB80" s="63">
        <f t="shared" si="75"/>
        <v>211.00799999999998</v>
      </c>
      <c r="BC80" s="63" t="str">
        <f t="shared" si="76"/>
        <v>OK</v>
      </c>
      <c r="BD80" s="63">
        <f t="shared" si="23"/>
        <v>584.57838594345367</v>
      </c>
      <c r="BE80" s="63">
        <f t="shared" si="24"/>
        <v>298.51039000000003</v>
      </c>
      <c r="BF80" s="63">
        <f t="shared" si="25"/>
        <v>203.00288999999995</v>
      </c>
      <c r="BG80" s="63">
        <f t="shared" si="26"/>
        <v>281.74424918514103</v>
      </c>
      <c r="BH80" s="63">
        <f t="shared" si="27"/>
        <v>167.23702999999998</v>
      </c>
      <c r="BI80" s="63">
        <f t="shared" si="28"/>
        <v>167.23702999999998</v>
      </c>
      <c r="BJ80" s="63">
        <f t="shared" si="29"/>
        <v>167.23702999999998</v>
      </c>
      <c r="BK80" s="63" t="str">
        <f t="shared" si="30"/>
        <v>OK</v>
      </c>
      <c r="BL80" s="63">
        <f t="shared" si="31"/>
        <v>226.5</v>
      </c>
      <c r="BM80" s="63">
        <f t="shared" si="32"/>
        <v>377.5</v>
      </c>
      <c r="BN80" s="63">
        <f t="shared" si="33"/>
        <v>755</v>
      </c>
      <c r="BO80" s="63">
        <f t="shared" si="34"/>
        <v>1132.5</v>
      </c>
      <c r="BP80" s="63">
        <f t="shared" si="35"/>
        <v>47.753749999999989</v>
      </c>
      <c r="BQ80" s="63">
        <f t="shared" si="77"/>
        <v>160.12869979526641</v>
      </c>
      <c r="BR80" s="63" t="str">
        <f t="shared" si="78"/>
        <v>OK</v>
      </c>
      <c r="BU80" s="70">
        <v>12</v>
      </c>
      <c r="BV80" s="70">
        <v>1</v>
      </c>
      <c r="BW80" s="70">
        <f t="shared" si="10"/>
        <v>37.02600000000001</v>
      </c>
      <c r="BX80" s="70" t="str">
        <f>IF(BW80&gt;AT80,"OK","NOT OK")</f>
        <v>NOT OK</v>
      </c>
      <c r="BY80" s="70">
        <f>G80</f>
        <v>220</v>
      </c>
      <c r="BZ80" s="70">
        <f>H80</f>
        <v>450</v>
      </c>
      <c r="CA80" s="70">
        <f>BY80/(2*BZ80+BY80)</f>
        <v>0.19642857142857142</v>
      </c>
      <c r="CB80" s="27" t="e">
        <f>O67*AJ80/10</f>
        <v>#NUM!</v>
      </c>
      <c r="CE80" s="71" t="e">
        <f>CB80*CA80*BY80*BZ80/1000000</f>
        <v>#NUM!</v>
      </c>
      <c r="CF80" s="71"/>
      <c r="CG80" s="71"/>
      <c r="CH80" s="70">
        <f>T81*3.14*U81^2/4</f>
        <v>763.02</v>
      </c>
      <c r="CI80" s="71">
        <f>0.5*$H$6*CH80*BZ80/1000000</f>
        <v>74.6805825</v>
      </c>
      <c r="CJ80" s="70" t="e">
        <f>IF((CI80+CE80)&gt;AT80,"OK","NOT OK")</f>
        <v>#NUM!</v>
      </c>
      <c r="CK80" s="27">
        <f>BZ80</f>
        <v>450</v>
      </c>
      <c r="CL80" s="27">
        <f>BY80</f>
        <v>220</v>
      </c>
      <c r="CM80" s="74">
        <f>CK80/(2*CL80+CK80)</f>
        <v>0.5056179775280899</v>
      </c>
      <c r="CN80" s="74"/>
      <c r="CO80" s="27" t="e">
        <f>O67*AJ80/10</f>
        <v>#NUM!</v>
      </c>
      <c r="CP80" s="74" t="e">
        <f>CO80*CM80*CK80*CL80/1000000</f>
        <v>#NUM!</v>
      </c>
      <c r="CQ80" s="27">
        <f>3.14*U81^2/4+3.14*U80^2/4+BV80*3.14*BU80^2/4</f>
        <v>858.005</v>
      </c>
      <c r="CT80" s="71">
        <f>0.5*$H$6*CQ80*CL80/1000000</f>
        <v>41.055539250000002</v>
      </c>
      <c r="CU80" s="71"/>
      <c r="CV80" s="70" t="e">
        <f>IF((CT80+CP80)&gt;U80,"OK","NOT OK")</f>
        <v>#NUM!</v>
      </c>
      <c r="CW80" s="74" t="e">
        <f>MIN((CP80+CT80),(CE80+CI80))</f>
        <v>#NUM!</v>
      </c>
      <c r="CX80" s="71">
        <f>AB80</f>
        <v>129.89872203029441</v>
      </c>
      <c r="CY80" s="71">
        <f>(BG80+BO80*J80)/1000</f>
        <v>427.80049424918514</v>
      </c>
      <c r="CZ80" s="62" t="e">
        <f>CW80*SQRT(1-(K80/CX80)^1)</f>
        <v>#NUM!</v>
      </c>
    </row>
    <row r="81" spans="4:104">
      <c r="D81" s="177"/>
      <c r="E81" s="177"/>
      <c r="F81" s="68" t="s">
        <v>16</v>
      </c>
      <c r="G81" s="78">
        <v>220</v>
      </c>
      <c r="H81" s="78">
        <v>450</v>
      </c>
      <c r="I81" s="79">
        <f t="shared" si="72"/>
        <v>88.2</v>
      </c>
      <c r="J81" s="80">
        <f t="shared" ref="J81:J91" si="105">H81-I81</f>
        <v>361.8</v>
      </c>
      <c r="K81" s="81">
        <v>132</v>
      </c>
      <c r="L81" s="81">
        <v>175</v>
      </c>
      <c r="M81" s="81">
        <v>175</v>
      </c>
      <c r="N81" s="82">
        <f t="shared" si="0"/>
        <v>0.45315652546930607</v>
      </c>
      <c r="O81" s="82">
        <f t="shared" ref="O81:O91" si="106">ROUND(1-SQRT(1-2*N81),3)</f>
        <v>0.69399999999999995</v>
      </c>
      <c r="P81" s="82">
        <f t="shared" ref="P81:P91" si="107">1-0.5*O81</f>
        <v>0.65300000000000002</v>
      </c>
      <c r="Q81" s="83" t="str">
        <f t="shared" si="1"/>
        <v>Not Ok</v>
      </c>
      <c r="R81" s="84">
        <f t="shared" si="2"/>
        <v>12.84407788613801</v>
      </c>
      <c r="S81" s="131">
        <f t="shared" si="14"/>
        <v>1.6136587122641852E-2</v>
      </c>
      <c r="T81" s="86">
        <v>3</v>
      </c>
      <c r="U81" s="77">
        <v>18</v>
      </c>
      <c r="V81" s="87" t="str">
        <f t="shared" si="3"/>
        <v>+</v>
      </c>
      <c r="W81" s="86">
        <v>2</v>
      </c>
      <c r="X81" s="77">
        <v>18</v>
      </c>
      <c r="Y81" s="88">
        <f t="shared" ref="Y81:Y91" si="108">(T81*PI()*U81^2/4+W81*PI()*X81^2/4)/100</f>
        <v>12.723450247038663</v>
      </c>
      <c r="Z81" s="89" t="str">
        <f t="shared" si="4"/>
        <v>Not Ok</v>
      </c>
      <c r="AA81" s="80">
        <f t="shared" si="79"/>
        <v>-39.149908450483927</v>
      </c>
      <c r="AB81" s="80">
        <f t="shared" ref="AB81:AB91" si="109">($J$11*$H$4*G81*AA81*(J81-0.5*AA81)+$H$6*(T82*PI()*U82^2/4)*(J81-I82))*10^-6</f>
        <v>131.95848326150391</v>
      </c>
      <c r="AC81" s="89" t="str">
        <f t="shared" si="81"/>
        <v>Not Ok</v>
      </c>
      <c r="AD81" s="85">
        <f t="shared" ref="AD81:AD91" si="110">(Y81*100)/(G81*H81)</f>
        <v>1.28519699465037E-2</v>
      </c>
      <c r="AE81" s="85">
        <f t="shared" si="5"/>
        <v>1.9281988961466403E-2</v>
      </c>
      <c r="AF81" s="60" t="str">
        <f t="shared" ref="AF81:AF91" si="111">IF(AND(AD81&gt;0.1%,AD81&lt;AE81),"Ok","No-Ok")</f>
        <v>Ok</v>
      </c>
      <c r="AG81" s="77">
        <v>8</v>
      </c>
      <c r="AH81" s="76">
        <v>2</v>
      </c>
      <c r="AI81" s="76">
        <v>100</v>
      </c>
      <c r="AJ81" s="60">
        <f t="shared" si="6"/>
        <v>10.048000000000002</v>
      </c>
      <c r="AK81" s="60" t="str">
        <f t="shared" si="7"/>
        <v>NOT OK</v>
      </c>
      <c r="AL81" s="109">
        <f t="shared" si="8"/>
        <v>210</v>
      </c>
      <c r="AT81" s="133" t="str">
        <f t="shared" si="9"/>
        <v>need</v>
      </c>
      <c r="AV81" s="61">
        <f t="shared" si="18"/>
        <v>405.93960000000004</v>
      </c>
      <c r="AW81" s="61" t="str">
        <f t="shared" si="19"/>
        <v>OK</v>
      </c>
      <c r="AX81" s="63">
        <f t="shared" si="20"/>
        <v>189.24290125714285</v>
      </c>
      <c r="AY81" s="63">
        <f t="shared" si="21"/>
        <v>180.9</v>
      </c>
      <c r="AZ81" s="63">
        <f t="shared" si="22"/>
        <v>333.60948616600797</v>
      </c>
      <c r="BA81" s="63">
        <f t="shared" si="74"/>
        <v>63.249999999999993</v>
      </c>
      <c r="BB81" s="63">
        <f t="shared" si="75"/>
        <v>211.00799999999998</v>
      </c>
      <c r="BC81" s="63" t="str">
        <f t="shared" si="76"/>
        <v>OK</v>
      </c>
      <c r="BD81" s="63">
        <f t="shared" si="23"/>
        <v>560.26611929626904</v>
      </c>
      <c r="BE81" s="63">
        <f t="shared" si="24"/>
        <v>286.09552080000003</v>
      </c>
      <c r="BF81" s="63">
        <f t="shared" si="25"/>
        <v>194.56012079999996</v>
      </c>
      <c r="BG81" s="63">
        <f t="shared" si="26"/>
        <v>270.02667378856694</v>
      </c>
      <c r="BH81" s="63">
        <f t="shared" si="27"/>
        <v>160.28174159999998</v>
      </c>
      <c r="BI81" s="63">
        <f t="shared" si="28"/>
        <v>160.28174159999998</v>
      </c>
      <c r="BJ81" s="63">
        <f t="shared" si="29"/>
        <v>160.28174159999998</v>
      </c>
      <c r="BK81" s="63" t="str">
        <f t="shared" si="30"/>
        <v>NOT OK</v>
      </c>
      <c r="BL81" s="63">
        <f t="shared" si="31"/>
        <v>217.08</v>
      </c>
      <c r="BM81" s="63">
        <f t="shared" si="32"/>
        <v>361.8</v>
      </c>
      <c r="BN81" s="63">
        <f t="shared" si="33"/>
        <v>723.6</v>
      </c>
      <c r="BO81" s="63">
        <f t="shared" si="34"/>
        <v>1085.4000000000001</v>
      </c>
      <c r="BP81" s="63">
        <f t="shared" si="35"/>
        <v>45.767699999999998</v>
      </c>
      <c r="BQ81" s="63">
        <f t="shared" si="77"/>
        <v>160.12869979526641</v>
      </c>
      <c r="BR81" s="63" t="str">
        <f t="shared" si="78"/>
        <v>OK</v>
      </c>
      <c r="BW81" s="70">
        <f t="shared" si="10"/>
        <v>37.02600000000001</v>
      </c>
    </row>
    <row r="82" spans="4:104">
      <c r="D82" s="178"/>
      <c r="E82" s="177"/>
      <c r="F82" s="67" t="s">
        <v>15</v>
      </c>
      <c r="G82" s="78">
        <v>220</v>
      </c>
      <c r="H82" s="78">
        <v>450</v>
      </c>
      <c r="I82" s="79">
        <f t="shared" si="72"/>
        <v>103.93789921930448</v>
      </c>
      <c r="J82" s="80">
        <f t="shared" si="105"/>
        <v>346.06210078069552</v>
      </c>
      <c r="K82" s="81">
        <v>-525</v>
      </c>
      <c r="L82" s="81">
        <v>191</v>
      </c>
      <c r="M82" s="81">
        <v>191</v>
      </c>
      <c r="N82" s="82">
        <f t="shared" si="0"/>
        <v>1.9699838044565521</v>
      </c>
      <c r="O82" s="82" t="e">
        <f t="shared" si="106"/>
        <v>#NUM!</v>
      </c>
      <c r="P82" s="82" t="e">
        <f t="shared" si="107"/>
        <v>#NUM!</v>
      </c>
      <c r="Q82" s="83" t="e">
        <f t="shared" si="1"/>
        <v>#NUM!</v>
      </c>
      <c r="R82" s="84" t="e">
        <f t="shared" si="2"/>
        <v>#NUM!</v>
      </c>
      <c r="S82" s="131" t="e">
        <f t="shared" si="14"/>
        <v>#NUM!</v>
      </c>
      <c r="T82" s="86">
        <v>3</v>
      </c>
      <c r="U82" s="77">
        <v>25</v>
      </c>
      <c r="V82" s="87" t="str">
        <f t="shared" si="3"/>
        <v>+</v>
      </c>
      <c r="W82" s="86">
        <v>3</v>
      </c>
      <c r="X82" s="77">
        <v>28</v>
      </c>
      <c r="Y82" s="88">
        <f t="shared" si="108"/>
        <v>33.198780366810141</v>
      </c>
      <c r="Z82" s="89" t="e">
        <f t="shared" si="4"/>
        <v>#NUM!</v>
      </c>
      <c r="AA82" s="80">
        <f t="shared" si="79"/>
        <v>457.05599002780679</v>
      </c>
      <c r="AB82" s="80">
        <f t="shared" si="109"/>
        <v>229.99254008436151</v>
      </c>
      <c r="AC82" s="89" t="str">
        <f t="shared" si="81"/>
        <v>Not Ok</v>
      </c>
      <c r="AD82" s="85">
        <f t="shared" si="110"/>
        <v>3.3534121582636509E-2</v>
      </c>
      <c r="AE82" s="85">
        <f t="shared" si="5"/>
        <v>1.9281988961466403E-2</v>
      </c>
      <c r="AF82" s="60" t="str">
        <f t="shared" si="111"/>
        <v>No-Ok</v>
      </c>
      <c r="AG82" s="77">
        <v>8</v>
      </c>
      <c r="AH82" s="76">
        <v>2</v>
      </c>
      <c r="AI82" s="76">
        <v>100</v>
      </c>
      <c r="AJ82" s="60">
        <f t="shared" si="6"/>
        <v>10.048000000000002</v>
      </c>
      <c r="AK82" s="60" t="str">
        <f t="shared" si="7"/>
        <v>NOT OK</v>
      </c>
      <c r="AL82" s="109">
        <f t="shared" si="8"/>
        <v>210</v>
      </c>
      <c r="AT82" s="133" t="str">
        <f t="shared" si="9"/>
        <v>need</v>
      </c>
      <c r="AV82" s="61">
        <f t="shared" si="18"/>
        <v>388.28167707594037</v>
      </c>
      <c r="AW82" s="61" t="str">
        <f t="shared" si="19"/>
        <v>OK</v>
      </c>
      <c r="AX82" s="63">
        <f t="shared" si="20"/>
        <v>158.63361953914819</v>
      </c>
      <c r="AY82" s="63">
        <f t="shared" si="21"/>
        <v>173.03105039034776</v>
      </c>
      <c r="AZ82" s="63">
        <f t="shared" si="22"/>
        <v>333.60948616600797</v>
      </c>
      <c r="BA82" s="63">
        <f t="shared" si="74"/>
        <v>63.249999999999993</v>
      </c>
      <c r="BB82" s="63">
        <f t="shared" si="75"/>
        <v>211.00799999999998</v>
      </c>
      <c r="BC82" s="63" t="str">
        <f t="shared" si="76"/>
        <v>OK</v>
      </c>
      <c r="BD82" s="63">
        <f t="shared" si="23"/>
        <v>535.89516373663525</v>
      </c>
      <c r="BE82" s="63">
        <f t="shared" si="24"/>
        <v>273.65068256493964</v>
      </c>
      <c r="BF82" s="63">
        <f t="shared" si="25"/>
        <v>186.09697106742365</v>
      </c>
      <c r="BG82" s="63">
        <f t="shared" si="26"/>
        <v>258.28081259838319</v>
      </c>
      <c r="BH82" s="63">
        <f t="shared" si="27"/>
        <v>153.30966339105746</v>
      </c>
      <c r="BI82" s="63">
        <f t="shared" si="28"/>
        <v>153.30966339105746</v>
      </c>
      <c r="BJ82" s="63">
        <f t="shared" si="29"/>
        <v>153.30966339105746</v>
      </c>
      <c r="BK82" s="63" t="str">
        <f t="shared" si="30"/>
        <v>NOT OK</v>
      </c>
      <c r="BL82" s="63">
        <f t="shared" si="31"/>
        <v>207.63726046841731</v>
      </c>
      <c r="BM82" s="63">
        <f t="shared" si="32"/>
        <v>346.06210078069552</v>
      </c>
      <c r="BN82" s="63">
        <f t="shared" si="33"/>
        <v>692.12420156139103</v>
      </c>
      <c r="BO82" s="63">
        <f t="shared" si="34"/>
        <v>1038.1863023420865</v>
      </c>
      <c r="BP82" s="63">
        <f t="shared" si="35"/>
        <v>43.776855748757974</v>
      </c>
      <c r="BQ82" s="63">
        <f t="shared" si="77"/>
        <v>194.03132273763174</v>
      </c>
      <c r="BR82" s="63" t="str">
        <f t="shared" si="78"/>
        <v>OK</v>
      </c>
      <c r="BW82" s="70">
        <f t="shared" si="10"/>
        <v>37.02600000000001</v>
      </c>
    </row>
    <row r="83" spans="4:104">
      <c r="D83" s="179" t="s">
        <v>238</v>
      </c>
      <c r="E83" s="177"/>
      <c r="F83" s="91" t="s">
        <v>15</v>
      </c>
      <c r="G83" s="78">
        <v>220</v>
      </c>
      <c r="H83" s="78">
        <v>450</v>
      </c>
      <c r="I83" s="92">
        <f t="shared" si="72"/>
        <v>87.433102652825838</v>
      </c>
      <c r="J83" s="93">
        <f t="shared" si="105"/>
        <v>362.56689734717418</v>
      </c>
      <c r="K83" s="94">
        <v>-233</v>
      </c>
      <c r="L83" s="94">
        <v>133</v>
      </c>
      <c r="M83" s="94">
        <v>133</v>
      </c>
      <c r="N83" s="95">
        <f t="shared" si="0"/>
        <v>0.79650967023850461</v>
      </c>
      <c r="O83" s="95" t="e">
        <f t="shared" si="106"/>
        <v>#NUM!</v>
      </c>
      <c r="P83" s="95" t="e">
        <f t="shared" si="107"/>
        <v>#NUM!</v>
      </c>
      <c r="Q83" s="96" t="e">
        <f t="shared" si="1"/>
        <v>#NUM!</v>
      </c>
      <c r="R83" s="97" t="e">
        <f t="shared" si="2"/>
        <v>#NUM!</v>
      </c>
      <c r="S83" s="131" t="e">
        <f t="shared" si="14"/>
        <v>#NUM!</v>
      </c>
      <c r="T83" s="99">
        <v>2</v>
      </c>
      <c r="U83" s="100">
        <v>25</v>
      </c>
      <c r="V83" s="101" t="str">
        <f t="shared" si="3"/>
        <v>+</v>
      </c>
      <c r="W83" s="99">
        <v>1</v>
      </c>
      <c r="X83" s="100">
        <v>22</v>
      </c>
      <c r="Y83" s="102">
        <f t="shared" si="108"/>
        <v>13.618804153311753</v>
      </c>
      <c r="Z83" s="103" t="e">
        <f t="shared" si="4"/>
        <v>#NUM!</v>
      </c>
      <c r="AA83" s="93">
        <f t="shared" si="79"/>
        <v>116.98913819321089</v>
      </c>
      <c r="AB83" s="93">
        <f t="shared" si="109"/>
        <v>170.27327424600446</v>
      </c>
      <c r="AC83" s="89" t="str">
        <f t="shared" si="81"/>
        <v>Not Ok</v>
      </c>
      <c r="AD83" s="98">
        <f t="shared" si="110"/>
        <v>1.3756367831628034E-2</v>
      </c>
      <c r="AE83" s="98">
        <f t="shared" si="5"/>
        <v>1.9281988961466403E-2</v>
      </c>
      <c r="AF83" s="104" t="str">
        <f t="shared" si="111"/>
        <v>Ok</v>
      </c>
      <c r="AG83" s="100">
        <v>8</v>
      </c>
      <c r="AH83" s="105">
        <v>2</v>
      </c>
      <c r="AI83" s="105">
        <v>100</v>
      </c>
      <c r="AJ83" s="104">
        <f t="shared" si="6"/>
        <v>10.048000000000002</v>
      </c>
      <c r="AK83" s="60" t="str">
        <f t="shared" si="7"/>
        <v>OK</v>
      </c>
      <c r="AL83" s="109">
        <f t="shared" si="8"/>
        <v>210</v>
      </c>
      <c r="AT83" s="133" t="str">
        <f t="shared" si="9"/>
        <v>need</v>
      </c>
      <c r="AV83" s="61">
        <f t="shared" si="18"/>
        <v>406.80005882352941</v>
      </c>
      <c r="AW83" s="61" t="str">
        <f t="shared" si="19"/>
        <v>OK</v>
      </c>
      <c r="AX83" s="63">
        <f t="shared" si="20"/>
        <v>250.06054908379662</v>
      </c>
      <c r="AY83" s="63">
        <f t="shared" si="21"/>
        <v>181.28344867358709</v>
      </c>
      <c r="AZ83" s="63">
        <f t="shared" si="22"/>
        <v>333.60948616600797</v>
      </c>
      <c r="BA83" s="63">
        <f t="shared" si="74"/>
        <v>63.249999999999993</v>
      </c>
      <c r="BB83" s="63">
        <f t="shared" si="75"/>
        <v>211.00799999999998</v>
      </c>
      <c r="BC83" s="63" t="str">
        <f t="shared" si="76"/>
        <v>OK</v>
      </c>
      <c r="BD83" s="63">
        <f t="shared" si="23"/>
        <v>561.45369972910453</v>
      </c>
      <c r="BE83" s="63">
        <f t="shared" si="24"/>
        <v>286.70194947866207</v>
      </c>
      <c r="BF83" s="63">
        <f t="shared" si="25"/>
        <v>194.97252444982695</v>
      </c>
      <c r="BG83" s="63">
        <f t="shared" si="26"/>
        <v>270.59904178136605</v>
      </c>
      <c r="BH83" s="63">
        <f t="shared" si="27"/>
        <v>160.62148632756629</v>
      </c>
      <c r="BI83" s="63">
        <f t="shared" si="28"/>
        <v>160.62148632756629</v>
      </c>
      <c r="BJ83" s="63">
        <f t="shared" si="29"/>
        <v>160.62148632756629</v>
      </c>
      <c r="BK83" s="63" t="str">
        <f t="shared" si="30"/>
        <v>OK</v>
      </c>
      <c r="BL83" s="63">
        <f t="shared" si="31"/>
        <v>217.5401384083045</v>
      </c>
      <c r="BM83" s="63">
        <f t="shared" si="32"/>
        <v>362.56689734717418</v>
      </c>
      <c r="BN83" s="63">
        <f t="shared" si="33"/>
        <v>725.13379469434835</v>
      </c>
      <c r="BO83" s="63">
        <f t="shared" si="34"/>
        <v>1087.7006920415224</v>
      </c>
      <c r="BP83" s="63">
        <f t="shared" si="35"/>
        <v>45.864712514417526</v>
      </c>
      <c r="BQ83" s="63">
        <f t="shared" si="77"/>
        <v>462.42312453064551</v>
      </c>
      <c r="BR83" s="63" t="str">
        <f t="shared" si="78"/>
        <v>OK</v>
      </c>
      <c r="BW83" s="70">
        <f t="shared" si="10"/>
        <v>37.02600000000001</v>
      </c>
    </row>
    <row r="84" spans="4:104">
      <c r="D84" s="180"/>
      <c r="E84" s="177"/>
      <c r="F84" s="106" t="s">
        <v>16</v>
      </c>
      <c r="G84" s="78">
        <v>220</v>
      </c>
      <c r="H84" s="78">
        <v>450</v>
      </c>
      <c r="I84" s="92">
        <f t="shared" si="72"/>
        <v>88.2</v>
      </c>
      <c r="J84" s="93">
        <f t="shared" si="105"/>
        <v>361.8</v>
      </c>
      <c r="K84" s="94">
        <v>126</v>
      </c>
      <c r="L84" s="94">
        <v>12</v>
      </c>
      <c r="M84" s="94">
        <v>12</v>
      </c>
      <c r="N84" s="95">
        <f t="shared" ref="N84:N147" si="112">ABS(K84)*10^6/($J$11*$H$4*G84*J84^2)</f>
        <v>0.43255850158433762</v>
      </c>
      <c r="O84" s="95">
        <f t="shared" si="106"/>
        <v>0.63300000000000001</v>
      </c>
      <c r="P84" s="95">
        <f t="shared" si="107"/>
        <v>0.6835</v>
      </c>
      <c r="Q84" s="96" t="str">
        <f t="shared" ref="Q84:Q147" si="113">IF(O84&lt;$J$13,"Ok","Not Ok")</f>
        <v>Not Ok</v>
      </c>
      <c r="R84" s="97">
        <f t="shared" ref="R84:R147" si="114">MAX(ABS(K84)*10^6/($H$6*P84*J84),0.001*G84*J84)/100</f>
        <v>11.713163533458172</v>
      </c>
      <c r="S84" s="131">
        <f t="shared" si="14"/>
        <v>1.4715769050527879E-2</v>
      </c>
      <c r="T84" s="99">
        <v>3</v>
      </c>
      <c r="U84" s="100">
        <v>18</v>
      </c>
      <c r="V84" s="101" t="str">
        <f t="shared" ref="V84:V147" si="115">IF(X84="","","+")</f>
        <v>+</v>
      </c>
      <c r="W84" s="99">
        <v>2</v>
      </c>
      <c r="X84" s="100">
        <v>18</v>
      </c>
      <c r="Y84" s="102">
        <f t="shared" si="108"/>
        <v>12.723450247038663</v>
      </c>
      <c r="Z84" s="103" t="str">
        <f t="shared" ref="Z84:Z147" si="116">IF(Y84&gt;R84,"Ok","Not Ok")</f>
        <v>Ok</v>
      </c>
      <c r="AA84" s="93">
        <f t="shared" si="79"/>
        <v>56.805749516388509</v>
      </c>
      <c r="AB84" s="93">
        <f t="shared" si="109"/>
        <v>165.69320610565109</v>
      </c>
      <c r="AC84" s="89" t="str">
        <f t="shared" si="81"/>
        <v>Ok</v>
      </c>
      <c r="AD84" s="98">
        <f t="shared" si="110"/>
        <v>1.28519699465037E-2</v>
      </c>
      <c r="AE84" s="98">
        <f t="shared" ref="AE84:AE147" si="117">$J$13*$H$4/$H$6</f>
        <v>1.9281988961466403E-2</v>
      </c>
      <c r="AF84" s="104" t="str">
        <f t="shared" si="111"/>
        <v>Ok</v>
      </c>
      <c r="AG84" s="100">
        <v>8</v>
      </c>
      <c r="AH84" s="105">
        <v>2</v>
      </c>
      <c r="AI84" s="105">
        <v>100</v>
      </c>
      <c r="AJ84" s="104">
        <f t="shared" ref="AJ84:AJ147" si="118">(10/AI84)*2*(3.14*AG84^2)/4</f>
        <v>10.048000000000002</v>
      </c>
      <c r="AK84" s="60" t="str">
        <f t="shared" ref="AK84:AK147" si="119">IF(AND(AV84&gt;L84,BB84&gt;BA84,BJ84&gt;L84),"OK","NOT OK")</f>
        <v>OK</v>
      </c>
      <c r="AL84" s="109">
        <f t="shared" ref="AL84:AL147" si="120">IF(AG84&lt;10,$O$7,$O$8)</f>
        <v>210</v>
      </c>
      <c r="AT84" s="133" t="str">
        <f t="shared" ref="AT84:AT147" si="121">IF(L84&gt;BP84, "need","no need")</f>
        <v>no need</v>
      </c>
      <c r="AV84" s="61">
        <f t="shared" si="18"/>
        <v>405.93960000000004</v>
      </c>
      <c r="AW84" s="61" t="str">
        <f t="shared" si="19"/>
        <v>OK</v>
      </c>
      <c r="AX84" s="63">
        <f t="shared" si="20"/>
        <v>2759.7923099999998</v>
      </c>
      <c r="AY84" s="63">
        <f t="shared" si="21"/>
        <v>180.9</v>
      </c>
      <c r="AZ84" s="63">
        <f t="shared" si="22"/>
        <v>333.60948616600797</v>
      </c>
      <c r="BA84" s="63">
        <f t="shared" si="74"/>
        <v>63.249999999999993</v>
      </c>
      <c r="BB84" s="63">
        <f t="shared" si="75"/>
        <v>211.00799999999998</v>
      </c>
      <c r="BC84" s="63" t="str">
        <f t="shared" si="76"/>
        <v>OK</v>
      </c>
      <c r="BD84" s="63">
        <f t="shared" si="23"/>
        <v>560.26611929626904</v>
      </c>
      <c r="BE84" s="63">
        <f t="shared" si="24"/>
        <v>286.09552080000003</v>
      </c>
      <c r="BF84" s="63">
        <f t="shared" si="25"/>
        <v>194.56012079999996</v>
      </c>
      <c r="BG84" s="63">
        <f t="shared" si="26"/>
        <v>270.02667378856694</v>
      </c>
      <c r="BH84" s="63">
        <f t="shared" si="27"/>
        <v>160.28174159999998</v>
      </c>
      <c r="BI84" s="63">
        <f t="shared" si="28"/>
        <v>160.28174159999998</v>
      </c>
      <c r="BJ84" s="63">
        <f t="shared" si="29"/>
        <v>160.28174159999998</v>
      </c>
      <c r="BK84" s="63" t="str">
        <f t="shared" si="30"/>
        <v>OK</v>
      </c>
      <c r="BL84" s="63">
        <f t="shared" si="31"/>
        <v>217.08</v>
      </c>
      <c r="BM84" s="63">
        <f t="shared" si="32"/>
        <v>361.8</v>
      </c>
      <c r="BN84" s="63">
        <f t="shared" si="33"/>
        <v>723.6</v>
      </c>
      <c r="BO84" s="63">
        <f t="shared" si="34"/>
        <v>1085.4000000000001</v>
      </c>
      <c r="BP84" s="63">
        <f t="shared" si="35"/>
        <v>45.767699999999998</v>
      </c>
      <c r="BQ84" s="63">
        <f t="shared" si="77"/>
        <v>207.18103674247538</v>
      </c>
      <c r="BR84" s="63" t="str">
        <f t="shared" si="78"/>
        <v>OK</v>
      </c>
      <c r="BW84" s="70">
        <f t="shared" ref="BW84:BW147" si="122">0.1*$H$4*G84^2*H84/1000000</f>
        <v>37.02600000000001</v>
      </c>
    </row>
    <row r="85" spans="4:104">
      <c r="D85" s="181"/>
      <c r="E85" s="178"/>
      <c r="F85" s="91" t="s">
        <v>15</v>
      </c>
      <c r="G85" s="78">
        <v>220</v>
      </c>
      <c r="H85" s="78">
        <v>450</v>
      </c>
      <c r="I85" s="92">
        <f t="shared" si="72"/>
        <v>72.5</v>
      </c>
      <c r="J85" s="93">
        <f t="shared" si="105"/>
        <v>377.5</v>
      </c>
      <c r="K85" s="94">
        <v>-87</v>
      </c>
      <c r="L85" s="94">
        <v>96</v>
      </c>
      <c r="M85" s="94">
        <v>96</v>
      </c>
      <c r="N85" s="95">
        <f t="shared" si="112"/>
        <v>0.27434482518935954</v>
      </c>
      <c r="O85" s="95">
        <f t="shared" si="106"/>
        <v>0.32800000000000001</v>
      </c>
      <c r="P85" s="95">
        <f t="shared" si="107"/>
        <v>0.83599999999999997</v>
      </c>
      <c r="Q85" s="96" t="str">
        <f t="shared" si="113"/>
        <v>Ok</v>
      </c>
      <c r="R85" s="97">
        <f t="shared" si="114"/>
        <v>6.3373364175037237</v>
      </c>
      <c r="S85" s="131">
        <f t="shared" ref="S85:S148" si="123">(R85)/(G85*J85/100)</f>
        <v>7.6307482450375958E-3</v>
      </c>
      <c r="T85" s="99">
        <v>2</v>
      </c>
      <c r="U85" s="100">
        <v>25</v>
      </c>
      <c r="V85" s="101" t="str">
        <f t="shared" si="115"/>
        <v>+</v>
      </c>
      <c r="W85" s="99">
        <v>0</v>
      </c>
      <c r="X85" s="100">
        <v>18</v>
      </c>
      <c r="Y85" s="102">
        <f t="shared" si="108"/>
        <v>9.8174770424681039</v>
      </c>
      <c r="Z85" s="103" t="str">
        <f t="shared" si="116"/>
        <v>Ok</v>
      </c>
      <c r="AA85" s="93">
        <f t="shared" si="79"/>
        <v>113.30444092728298</v>
      </c>
      <c r="AB85" s="93">
        <f t="shared" si="109"/>
        <v>135.03633575904982</v>
      </c>
      <c r="AC85" s="89" t="str">
        <f t="shared" si="81"/>
        <v>Ok</v>
      </c>
      <c r="AD85" s="98">
        <f t="shared" si="110"/>
        <v>9.9166434772405086E-3</v>
      </c>
      <c r="AE85" s="98">
        <f t="shared" si="117"/>
        <v>1.9281988961466403E-2</v>
      </c>
      <c r="AF85" s="104" t="str">
        <f t="shared" si="111"/>
        <v>Ok</v>
      </c>
      <c r="AG85" s="100">
        <v>8</v>
      </c>
      <c r="AH85" s="105">
        <v>2</v>
      </c>
      <c r="AI85" s="105">
        <v>100</v>
      </c>
      <c r="AJ85" s="104">
        <f t="shared" si="118"/>
        <v>10.048000000000002</v>
      </c>
      <c r="AK85" s="60" t="str">
        <f t="shared" si="119"/>
        <v>OK</v>
      </c>
      <c r="AL85" s="109">
        <f t="shared" si="120"/>
        <v>210</v>
      </c>
      <c r="AT85" s="133" t="str">
        <f t="shared" si="121"/>
        <v>need</v>
      </c>
      <c r="AV85" s="61">
        <f t="shared" ref="AV85:AV148" si="124">0.3*$H$4*G85*J85/1000</f>
        <v>423.55500000000001</v>
      </c>
      <c r="AW85" s="61" t="str">
        <f t="shared" ref="AW85:AW148" si="125">IF(L85&lt;AV85,"OK","Not ok")</f>
        <v>OK</v>
      </c>
      <c r="AX85" s="63">
        <f t="shared" ref="AX85:AX148" si="126">$K$4*G85*J85^2/(L85*1000)</f>
        <v>375.56334635416658</v>
      </c>
      <c r="AY85" s="63">
        <f t="shared" ref="AY85:AY148" si="127">MIN(1/2*J85,300)</f>
        <v>188.75</v>
      </c>
      <c r="AZ85" s="63">
        <f t="shared" ref="AZ85:AZ148" si="128">AL85*AJ85*10/BA85</f>
        <v>333.60948616600797</v>
      </c>
      <c r="BA85" s="63">
        <f t="shared" si="74"/>
        <v>63.249999999999993</v>
      </c>
      <c r="BB85" s="63">
        <f t="shared" si="75"/>
        <v>211.00799999999998</v>
      </c>
      <c r="BC85" s="63" t="str">
        <f t="shared" si="76"/>
        <v>OK</v>
      </c>
      <c r="BD85" s="63">
        <f t="shared" ref="BD85:BD148" si="129">SQRT((2*$K$4*G85*J85^2)/BB85)</f>
        <v>584.57838594345367</v>
      </c>
      <c r="BE85" s="63">
        <f t="shared" ref="BE85:BE148" si="130">2.5*$K$4*G85*J85/1000+(0.75*BB85*J85)/1000</f>
        <v>298.51039000000003</v>
      </c>
      <c r="BF85" s="63">
        <f t="shared" ref="BF85:BF148" si="131">1.5*$K$4*G85*J85/1000+(0.75*BB85*J85)/1000</f>
        <v>203.00288999999995</v>
      </c>
      <c r="BG85" s="63">
        <f t="shared" ref="BG85:BG148" si="132">IF(BD85&lt;J85,BF85,IF(BD85&lt;2*J85,(1.5*$K$4*H85*J85*J85/BD85)/1000+(0.75*BB85*BD85)/1000,(0.75*$K$4*H85*J85*J85/BD85)/1000+(1.5*BB85*BD85)/1000))</f>
        <v>281.74424918514103</v>
      </c>
      <c r="BH85" s="63">
        <f t="shared" ref="BH85:BH148" si="133">0.5*$K$4*G85*J85/1000+(1.5*BB85*J85)/1000</f>
        <v>167.23702999999998</v>
      </c>
      <c r="BI85" s="63">
        <f t="shared" ref="BI85:BI148" si="134">0.5*$K$4*G85*J85/1000+(1.5*BB85*J85)/1000</f>
        <v>167.23702999999998</v>
      </c>
      <c r="BJ85" s="63">
        <f t="shared" ref="BJ85:BJ148" si="135">MIN(BE85:BI85)</f>
        <v>167.23702999999998</v>
      </c>
      <c r="BK85" s="63" t="str">
        <f t="shared" ref="BK85:BK148" si="136">IF(BJ85&gt;L85,"OK","NOT OK")</f>
        <v>OK</v>
      </c>
      <c r="BL85" s="63">
        <f t="shared" ref="BL85:BL148" si="137">0.6*J85</f>
        <v>226.5</v>
      </c>
      <c r="BM85" s="63">
        <f t="shared" ref="BM85:BM148" si="138">J85</f>
        <v>377.5</v>
      </c>
      <c r="BN85" s="63">
        <f t="shared" ref="BN85:BN148" si="139">2*J85</f>
        <v>755</v>
      </c>
      <c r="BO85" s="63">
        <f t="shared" ref="BO85:BO148" si="140">3*J85</f>
        <v>1132.5</v>
      </c>
      <c r="BP85" s="63">
        <f t="shared" ref="BP85:BP148" si="141">0.5*$K$4*G85*J85/1000</f>
        <v>47.753749999999989</v>
      </c>
      <c r="BQ85" s="63">
        <f t="shared" si="77"/>
        <v>194.03132273763174</v>
      </c>
      <c r="BR85" s="63" t="str">
        <f t="shared" si="78"/>
        <v>OK</v>
      </c>
      <c r="BW85" s="70">
        <f t="shared" si="122"/>
        <v>37.02600000000001</v>
      </c>
    </row>
    <row r="86" spans="4:104">
      <c r="D86" s="176" t="s">
        <v>197</v>
      </c>
      <c r="E86" s="176" t="s">
        <v>239</v>
      </c>
      <c r="F86" s="67" t="s">
        <v>15</v>
      </c>
      <c r="G86" s="78">
        <v>220</v>
      </c>
      <c r="H86" s="78">
        <v>450</v>
      </c>
      <c r="I86" s="79">
        <f t="shared" ref="I86:I149" si="142">$J$12+((T86*fi(U86)*U86/2+W86*fi(X86)*(U86+30+X86/2)))/(T86*fi(U86)+W86*fi(X86))</f>
        <v>68</v>
      </c>
      <c r="J86" s="80">
        <f t="shared" si="105"/>
        <v>382</v>
      </c>
      <c r="K86" s="81">
        <v>-13</v>
      </c>
      <c r="L86" s="81">
        <v>21</v>
      </c>
      <c r="M86" s="81">
        <v>21</v>
      </c>
      <c r="N86" s="82">
        <f t="shared" si="112"/>
        <v>4.0033914613742817E-2</v>
      </c>
      <c r="O86" s="82">
        <f t="shared" si="106"/>
        <v>4.1000000000000002E-2</v>
      </c>
      <c r="P86" s="82">
        <f t="shared" si="107"/>
        <v>0.97950000000000004</v>
      </c>
      <c r="Q86" s="83" t="str">
        <f t="shared" si="113"/>
        <v>Ok</v>
      </c>
      <c r="R86" s="84">
        <f t="shared" si="114"/>
        <v>0.84040000000000004</v>
      </c>
      <c r="S86" s="131">
        <f t="shared" si="123"/>
        <v>1E-3</v>
      </c>
      <c r="T86" s="86">
        <v>2</v>
      </c>
      <c r="U86" s="77">
        <v>16</v>
      </c>
      <c r="V86" s="87" t="str">
        <f t="shared" si="115"/>
        <v>+</v>
      </c>
      <c r="W86" s="86">
        <v>0</v>
      </c>
      <c r="X86" s="77">
        <v>16</v>
      </c>
      <c r="Y86" s="88">
        <f t="shared" si="108"/>
        <v>4.0212385965949355</v>
      </c>
      <c r="Z86" s="89" t="str">
        <f t="shared" si="116"/>
        <v>Ok</v>
      </c>
      <c r="AA86" s="80">
        <f t="shared" si="79"/>
        <v>0</v>
      </c>
      <c r="AB86" s="80">
        <f t="shared" si="109"/>
        <v>54.92609799089022</v>
      </c>
      <c r="AC86" s="89" t="str">
        <f t="shared" si="81"/>
        <v>Ok</v>
      </c>
      <c r="AD86" s="85">
        <f t="shared" si="110"/>
        <v>4.0618571682777133E-3</v>
      </c>
      <c r="AE86" s="85">
        <f t="shared" si="117"/>
        <v>1.9281988961466403E-2</v>
      </c>
      <c r="AF86" s="60" t="str">
        <f t="shared" si="111"/>
        <v>Ok</v>
      </c>
      <c r="AG86" s="77">
        <v>8</v>
      </c>
      <c r="AH86" s="76">
        <v>2</v>
      </c>
      <c r="AI86" s="76">
        <v>150</v>
      </c>
      <c r="AJ86" s="60">
        <f t="shared" si="118"/>
        <v>6.698666666666667</v>
      </c>
      <c r="AK86" s="60" t="str">
        <f t="shared" si="119"/>
        <v>OK</v>
      </c>
      <c r="AL86" s="109">
        <f t="shared" si="120"/>
        <v>210</v>
      </c>
      <c r="AT86" s="133" t="str">
        <f t="shared" si="121"/>
        <v>no need</v>
      </c>
      <c r="AV86" s="61">
        <f t="shared" si="124"/>
        <v>428.60399999999998</v>
      </c>
      <c r="AW86" s="61" t="str">
        <f t="shared" si="125"/>
        <v>OK</v>
      </c>
      <c r="AX86" s="63">
        <f t="shared" si="126"/>
        <v>1758.0367619047615</v>
      </c>
      <c r="AY86" s="63">
        <f t="shared" si="127"/>
        <v>191</v>
      </c>
      <c r="AZ86" s="63">
        <f t="shared" si="128"/>
        <v>222.40632411067196</v>
      </c>
      <c r="BA86" s="63">
        <f t="shared" ref="BA86:BA149" si="143">0.25*$K$4*G86</f>
        <v>63.249999999999993</v>
      </c>
      <c r="BB86" s="63">
        <f t="shared" ref="BB86:BB149" si="144">(AL86*AH86*(3.14*AG86^2/4)/AI86)</f>
        <v>140.672</v>
      </c>
      <c r="BC86" s="63" t="str">
        <f t="shared" ref="BC86:BC149" si="145">IF(BB86&gt;BA86,"OK","NOT OK")</f>
        <v>OK</v>
      </c>
      <c r="BD86" s="63">
        <f t="shared" si="129"/>
        <v>724.49399523776435</v>
      </c>
      <c r="BE86" s="63">
        <f t="shared" si="130"/>
        <v>281.917528</v>
      </c>
      <c r="BF86" s="63">
        <f t="shared" si="131"/>
        <v>185.27152799999996</v>
      </c>
      <c r="BG86" s="63">
        <f t="shared" si="132"/>
        <v>232.78545316949368</v>
      </c>
      <c r="BH86" s="63">
        <f t="shared" si="133"/>
        <v>128.92805599999997</v>
      </c>
      <c r="BI86" s="63">
        <f t="shared" si="134"/>
        <v>128.92805599999997</v>
      </c>
      <c r="BJ86" s="63">
        <f t="shared" si="135"/>
        <v>128.92805599999997</v>
      </c>
      <c r="BK86" s="63" t="str">
        <f t="shared" si="136"/>
        <v>OK</v>
      </c>
      <c r="BL86" s="63">
        <f t="shared" si="137"/>
        <v>229.2</v>
      </c>
      <c r="BM86" s="63">
        <f t="shared" si="138"/>
        <v>382</v>
      </c>
      <c r="BN86" s="63">
        <f t="shared" si="139"/>
        <v>764</v>
      </c>
      <c r="BO86" s="63">
        <f t="shared" si="140"/>
        <v>1146</v>
      </c>
      <c r="BP86" s="63">
        <f t="shared" si="141"/>
        <v>48.322999999999993</v>
      </c>
      <c r="BQ86" s="63">
        <f t="shared" ref="BQ86:BQ149" si="146">($H$6*Y85*100*0.9*J85+0.5*BB85*J85^2)/10^6</f>
        <v>160.12869979526641</v>
      </c>
      <c r="BR86" s="63" t="str">
        <f t="shared" ref="BR86:BR149" si="147">IF(K85&lt;=BQ86,"OK","NOT OK")</f>
        <v>OK</v>
      </c>
      <c r="BW86" s="70">
        <f t="shared" si="122"/>
        <v>37.02600000000001</v>
      </c>
    </row>
    <row r="87" spans="4:104">
      <c r="D87" s="177"/>
      <c r="E87" s="177"/>
      <c r="F87" s="68" t="s">
        <v>16</v>
      </c>
      <c r="G87" s="78">
        <v>220</v>
      </c>
      <c r="H87" s="78">
        <v>450</v>
      </c>
      <c r="I87" s="79">
        <f t="shared" si="142"/>
        <v>68</v>
      </c>
      <c r="J87" s="80">
        <f t="shared" si="105"/>
        <v>382</v>
      </c>
      <c r="K87" s="81">
        <v>43</v>
      </c>
      <c r="L87" s="81">
        <v>30</v>
      </c>
      <c r="M87" s="81">
        <v>30</v>
      </c>
      <c r="N87" s="82">
        <f t="shared" si="112"/>
        <v>0.13241987141468778</v>
      </c>
      <c r="O87" s="82">
        <f t="shared" si="106"/>
        <v>0.14299999999999999</v>
      </c>
      <c r="P87" s="82">
        <f t="shared" si="107"/>
        <v>0.92849999999999999</v>
      </c>
      <c r="Q87" s="83" t="str">
        <f t="shared" si="113"/>
        <v>Ok</v>
      </c>
      <c r="R87" s="84">
        <f t="shared" si="114"/>
        <v>2.7869804845580379</v>
      </c>
      <c r="S87" s="131">
        <f t="shared" si="123"/>
        <v>3.316254741263729E-3</v>
      </c>
      <c r="T87" s="86">
        <v>2</v>
      </c>
      <c r="U87" s="77">
        <v>16</v>
      </c>
      <c r="V87" s="87" t="str">
        <f t="shared" si="115"/>
        <v>+</v>
      </c>
      <c r="W87" s="86">
        <v>0</v>
      </c>
      <c r="X87" s="77">
        <v>16</v>
      </c>
      <c r="Y87" s="88">
        <f t="shared" si="108"/>
        <v>4.0212385965949355</v>
      </c>
      <c r="Z87" s="89" t="str">
        <f t="shared" si="116"/>
        <v>Ok</v>
      </c>
      <c r="AA87" s="80">
        <f t="shared" ref="AA87:AA150" si="148">($H$6*Y87*100-$H$6*(T88*PI()*U88^2/4))/($J$11*$H$4*G87)</f>
        <v>0</v>
      </c>
      <c r="AB87" s="80">
        <f t="shared" si="109"/>
        <v>54.92609799089022</v>
      </c>
      <c r="AC87" s="89" t="str">
        <f t="shared" ref="AC87:AC150" si="149">IF(ABS(K87)&lt;AB87,"Ok","Not Ok")</f>
        <v>Ok</v>
      </c>
      <c r="AD87" s="85">
        <f t="shared" si="110"/>
        <v>4.0618571682777133E-3</v>
      </c>
      <c r="AE87" s="85">
        <f t="shared" si="117"/>
        <v>1.9281988961466403E-2</v>
      </c>
      <c r="AF87" s="60" t="str">
        <f t="shared" si="111"/>
        <v>Ok</v>
      </c>
      <c r="AG87" s="77">
        <v>8</v>
      </c>
      <c r="AH87" s="76">
        <v>2</v>
      </c>
      <c r="AI87" s="76">
        <v>150</v>
      </c>
      <c r="AJ87" s="60">
        <f t="shared" si="118"/>
        <v>6.698666666666667</v>
      </c>
      <c r="AK87" s="60" t="str">
        <f t="shared" si="119"/>
        <v>OK</v>
      </c>
      <c r="AL87" s="109">
        <f t="shared" si="120"/>
        <v>210</v>
      </c>
      <c r="AT87" s="133" t="str">
        <f t="shared" si="121"/>
        <v>no need</v>
      </c>
      <c r="AV87" s="61">
        <f t="shared" si="124"/>
        <v>428.60399999999998</v>
      </c>
      <c r="AW87" s="61" t="str">
        <f t="shared" si="125"/>
        <v>OK</v>
      </c>
      <c r="AX87" s="63">
        <f t="shared" si="126"/>
        <v>1230.6257333333331</v>
      </c>
      <c r="AY87" s="63">
        <f t="shared" si="127"/>
        <v>191</v>
      </c>
      <c r="AZ87" s="63">
        <f t="shared" si="128"/>
        <v>222.40632411067196</v>
      </c>
      <c r="BA87" s="63">
        <f t="shared" si="143"/>
        <v>63.249999999999993</v>
      </c>
      <c r="BB87" s="63">
        <f t="shared" si="144"/>
        <v>140.672</v>
      </c>
      <c r="BC87" s="63" t="str">
        <f t="shared" si="145"/>
        <v>OK</v>
      </c>
      <c r="BD87" s="63">
        <f t="shared" si="129"/>
        <v>724.49399523776435</v>
      </c>
      <c r="BE87" s="63">
        <f t="shared" si="130"/>
        <v>281.917528</v>
      </c>
      <c r="BF87" s="63">
        <f t="shared" si="131"/>
        <v>185.27152799999996</v>
      </c>
      <c r="BG87" s="63">
        <f t="shared" si="132"/>
        <v>232.78545316949368</v>
      </c>
      <c r="BH87" s="63">
        <f t="shared" si="133"/>
        <v>128.92805599999997</v>
      </c>
      <c r="BI87" s="63">
        <f t="shared" si="134"/>
        <v>128.92805599999997</v>
      </c>
      <c r="BJ87" s="63">
        <f t="shared" si="135"/>
        <v>128.92805599999997</v>
      </c>
      <c r="BK87" s="63" t="str">
        <f t="shared" si="136"/>
        <v>OK</v>
      </c>
      <c r="BL87" s="63">
        <f t="shared" si="137"/>
        <v>229.2</v>
      </c>
      <c r="BM87" s="63">
        <f t="shared" si="138"/>
        <v>382</v>
      </c>
      <c r="BN87" s="63">
        <f t="shared" si="139"/>
        <v>764</v>
      </c>
      <c r="BO87" s="63">
        <f t="shared" si="140"/>
        <v>1146</v>
      </c>
      <c r="BP87" s="63">
        <f t="shared" si="141"/>
        <v>48.322999999999993</v>
      </c>
      <c r="BQ87" s="63">
        <f t="shared" si="146"/>
        <v>70.402540047656231</v>
      </c>
      <c r="BR87" s="63" t="str">
        <f t="shared" si="147"/>
        <v>OK</v>
      </c>
      <c r="BW87" s="70">
        <f t="shared" si="122"/>
        <v>37.02600000000001</v>
      </c>
    </row>
    <row r="88" spans="4:104">
      <c r="D88" s="178"/>
      <c r="E88" s="178"/>
      <c r="F88" s="67" t="s">
        <v>15</v>
      </c>
      <c r="G88" s="78">
        <v>220</v>
      </c>
      <c r="H88" s="78">
        <v>450</v>
      </c>
      <c r="I88" s="79">
        <f t="shared" si="142"/>
        <v>68</v>
      </c>
      <c r="J88" s="80">
        <f t="shared" si="105"/>
        <v>382</v>
      </c>
      <c r="K88" s="81">
        <v>-13</v>
      </c>
      <c r="L88" s="81">
        <v>35</v>
      </c>
      <c r="M88" s="81">
        <v>35</v>
      </c>
      <c r="N88" s="82">
        <f t="shared" si="112"/>
        <v>4.0033914613742817E-2</v>
      </c>
      <c r="O88" s="82">
        <f t="shared" si="106"/>
        <v>4.1000000000000002E-2</v>
      </c>
      <c r="P88" s="82">
        <f t="shared" si="107"/>
        <v>0.97950000000000004</v>
      </c>
      <c r="Q88" s="83" t="str">
        <f t="shared" si="113"/>
        <v>Ok</v>
      </c>
      <c r="R88" s="84">
        <f t="shared" si="114"/>
        <v>0.84040000000000004</v>
      </c>
      <c r="S88" s="131">
        <f t="shared" si="123"/>
        <v>1E-3</v>
      </c>
      <c r="T88" s="86">
        <v>2</v>
      </c>
      <c r="U88" s="77">
        <v>16</v>
      </c>
      <c r="V88" s="87" t="str">
        <f t="shared" si="115"/>
        <v>+</v>
      </c>
      <c r="W88" s="86">
        <v>0</v>
      </c>
      <c r="X88" s="77">
        <v>16</v>
      </c>
      <c r="Y88" s="88">
        <f t="shared" si="108"/>
        <v>4.0212385965949355</v>
      </c>
      <c r="Z88" s="89" t="str">
        <f t="shared" si="116"/>
        <v>Ok</v>
      </c>
      <c r="AA88" s="80">
        <f t="shared" si="148"/>
        <v>-70.623364263618114</v>
      </c>
      <c r="AB88" s="80">
        <f t="shared" si="109"/>
        <v>38.357740778137369</v>
      </c>
      <c r="AC88" s="89" t="str">
        <f t="shared" si="149"/>
        <v>Ok</v>
      </c>
      <c r="AD88" s="85">
        <f t="shared" si="110"/>
        <v>4.0618571682777133E-3</v>
      </c>
      <c r="AE88" s="85">
        <f t="shared" si="117"/>
        <v>1.9281988961466403E-2</v>
      </c>
      <c r="AF88" s="60" t="str">
        <f t="shared" si="111"/>
        <v>Ok</v>
      </c>
      <c r="AG88" s="77">
        <v>8</v>
      </c>
      <c r="AH88" s="76">
        <v>2</v>
      </c>
      <c r="AI88" s="76">
        <v>150</v>
      </c>
      <c r="AJ88" s="60">
        <f t="shared" si="118"/>
        <v>6.698666666666667</v>
      </c>
      <c r="AK88" s="60" t="str">
        <f t="shared" si="119"/>
        <v>OK</v>
      </c>
      <c r="AL88" s="109">
        <f t="shared" si="120"/>
        <v>210</v>
      </c>
      <c r="AT88" s="133" t="str">
        <f t="shared" si="121"/>
        <v>no need</v>
      </c>
      <c r="AV88" s="61">
        <f t="shared" si="124"/>
        <v>428.60399999999998</v>
      </c>
      <c r="AW88" s="61" t="str">
        <f t="shared" si="125"/>
        <v>OK</v>
      </c>
      <c r="AX88" s="63">
        <f t="shared" si="126"/>
        <v>1054.8220571428569</v>
      </c>
      <c r="AY88" s="63">
        <f t="shared" si="127"/>
        <v>191</v>
      </c>
      <c r="AZ88" s="63">
        <f t="shared" si="128"/>
        <v>222.40632411067196</v>
      </c>
      <c r="BA88" s="63">
        <f t="shared" si="143"/>
        <v>63.249999999999993</v>
      </c>
      <c r="BB88" s="63">
        <f t="shared" si="144"/>
        <v>140.672</v>
      </c>
      <c r="BC88" s="63" t="str">
        <f t="shared" si="145"/>
        <v>OK</v>
      </c>
      <c r="BD88" s="63">
        <f t="shared" si="129"/>
        <v>724.49399523776435</v>
      </c>
      <c r="BE88" s="63">
        <f t="shared" si="130"/>
        <v>281.917528</v>
      </c>
      <c r="BF88" s="63">
        <f t="shared" si="131"/>
        <v>185.27152799999996</v>
      </c>
      <c r="BG88" s="63">
        <f t="shared" si="132"/>
        <v>232.78545316949368</v>
      </c>
      <c r="BH88" s="63">
        <f t="shared" si="133"/>
        <v>128.92805599999997</v>
      </c>
      <c r="BI88" s="63">
        <f t="shared" si="134"/>
        <v>128.92805599999997</v>
      </c>
      <c r="BJ88" s="63">
        <f t="shared" si="135"/>
        <v>128.92805599999997</v>
      </c>
      <c r="BK88" s="63" t="str">
        <f t="shared" si="136"/>
        <v>OK</v>
      </c>
      <c r="BL88" s="63">
        <f t="shared" si="137"/>
        <v>229.2</v>
      </c>
      <c r="BM88" s="63">
        <f t="shared" si="138"/>
        <v>382</v>
      </c>
      <c r="BN88" s="63">
        <f t="shared" si="139"/>
        <v>764</v>
      </c>
      <c r="BO88" s="63">
        <f t="shared" si="140"/>
        <v>1146</v>
      </c>
      <c r="BP88" s="63">
        <f t="shared" si="141"/>
        <v>48.322999999999993</v>
      </c>
      <c r="BQ88" s="63">
        <f t="shared" si="146"/>
        <v>70.402540047656231</v>
      </c>
      <c r="BR88" s="63" t="str">
        <f t="shared" si="147"/>
        <v>OK</v>
      </c>
      <c r="BW88" s="70">
        <f t="shared" si="122"/>
        <v>37.02600000000001</v>
      </c>
    </row>
    <row r="89" spans="4:104" ht="14.25" customHeight="1">
      <c r="D89" s="179" t="s">
        <v>133</v>
      </c>
      <c r="E89" s="179" t="s">
        <v>240</v>
      </c>
      <c r="F89" s="91" t="s">
        <v>15</v>
      </c>
      <c r="G89" s="78">
        <v>220</v>
      </c>
      <c r="H89" s="78">
        <v>450</v>
      </c>
      <c r="I89" s="92">
        <f t="shared" si="142"/>
        <v>69</v>
      </c>
      <c r="J89" s="93">
        <f t="shared" si="105"/>
        <v>381</v>
      </c>
      <c r="K89" s="94">
        <v>137</v>
      </c>
      <c r="L89" s="94">
        <v>41</v>
      </c>
      <c r="M89" s="94">
        <v>41</v>
      </c>
      <c r="N89" s="95">
        <f t="shared" si="112"/>
        <v>0.42411345227030439</v>
      </c>
      <c r="O89" s="95">
        <f t="shared" si="106"/>
        <v>0.61</v>
      </c>
      <c r="P89" s="95">
        <f t="shared" si="107"/>
        <v>0.69500000000000006</v>
      </c>
      <c r="Q89" s="96" t="str">
        <f t="shared" si="113"/>
        <v>Not Ok</v>
      </c>
      <c r="R89" s="97">
        <f t="shared" si="114"/>
        <v>11.893824609061053</v>
      </c>
      <c r="S89" s="131">
        <f t="shared" si="123"/>
        <v>1.4189721556980497E-2</v>
      </c>
      <c r="T89" s="99">
        <v>3</v>
      </c>
      <c r="U89" s="100">
        <v>18</v>
      </c>
      <c r="V89" s="101" t="str">
        <f t="shared" si="115"/>
        <v>+</v>
      </c>
      <c r="W89" s="99">
        <v>0</v>
      </c>
      <c r="X89" s="100">
        <v>18</v>
      </c>
      <c r="Y89" s="102">
        <f t="shared" si="108"/>
        <v>7.6340701482231976</v>
      </c>
      <c r="Z89" s="103" t="str">
        <f t="shared" si="116"/>
        <v>Not Ok</v>
      </c>
      <c r="AA89" s="93">
        <f t="shared" si="148"/>
        <v>-138.63673463053732</v>
      </c>
      <c r="AB89" s="93">
        <f t="shared" si="109"/>
        <v>58.69516583564058</v>
      </c>
      <c r="AC89" s="89" t="str">
        <f t="shared" si="149"/>
        <v>Not Ok</v>
      </c>
      <c r="AD89" s="98">
        <f t="shared" si="110"/>
        <v>7.7111819679022194E-3</v>
      </c>
      <c r="AE89" s="98">
        <f t="shared" si="117"/>
        <v>1.9281988961466403E-2</v>
      </c>
      <c r="AF89" s="104" t="str">
        <f t="shared" si="111"/>
        <v>Ok</v>
      </c>
      <c r="AG89" s="100">
        <v>8</v>
      </c>
      <c r="AH89" s="105">
        <v>2</v>
      </c>
      <c r="AI89" s="105">
        <v>100</v>
      </c>
      <c r="AJ89" s="104">
        <f t="shared" si="118"/>
        <v>10.048000000000002</v>
      </c>
      <c r="AK89" s="60" t="str">
        <f t="shared" si="119"/>
        <v>OK</v>
      </c>
      <c r="AL89" s="109">
        <f t="shared" si="120"/>
        <v>210</v>
      </c>
      <c r="AT89" s="133" t="str">
        <f t="shared" si="121"/>
        <v>no need</v>
      </c>
      <c r="AV89" s="61">
        <f t="shared" si="124"/>
        <v>427.48200000000003</v>
      </c>
      <c r="AW89" s="61" t="str">
        <f t="shared" si="125"/>
        <v>OK</v>
      </c>
      <c r="AX89" s="63">
        <f t="shared" si="126"/>
        <v>895.74958536585348</v>
      </c>
      <c r="AY89" s="63">
        <f t="shared" si="127"/>
        <v>190.5</v>
      </c>
      <c r="AZ89" s="63">
        <f t="shared" si="128"/>
        <v>333.60948616600797</v>
      </c>
      <c r="BA89" s="63">
        <f t="shared" si="143"/>
        <v>63.249999999999993</v>
      </c>
      <c r="BB89" s="63">
        <f t="shared" si="144"/>
        <v>211.00799999999998</v>
      </c>
      <c r="BC89" s="63" t="str">
        <f t="shared" si="145"/>
        <v>OK</v>
      </c>
      <c r="BD89" s="63">
        <f t="shared" si="129"/>
        <v>589.9983179985586</v>
      </c>
      <c r="BE89" s="63">
        <f t="shared" si="130"/>
        <v>301.27803599999999</v>
      </c>
      <c r="BF89" s="63">
        <f t="shared" si="131"/>
        <v>204.88503599999996</v>
      </c>
      <c r="BG89" s="63">
        <f t="shared" si="132"/>
        <v>284.35644752195691</v>
      </c>
      <c r="BH89" s="63">
        <f t="shared" si="133"/>
        <v>168.78757199999998</v>
      </c>
      <c r="BI89" s="63">
        <f t="shared" si="134"/>
        <v>168.78757199999998</v>
      </c>
      <c r="BJ89" s="63">
        <f t="shared" si="135"/>
        <v>168.78757199999998</v>
      </c>
      <c r="BK89" s="63" t="str">
        <f t="shared" si="136"/>
        <v>OK</v>
      </c>
      <c r="BL89" s="63">
        <f t="shared" si="137"/>
        <v>228.6</v>
      </c>
      <c r="BM89" s="63">
        <f t="shared" si="138"/>
        <v>381</v>
      </c>
      <c r="BN89" s="63">
        <f t="shared" si="139"/>
        <v>762</v>
      </c>
      <c r="BO89" s="63">
        <f t="shared" si="140"/>
        <v>1143</v>
      </c>
      <c r="BP89" s="63">
        <f t="shared" si="141"/>
        <v>48.196499999999993</v>
      </c>
      <c r="BQ89" s="63">
        <f t="shared" si="146"/>
        <v>70.402540047656231</v>
      </c>
      <c r="BR89" s="63" t="str">
        <f t="shared" si="147"/>
        <v>OK</v>
      </c>
      <c r="BW89" s="70">
        <f t="shared" si="122"/>
        <v>37.02600000000001</v>
      </c>
    </row>
    <row r="90" spans="4:104" ht="15" customHeight="1">
      <c r="D90" s="180"/>
      <c r="E90" s="180"/>
      <c r="F90" s="106" t="s">
        <v>16</v>
      </c>
      <c r="G90" s="78">
        <v>220</v>
      </c>
      <c r="H90" s="78">
        <v>450</v>
      </c>
      <c r="I90" s="92">
        <f t="shared" si="142"/>
        <v>72.5</v>
      </c>
      <c r="J90" s="93">
        <f t="shared" si="105"/>
        <v>377.5</v>
      </c>
      <c r="K90" s="94">
        <v>-221</v>
      </c>
      <c r="L90" s="94">
        <v>150</v>
      </c>
      <c r="M90" s="94">
        <v>150</v>
      </c>
      <c r="N90" s="95">
        <f t="shared" si="112"/>
        <v>0.6968989237568789</v>
      </c>
      <c r="O90" s="95" t="e">
        <f t="shared" si="106"/>
        <v>#NUM!</v>
      </c>
      <c r="P90" s="95" t="e">
        <f t="shared" si="107"/>
        <v>#NUM!</v>
      </c>
      <c r="Q90" s="96" t="e">
        <f t="shared" si="113"/>
        <v>#NUM!</v>
      </c>
      <c r="R90" s="97" t="e">
        <f t="shared" si="114"/>
        <v>#NUM!</v>
      </c>
      <c r="S90" s="131" t="e">
        <f t="shared" si="123"/>
        <v>#NUM!</v>
      </c>
      <c r="T90" s="99">
        <v>3</v>
      </c>
      <c r="U90" s="100">
        <v>25</v>
      </c>
      <c r="V90" s="101" t="str">
        <f t="shared" si="115"/>
        <v>+</v>
      </c>
      <c r="W90" s="99">
        <v>0</v>
      </c>
      <c r="X90" s="100">
        <v>18</v>
      </c>
      <c r="Y90" s="102">
        <f t="shared" si="108"/>
        <v>14.726215563702155</v>
      </c>
      <c r="Z90" s="103" t="e">
        <f t="shared" si="116"/>
        <v>#NUM!</v>
      </c>
      <c r="AA90" s="93">
        <f t="shared" si="148"/>
        <v>0</v>
      </c>
      <c r="AB90" s="93">
        <f t="shared" si="109"/>
        <v>177.76382962333963</v>
      </c>
      <c r="AC90" s="89" t="str">
        <f t="shared" si="149"/>
        <v>Not Ok</v>
      </c>
      <c r="AD90" s="98">
        <f t="shared" si="110"/>
        <v>1.4874965215860764E-2</v>
      </c>
      <c r="AE90" s="98">
        <f t="shared" si="117"/>
        <v>1.9281988961466403E-2</v>
      </c>
      <c r="AF90" s="104" t="str">
        <f t="shared" si="111"/>
        <v>Ok</v>
      </c>
      <c r="AG90" s="100">
        <v>8</v>
      </c>
      <c r="AH90" s="105">
        <v>2</v>
      </c>
      <c r="AI90" s="105">
        <v>100</v>
      </c>
      <c r="AJ90" s="104">
        <f t="shared" si="118"/>
        <v>10.048000000000002</v>
      </c>
      <c r="AK90" s="60" t="str">
        <f t="shared" si="119"/>
        <v>OK</v>
      </c>
      <c r="AL90" s="109">
        <f t="shared" si="120"/>
        <v>210</v>
      </c>
      <c r="AT90" s="133" t="str">
        <f t="shared" si="121"/>
        <v>need</v>
      </c>
      <c r="AV90" s="61">
        <f t="shared" si="124"/>
        <v>423.55500000000001</v>
      </c>
      <c r="AW90" s="61" t="str">
        <f t="shared" si="125"/>
        <v>OK</v>
      </c>
      <c r="AX90" s="63">
        <f t="shared" si="126"/>
        <v>240.36054166666662</v>
      </c>
      <c r="AY90" s="63">
        <f t="shared" si="127"/>
        <v>188.75</v>
      </c>
      <c r="AZ90" s="63">
        <f t="shared" si="128"/>
        <v>333.60948616600797</v>
      </c>
      <c r="BA90" s="63">
        <f t="shared" si="143"/>
        <v>63.249999999999993</v>
      </c>
      <c r="BB90" s="63">
        <f t="shared" si="144"/>
        <v>211.00799999999998</v>
      </c>
      <c r="BC90" s="63" t="str">
        <f t="shared" si="145"/>
        <v>OK</v>
      </c>
      <c r="BD90" s="63">
        <f t="shared" si="129"/>
        <v>584.57838594345367</v>
      </c>
      <c r="BE90" s="63">
        <f t="shared" si="130"/>
        <v>298.51039000000003</v>
      </c>
      <c r="BF90" s="63">
        <f t="shared" si="131"/>
        <v>203.00288999999995</v>
      </c>
      <c r="BG90" s="63">
        <f t="shared" si="132"/>
        <v>281.74424918514103</v>
      </c>
      <c r="BH90" s="63">
        <f t="shared" si="133"/>
        <v>167.23702999999998</v>
      </c>
      <c r="BI90" s="63">
        <f t="shared" si="134"/>
        <v>167.23702999999998</v>
      </c>
      <c r="BJ90" s="63">
        <f t="shared" si="135"/>
        <v>167.23702999999998</v>
      </c>
      <c r="BK90" s="63" t="str">
        <f t="shared" si="136"/>
        <v>OK</v>
      </c>
      <c r="BL90" s="63">
        <f t="shared" si="137"/>
        <v>226.5</v>
      </c>
      <c r="BM90" s="63">
        <f t="shared" si="138"/>
        <v>377.5</v>
      </c>
      <c r="BN90" s="63">
        <f t="shared" si="139"/>
        <v>755</v>
      </c>
      <c r="BO90" s="63">
        <f t="shared" si="140"/>
        <v>1132.5</v>
      </c>
      <c r="BP90" s="63">
        <f t="shared" si="141"/>
        <v>47.753749999999989</v>
      </c>
      <c r="BQ90" s="63">
        <f t="shared" si="146"/>
        <v>129.18600158541943</v>
      </c>
      <c r="BR90" s="63" t="str">
        <f t="shared" si="147"/>
        <v>NOT OK</v>
      </c>
      <c r="BW90" s="70">
        <f t="shared" si="122"/>
        <v>37.02600000000001</v>
      </c>
    </row>
    <row r="91" spans="4:104">
      <c r="D91" s="181"/>
      <c r="E91" s="181"/>
      <c r="F91" s="91" t="s">
        <v>15</v>
      </c>
      <c r="G91" s="78">
        <v>220</v>
      </c>
      <c r="H91" s="78">
        <v>450</v>
      </c>
      <c r="I91" s="92">
        <f t="shared" si="142"/>
        <v>100</v>
      </c>
      <c r="J91" s="93">
        <f t="shared" si="105"/>
        <v>350</v>
      </c>
      <c r="K91" s="94">
        <v>-436</v>
      </c>
      <c r="L91" s="94">
        <v>177</v>
      </c>
      <c r="M91" s="94">
        <v>177</v>
      </c>
      <c r="N91" s="95">
        <f t="shared" si="112"/>
        <v>1.5994174598792916</v>
      </c>
      <c r="O91" s="95" t="e">
        <f t="shared" si="106"/>
        <v>#NUM!</v>
      </c>
      <c r="P91" s="95" t="e">
        <f t="shared" si="107"/>
        <v>#NUM!</v>
      </c>
      <c r="Q91" s="96" t="e">
        <f t="shared" si="113"/>
        <v>#NUM!</v>
      </c>
      <c r="R91" s="97" t="e">
        <f t="shared" si="114"/>
        <v>#NUM!</v>
      </c>
      <c r="S91" s="131" t="e">
        <f t="shared" si="123"/>
        <v>#NUM!</v>
      </c>
      <c r="T91" s="99">
        <v>3</v>
      </c>
      <c r="U91" s="100">
        <v>25</v>
      </c>
      <c r="V91" s="101" t="str">
        <f t="shared" si="115"/>
        <v>+</v>
      </c>
      <c r="W91" s="99">
        <v>3</v>
      </c>
      <c r="X91" s="100">
        <v>25</v>
      </c>
      <c r="Y91" s="102">
        <f t="shared" si="108"/>
        <v>29.45243112740431</v>
      </c>
      <c r="Z91" s="103" t="e">
        <f t="shared" si="116"/>
        <v>#NUM!</v>
      </c>
      <c r="AA91" s="93">
        <f t="shared" si="148"/>
        <v>287.86697390061732</v>
      </c>
      <c r="AB91" s="93">
        <f t="shared" si="109"/>
        <v>292.15181954117452</v>
      </c>
      <c r="AC91" s="89" t="str">
        <f t="shared" si="149"/>
        <v>Not Ok</v>
      </c>
      <c r="AD91" s="98">
        <f t="shared" si="110"/>
        <v>2.9749930431721527E-2</v>
      </c>
      <c r="AE91" s="98">
        <f t="shared" si="117"/>
        <v>1.9281988961466403E-2</v>
      </c>
      <c r="AF91" s="104" t="str">
        <f t="shared" si="111"/>
        <v>No-Ok</v>
      </c>
      <c r="AG91" s="100">
        <v>8</v>
      </c>
      <c r="AH91" s="105">
        <v>2</v>
      </c>
      <c r="AI91" s="105">
        <v>100</v>
      </c>
      <c r="AJ91" s="104">
        <f t="shared" si="118"/>
        <v>10.048000000000002</v>
      </c>
      <c r="AK91" s="60" t="str">
        <f t="shared" si="119"/>
        <v>NOT OK</v>
      </c>
      <c r="AL91" s="109">
        <f t="shared" si="120"/>
        <v>210</v>
      </c>
      <c r="AT91" s="133" t="str">
        <f t="shared" si="121"/>
        <v>need</v>
      </c>
      <c r="AV91" s="61">
        <f t="shared" si="124"/>
        <v>392.7</v>
      </c>
      <c r="AW91" s="61" t="str">
        <f t="shared" si="125"/>
        <v>OK</v>
      </c>
      <c r="AX91" s="63">
        <f t="shared" si="126"/>
        <v>175.09887005649716</v>
      </c>
      <c r="AY91" s="63">
        <f t="shared" si="127"/>
        <v>175</v>
      </c>
      <c r="AZ91" s="63">
        <f t="shared" si="128"/>
        <v>333.60948616600797</v>
      </c>
      <c r="BA91" s="63">
        <f t="shared" si="143"/>
        <v>63.249999999999993</v>
      </c>
      <c r="BB91" s="63">
        <f t="shared" si="144"/>
        <v>211.00799999999998</v>
      </c>
      <c r="BC91" s="63" t="str">
        <f t="shared" si="145"/>
        <v>OK</v>
      </c>
      <c r="BD91" s="63">
        <f t="shared" si="129"/>
        <v>541.99320551048697</v>
      </c>
      <c r="BE91" s="63">
        <f t="shared" si="130"/>
        <v>276.76459999999997</v>
      </c>
      <c r="BF91" s="63">
        <f t="shared" si="131"/>
        <v>188.21459999999996</v>
      </c>
      <c r="BG91" s="63">
        <f t="shared" si="132"/>
        <v>261.21983368158772</v>
      </c>
      <c r="BH91" s="63">
        <f t="shared" si="133"/>
        <v>155.05419999999998</v>
      </c>
      <c r="BI91" s="63">
        <f t="shared" si="134"/>
        <v>155.05419999999998</v>
      </c>
      <c r="BJ91" s="63">
        <f t="shared" si="135"/>
        <v>155.05419999999998</v>
      </c>
      <c r="BK91" s="63" t="str">
        <f t="shared" si="136"/>
        <v>NOT OK</v>
      </c>
      <c r="BL91" s="63">
        <f t="shared" si="137"/>
        <v>210</v>
      </c>
      <c r="BM91" s="63">
        <f t="shared" si="138"/>
        <v>350</v>
      </c>
      <c r="BN91" s="63">
        <f t="shared" si="139"/>
        <v>700</v>
      </c>
      <c r="BO91" s="63">
        <f t="shared" si="140"/>
        <v>1050</v>
      </c>
      <c r="BP91" s="63">
        <f t="shared" si="141"/>
        <v>44.274999999999991</v>
      </c>
      <c r="BQ91" s="63">
        <f t="shared" si="146"/>
        <v>232.67555999289965</v>
      </c>
      <c r="BR91" s="63" t="str">
        <f t="shared" si="147"/>
        <v>OK</v>
      </c>
      <c r="BW91" s="70">
        <f t="shared" si="122"/>
        <v>37.02600000000001</v>
      </c>
    </row>
    <row r="92" spans="4:104" ht="12.75" customHeight="1">
      <c r="D92" s="176" t="s">
        <v>140</v>
      </c>
      <c r="E92" s="176" t="s">
        <v>241</v>
      </c>
      <c r="F92" s="67" t="s">
        <v>15</v>
      </c>
      <c r="G92" s="78">
        <v>220</v>
      </c>
      <c r="H92" s="78">
        <v>450</v>
      </c>
      <c r="I92" s="79">
        <f t="shared" si="142"/>
        <v>100</v>
      </c>
      <c r="J92" s="80">
        <f>H92-I92</f>
        <v>350</v>
      </c>
      <c r="K92" s="81">
        <v>-411</v>
      </c>
      <c r="L92" s="81">
        <v>180</v>
      </c>
      <c r="M92" s="81">
        <v>180</v>
      </c>
      <c r="N92" s="82">
        <f t="shared" si="112"/>
        <v>1.5077077431430939</v>
      </c>
      <c r="O92" s="82" t="e">
        <f>ROUND(1-SQRT(1-2*N92),3)</f>
        <v>#NUM!</v>
      </c>
      <c r="P92" s="82" t="e">
        <f>1-0.5*O92</f>
        <v>#NUM!</v>
      </c>
      <c r="Q92" s="83" t="e">
        <f t="shared" si="113"/>
        <v>#NUM!</v>
      </c>
      <c r="R92" s="84" t="e">
        <f t="shared" si="114"/>
        <v>#NUM!</v>
      </c>
      <c r="S92" s="131" t="e">
        <f t="shared" si="123"/>
        <v>#NUM!</v>
      </c>
      <c r="T92" s="86">
        <v>3</v>
      </c>
      <c r="U92" s="77">
        <v>25</v>
      </c>
      <c r="V92" s="87" t="str">
        <f t="shared" si="115"/>
        <v>+</v>
      </c>
      <c r="W92" s="86">
        <v>3</v>
      </c>
      <c r="X92" s="77">
        <v>25</v>
      </c>
      <c r="Y92" s="88">
        <f>(T92*PI()*U92^2/4+W92*PI()*X92^2/4)/100</f>
        <v>29.45243112740431</v>
      </c>
      <c r="Z92" s="89" t="e">
        <f t="shared" si="116"/>
        <v>#NUM!</v>
      </c>
      <c r="AA92" s="90">
        <f t="shared" si="148"/>
        <v>287.86697390061732</v>
      </c>
      <c r="AB92" s="80">
        <f>($J$11*$H$4*G92*ABS(AA92)*(J92-0.5*ABS(AA92))+$H$6*(T93*PI()*U93^2/4)*(J92-I93))*10^-6</f>
        <v>309.76805490925324</v>
      </c>
      <c r="AC92" s="89" t="str">
        <f t="shared" si="149"/>
        <v>Not Ok</v>
      </c>
      <c r="AD92" s="85">
        <f>(Y92*100)/(G92*H92)</f>
        <v>2.9749930431721527E-2</v>
      </c>
      <c r="AE92" s="85">
        <f t="shared" si="117"/>
        <v>1.9281988961466403E-2</v>
      </c>
      <c r="AF92" s="60" t="str">
        <f>IF(AND(AD92&gt;0.1%,AD92&lt;AE92),"Ok","No-Ok")</f>
        <v>No-Ok</v>
      </c>
      <c r="AG92" s="77">
        <v>8</v>
      </c>
      <c r="AH92" s="76">
        <v>2</v>
      </c>
      <c r="AI92" s="76">
        <v>100</v>
      </c>
      <c r="AJ92" s="60">
        <f t="shared" si="118"/>
        <v>10.048000000000002</v>
      </c>
      <c r="AK92" s="60" t="str">
        <f t="shared" si="119"/>
        <v>NOT OK</v>
      </c>
      <c r="AL92" s="109">
        <f t="shared" si="120"/>
        <v>210</v>
      </c>
      <c r="AT92" s="133" t="str">
        <f t="shared" si="121"/>
        <v>need</v>
      </c>
      <c r="AV92" s="61">
        <f t="shared" si="124"/>
        <v>392.7</v>
      </c>
      <c r="AW92" s="61" t="str">
        <f t="shared" si="125"/>
        <v>OK</v>
      </c>
      <c r="AX92" s="63">
        <f t="shared" si="126"/>
        <v>172.18055555555554</v>
      </c>
      <c r="AY92" s="63">
        <f t="shared" si="127"/>
        <v>175</v>
      </c>
      <c r="AZ92" s="63">
        <f t="shared" si="128"/>
        <v>333.60948616600797</v>
      </c>
      <c r="BA92" s="63">
        <f t="shared" si="143"/>
        <v>63.249999999999993</v>
      </c>
      <c r="BB92" s="63">
        <f t="shared" si="144"/>
        <v>211.00799999999998</v>
      </c>
      <c r="BC92" s="63" t="str">
        <f t="shared" si="145"/>
        <v>OK</v>
      </c>
      <c r="BD92" s="63">
        <f t="shared" si="129"/>
        <v>541.99320551048697</v>
      </c>
      <c r="BE92" s="63">
        <f t="shared" si="130"/>
        <v>276.76459999999997</v>
      </c>
      <c r="BF92" s="63">
        <f t="shared" si="131"/>
        <v>188.21459999999996</v>
      </c>
      <c r="BG92" s="63">
        <f t="shared" si="132"/>
        <v>261.21983368158772</v>
      </c>
      <c r="BH92" s="63">
        <f t="shared" si="133"/>
        <v>155.05419999999998</v>
      </c>
      <c r="BI92" s="63">
        <f t="shared" si="134"/>
        <v>155.05419999999998</v>
      </c>
      <c r="BJ92" s="63">
        <f t="shared" si="135"/>
        <v>155.05419999999998</v>
      </c>
      <c r="BK92" s="63" t="str">
        <f t="shared" si="136"/>
        <v>NOT OK</v>
      </c>
      <c r="BL92" s="63">
        <f t="shared" si="137"/>
        <v>210</v>
      </c>
      <c r="BM92" s="63">
        <f t="shared" si="138"/>
        <v>350</v>
      </c>
      <c r="BN92" s="63">
        <f t="shared" si="139"/>
        <v>700</v>
      </c>
      <c r="BO92" s="63">
        <f t="shared" si="140"/>
        <v>1050</v>
      </c>
      <c r="BP92" s="63">
        <f t="shared" si="141"/>
        <v>44.274999999999991</v>
      </c>
      <c r="BQ92" s="63">
        <f t="shared" si="146"/>
        <v>416.49617752325759</v>
      </c>
      <c r="BR92" s="63" t="str">
        <f t="shared" si="147"/>
        <v>OK</v>
      </c>
      <c r="BU92" s="70">
        <v>12</v>
      </c>
      <c r="BV92" s="70">
        <v>1</v>
      </c>
      <c r="BW92" s="70">
        <f t="shared" si="122"/>
        <v>37.02600000000001</v>
      </c>
      <c r="BX92" s="70" t="str">
        <f>IF(BW92&gt;AT92,"OK","NOT OK")</f>
        <v>NOT OK</v>
      </c>
      <c r="BY92" s="70">
        <f>G92</f>
        <v>220</v>
      </c>
      <c r="BZ92" s="70">
        <f>H92</f>
        <v>450</v>
      </c>
      <c r="CA92" s="70">
        <f>BY92/(2*BZ92+BY92)</f>
        <v>0.19642857142857142</v>
      </c>
      <c r="CB92" s="27">
        <f>O79*AJ92/10</f>
        <v>0.25421440000000006</v>
      </c>
      <c r="CE92" s="71">
        <f>CB92*CA92*BY92*BZ92/1000000</f>
        <v>4.9435621714285722E-3</v>
      </c>
      <c r="CF92" s="71"/>
      <c r="CG92" s="71"/>
      <c r="CH92" s="70">
        <f>T93*3.14*U93^2/4</f>
        <v>1471.875</v>
      </c>
      <c r="CI92" s="71">
        <f>0.5*$H$6*CH92*BZ92/1000000</f>
        <v>144.05976562500001</v>
      </c>
      <c r="CJ92" s="70" t="str">
        <f>IF((CI92+CE92)&gt;AT92,"OK","NOT OK")</f>
        <v>NOT OK</v>
      </c>
      <c r="CK92" s="27">
        <f>BZ92</f>
        <v>450</v>
      </c>
      <c r="CL92" s="27">
        <f>BY92</f>
        <v>220</v>
      </c>
      <c r="CM92" s="74">
        <f>CK92/(2*CL92+CK92)</f>
        <v>0.5056179775280899</v>
      </c>
      <c r="CN92" s="74"/>
      <c r="CO92" s="27">
        <f>O79*AJ92/10</f>
        <v>0.25421440000000006</v>
      </c>
      <c r="CP92" s="74">
        <f>CO92*CM92*CK92*CL92/1000000</f>
        <v>1.2725001707865171E-2</v>
      </c>
      <c r="CQ92" s="27">
        <f>3.14*U93^2/4+3.14*U92^2/4+BV92*3.14*BU92^2/4</f>
        <v>1094.29</v>
      </c>
      <c r="CT92" s="71">
        <f>0.5*$H$6*CQ92*CL92/1000000</f>
        <v>52.361776499999991</v>
      </c>
      <c r="CU92" s="71"/>
      <c r="CV92" s="70" t="str">
        <f>IF((CT92+CP92)&gt;U92,"OK","NOT OK")</f>
        <v>OK</v>
      </c>
      <c r="CW92" s="74">
        <f>MIN((CP92+CT92),(CE92+CI92))</f>
        <v>52.374501501707854</v>
      </c>
      <c r="CX92" s="71">
        <f>AB92</f>
        <v>309.76805490925324</v>
      </c>
      <c r="CY92" s="71">
        <f>(BG92+BO92*J92)/1000</f>
        <v>367.76121983368159</v>
      </c>
      <c r="CZ92" s="62">
        <f>CW92*SQRT(1-(K92/CX92)^1)</f>
        <v>79.891275157843594</v>
      </c>
    </row>
    <row r="93" spans="4:104">
      <c r="D93" s="177"/>
      <c r="E93" s="177"/>
      <c r="F93" s="68" t="s">
        <v>16</v>
      </c>
      <c r="G93" s="78">
        <v>220</v>
      </c>
      <c r="H93" s="78">
        <v>450</v>
      </c>
      <c r="I93" s="79">
        <f t="shared" si="142"/>
        <v>72.5</v>
      </c>
      <c r="J93" s="80">
        <f t="shared" ref="J93:J103" si="150">H93-I93</f>
        <v>377.5</v>
      </c>
      <c r="K93" s="81">
        <v>-166</v>
      </c>
      <c r="L93" s="81">
        <v>148</v>
      </c>
      <c r="M93" s="81">
        <v>148</v>
      </c>
      <c r="N93" s="82">
        <f t="shared" si="112"/>
        <v>0.52346254001647918</v>
      </c>
      <c r="O93" s="82" t="e">
        <f t="shared" ref="O93:O103" si="151">ROUND(1-SQRT(1-2*N93),3)</f>
        <v>#NUM!</v>
      </c>
      <c r="P93" s="82" t="e">
        <f t="shared" ref="P93:P103" si="152">1-0.5*O93</f>
        <v>#NUM!</v>
      </c>
      <c r="Q93" s="83" t="e">
        <f t="shared" si="113"/>
        <v>#NUM!</v>
      </c>
      <c r="R93" s="84" t="e">
        <f t="shared" si="114"/>
        <v>#NUM!</v>
      </c>
      <c r="S93" s="131" t="e">
        <f t="shared" si="123"/>
        <v>#NUM!</v>
      </c>
      <c r="T93" s="86">
        <v>3</v>
      </c>
      <c r="U93" s="77">
        <v>25</v>
      </c>
      <c r="V93" s="87" t="str">
        <f t="shared" si="115"/>
        <v>+</v>
      </c>
      <c r="W93" s="86">
        <v>0</v>
      </c>
      <c r="X93" s="77">
        <v>18</v>
      </c>
      <c r="Y93" s="88">
        <f t="shared" ref="Y93:Y103" si="153">(T93*PI()*U93^2/4+W93*PI()*X93^2/4)/100</f>
        <v>14.726215563702155</v>
      </c>
      <c r="Z93" s="89" t="e">
        <f t="shared" si="116"/>
        <v>#NUM!</v>
      </c>
      <c r="AA93" s="80">
        <f t="shared" si="148"/>
        <v>138.63673463053732</v>
      </c>
      <c r="AB93" s="80">
        <f t="shared" ref="AB93:AB103" si="154">($J$11*$H$4*G93*AA93*(J93-0.5*AA93)+$H$6*(T94*PI()*U94^2/4)*(J93-I94))*10^-6</f>
        <v>197.52391234364117</v>
      </c>
      <c r="AC93" s="89" t="str">
        <f t="shared" si="149"/>
        <v>Ok</v>
      </c>
      <c r="AD93" s="85">
        <f t="shared" ref="AD93:AD103" si="155">(Y93*100)/(G93*H93)</f>
        <v>1.4874965215860764E-2</v>
      </c>
      <c r="AE93" s="85">
        <f t="shared" si="117"/>
        <v>1.9281988961466403E-2</v>
      </c>
      <c r="AF93" s="60" t="str">
        <f t="shared" ref="AF93:AF103" si="156">IF(AND(AD93&gt;0.1%,AD93&lt;AE93),"Ok","No-Ok")</f>
        <v>Ok</v>
      </c>
      <c r="AG93" s="77">
        <v>8</v>
      </c>
      <c r="AH93" s="76">
        <v>2</v>
      </c>
      <c r="AI93" s="76">
        <v>100</v>
      </c>
      <c r="AJ93" s="60">
        <f t="shared" si="118"/>
        <v>10.048000000000002</v>
      </c>
      <c r="AK93" s="60" t="str">
        <f t="shared" si="119"/>
        <v>OK</v>
      </c>
      <c r="AL93" s="109">
        <f t="shared" si="120"/>
        <v>210</v>
      </c>
      <c r="AT93" s="133" t="str">
        <f t="shared" si="121"/>
        <v>need</v>
      </c>
      <c r="AV93" s="61">
        <f t="shared" si="124"/>
        <v>423.55500000000001</v>
      </c>
      <c r="AW93" s="61" t="str">
        <f t="shared" si="125"/>
        <v>OK</v>
      </c>
      <c r="AX93" s="63">
        <f t="shared" si="126"/>
        <v>243.60865709459455</v>
      </c>
      <c r="AY93" s="63">
        <f t="shared" si="127"/>
        <v>188.75</v>
      </c>
      <c r="AZ93" s="63">
        <f t="shared" si="128"/>
        <v>333.60948616600797</v>
      </c>
      <c r="BA93" s="63">
        <f t="shared" si="143"/>
        <v>63.249999999999993</v>
      </c>
      <c r="BB93" s="63">
        <f t="shared" si="144"/>
        <v>211.00799999999998</v>
      </c>
      <c r="BC93" s="63" t="str">
        <f t="shared" si="145"/>
        <v>OK</v>
      </c>
      <c r="BD93" s="63">
        <f t="shared" si="129"/>
        <v>584.57838594345367</v>
      </c>
      <c r="BE93" s="63">
        <f t="shared" si="130"/>
        <v>298.51039000000003</v>
      </c>
      <c r="BF93" s="63">
        <f t="shared" si="131"/>
        <v>203.00288999999995</v>
      </c>
      <c r="BG93" s="63">
        <f t="shared" si="132"/>
        <v>281.74424918514103</v>
      </c>
      <c r="BH93" s="63">
        <f t="shared" si="133"/>
        <v>167.23702999999998</v>
      </c>
      <c r="BI93" s="63">
        <f t="shared" si="134"/>
        <v>167.23702999999998</v>
      </c>
      <c r="BJ93" s="63">
        <f t="shared" si="135"/>
        <v>167.23702999999998</v>
      </c>
      <c r="BK93" s="63" t="str">
        <f t="shared" si="136"/>
        <v>OK</v>
      </c>
      <c r="BL93" s="63">
        <f t="shared" si="137"/>
        <v>226.5</v>
      </c>
      <c r="BM93" s="63">
        <f t="shared" si="138"/>
        <v>377.5</v>
      </c>
      <c r="BN93" s="63">
        <f t="shared" si="139"/>
        <v>755</v>
      </c>
      <c r="BO93" s="63">
        <f t="shared" si="140"/>
        <v>1132.5</v>
      </c>
      <c r="BP93" s="63">
        <f t="shared" si="141"/>
        <v>47.753749999999989</v>
      </c>
      <c r="BQ93" s="63">
        <f t="shared" si="146"/>
        <v>416.49617752325759</v>
      </c>
      <c r="BR93" s="63" t="str">
        <f t="shared" si="147"/>
        <v>OK</v>
      </c>
      <c r="BW93" s="70">
        <f t="shared" si="122"/>
        <v>37.02600000000001</v>
      </c>
    </row>
    <row r="94" spans="4:104">
      <c r="D94" s="178"/>
      <c r="E94" s="178"/>
      <c r="F94" s="67" t="s">
        <v>15</v>
      </c>
      <c r="G94" s="78">
        <v>220</v>
      </c>
      <c r="H94" s="78">
        <v>450</v>
      </c>
      <c r="I94" s="79">
        <f t="shared" si="142"/>
        <v>69</v>
      </c>
      <c r="J94" s="80">
        <f t="shared" si="150"/>
        <v>381</v>
      </c>
      <c r="K94" s="81">
        <v>127</v>
      </c>
      <c r="L94" s="81">
        <v>57</v>
      </c>
      <c r="M94" s="81">
        <v>57</v>
      </c>
      <c r="N94" s="82">
        <f t="shared" si="112"/>
        <v>0.39315626597320191</v>
      </c>
      <c r="O94" s="82">
        <f t="shared" si="151"/>
        <v>0.53800000000000003</v>
      </c>
      <c r="P94" s="82">
        <f t="shared" si="152"/>
        <v>0.73099999999999998</v>
      </c>
      <c r="Q94" s="83" t="str">
        <f t="shared" si="113"/>
        <v>Not Ok</v>
      </c>
      <c r="R94" s="84">
        <f t="shared" si="114"/>
        <v>10.48267475929158</v>
      </c>
      <c r="S94" s="131">
        <f t="shared" si="123"/>
        <v>1.2506173656993056E-2</v>
      </c>
      <c r="T94" s="86">
        <v>3</v>
      </c>
      <c r="U94" s="77">
        <v>18</v>
      </c>
      <c r="V94" s="87" t="str">
        <f t="shared" si="115"/>
        <v>+</v>
      </c>
      <c r="W94" s="86">
        <v>0</v>
      </c>
      <c r="X94" s="77">
        <v>18</v>
      </c>
      <c r="Y94" s="88">
        <f t="shared" si="153"/>
        <v>7.6340701482231976</v>
      </c>
      <c r="Z94" s="89" t="str">
        <f t="shared" si="116"/>
        <v>Not Ok</v>
      </c>
      <c r="AA94" s="80">
        <f t="shared" si="148"/>
        <v>-73.69394531855805</v>
      </c>
      <c r="AB94" s="80">
        <f t="shared" si="154"/>
        <v>74.941166022761053</v>
      </c>
      <c r="AC94" s="89" t="str">
        <f t="shared" si="149"/>
        <v>Not Ok</v>
      </c>
      <c r="AD94" s="85">
        <f t="shared" si="155"/>
        <v>7.7111819679022194E-3</v>
      </c>
      <c r="AE94" s="85">
        <f t="shared" si="117"/>
        <v>1.9281988961466403E-2</v>
      </c>
      <c r="AF94" s="60" t="str">
        <f t="shared" si="156"/>
        <v>Ok</v>
      </c>
      <c r="AG94" s="77">
        <v>8</v>
      </c>
      <c r="AH94" s="76">
        <v>2</v>
      </c>
      <c r="AI94" s="76">
        <v>100</v>
      </c>
      <c r="AJ94" s="60">
        <f t="shared" si="118"/>
        <v>10.048000000000002</v>
      </c>
      <c r="AK94" s="60" t="str">
        <f t="shared" si="119"/>
        <v>OK</v>
      </c>
      <c r="AL94" s="109">
        <f t="shared" si="120"/>
        <v>210</v>
      </c>
      <c r="AT94" s="133" t="str">
        <f t="shared" si="121"/>
        <v>need</v>
      </c>
      <c r="AV94" s="61">
        <f t="shared" si="124"/>
        <v>427.48200000000003</v>
      </c>
      <c r="AW94" s="61" t="str">
        <f t="shared" si="125"/>
        <v>OK</v>
      </c>
      <c r="AX94" s="63">
        <f t="shared" si="126"/>
        <v>644.31110526315774</v>
      </c>
      <c r="AY94" s="63">
        <f t="shared" si="127"/>
        <v>190.5</v>
      </c>
      <c r="AZ94" s="63">
        <f t="shared" si="128"/>
        <v>333.60948616600797</v>
      </c>
      <c r="BA94" s="63">
        <f t="shared" si="143"/>
        <v>63.249999999999993</v>
      </c>
      <c r="BB94" s="63">
        <f t="shared" si="144"/>
        <v>211.00799999999998</v>
      </c>
      <c r="BC94" s="63" t="str">
        <f t="shared" si="145"/>
        <v>OK</v>
      </c>
      <c r="BD94" s="63">
        <f t="shared" si="129"/>
        <v>589.9983179985586</v>
      </c>
      <c r="BE94" s="63">
        <f t="shared" si="130"/>
        <v>301.27803599999999</v>
      </c>
      <c r="BF94" s="63">
        <f t="shared" si="131"/>
        <v>204.88503599999996</v>
      </c>
      <c r="BG94" s="63">
        <f t="shared" si="132"/>
        <v>284.35644752195691</v>
      </c>
      <c r="BH94" s="63">
        <f t="shared" si="133"/>
        <v>168.78757199999998</v>
      </c>
      <c r="BI94" s="63">
        <f t="shared" si="134"/>
        <v>168.78757199999998</v>
      </c>
      <c r="BJ94" s="63">
        <f t="shared" si="135"/>
        <v>168.78757199999998</v>
      </c>
      <c r="BK94" s="63" t="str">
        <f t="shared" si="136"/>
        <v>OK</v>
      </c>
      <c r="BL94" s="63">
        <f t="shared" si="137"/>
        <v>228.6</v>
      </c>
      <c r="BM94" s="63">
        <f t="shared" si="138"/>
        <v>381</v>
      </c>
      <c r="BN94" s="63">
        <f t="shared" si="139"/>
        <v>762</v>
      </c>
      <c r="BO94" s="63">
        <f t="shared" si="140"/>
        <v>1143</v>
      </c>
      <c r="BP94" s="63">
        <f t="shared" si="141"/>
        <v>48.196499999999993</v>
      </c>
      <c r="BQ94" s="63">
        <f t="shared" si="146"/>
        <v>232.67555999289965</v>
      </c>
      <c r="BR94" s="63" t="str">
        <f t="shared" si="147"/>
        <v>OK</v>
      </c>
      <c r="BW94" s="70">
        <f t="shared" si="122"/>
        <v>37.02600000000001</v>
      </c>
    </row>
    <row r="95" spans="4:104" ht="14.25" customHeight="1">
      <c r="D95" s="179" t="s">
        <v>136</v>
      </c>
      <c r="E95" s="179" t="s">
        <v>242</v>
      </c>
      <c r="F95" s="91" t="s">
        <v>15</v>
      </c>
      <c r="G95" s="78">
        <v>220</v>
      </c>
      <c r="H95" s="78">
        <v>450</v>
      </c>
      <c r="I95" s="92">
        <f t="shared" si="142"/>
        <v>91.8</v>
      </c>
      <c r="J95" s="93">
        <f t="shared" si="150"/>
        <v>358.2</v>
      </c>
      <c r="K95" s="94">
        <v>333</v>
      </c>
      <c r="L95" s="94">
        <v>91</v>
      </c>
      <c r="M95" s="94">
        <v>91</v>
      </c>
      <c r="N95" s="95">
        <f t="shared" si="112"/>
        <v>1.1662844964824599</v>
      </c>
      <c r="O95" s="95" t="e">
        <f t="shared" si="151"/>
        <v>#NUM!</v>
      </c>
      <c r="P95" s="95" t="e">
        <f t="shared" si="152"/>
        <v>#NUM!</v>
      </c>
      <c r="Q95" s="96" t="e">
        <f t="shared" si="113"/>
        <v>#NUM!</v>
      </c>
      <c r="R95" s="97" t="e">
        <f t="shared" si="114"/>
        <v>#NUM!</v>
      </c>
      <c r="S95" s="131" t="e">
        <f t="shared" si="123"/>
        <v>#NUM!</v>
      </c>
      <c r="T95" s="99">
        <v>3</v>
      </c>
      <c r="U95" s="100">
        <v>22</v>
      </c>
      <c r="V95" s="101" t="str">
        <f t="shared" si="115"/>
        <v>+</v>
      </c>
      <c r="W95" s="99">
        <v>2</v>
      </c>
      <c r="X95" s="100">
        <v>22</v>
      </c>
      <c r="Y95" s="102">
        <f t="shared" si="153"/>
        <v>19.006635554218249</v>
      </c>
      <c r="Z95" s="103" t="e">
        <f t="shared" si="116"/>
        <v>#NUM!</v>
      </c>
      <c r="AA95" s="93">
        <f t="shared" si="148"/>
        <v>10.439975586795686</v>
      </c>
      <c r="AB95" s="93">
        <f t="shared" si="154"/>
        <v>236.57123595208799</v>
      </c>
      <c r="AC95" s="89" t="str">
        <f t="shared" si="149"/>
        <v>Not Ok</v>
      </c>
      <c r="AD95" s="98">
        <f t="shared" si="155"/>
        <v>1.9198621771937624E-2</v>
      </c>
      <c r="AE95" s="98">
        <f t="shared" si="117"/>
        <v>1.9281988961466403E-2</v>
      </c>
      <c r="AF95" s="104" t="str">
        <f t="shared" si="156"/>
        <v>Ok</v>
      </c>
      <c r="AG95" s="100">
        <v>8</v>
      </c>
      <c r="AH95" s="105">
        <v>2</v>
      </c>
      <c r="AI95" s="105">
        <v>100</v>
      </c>
      <c r="AJ95" s="104">
        <f t="shared" si="118"/>
        <v>10.048000000000002</v>
      </c>
      <c r="AK95" s="60" t="str">
        <f t="shared" si="119"/>
        <v>OK</v>
      </c>
      <c r="AL95" s="109">
        <f t="shared" si="120"/>
        <v>210</v>
      </c>
      <c r="AT95" s="133" t="str">
        <f t="shared" si="121"/>
        <v>need</v>
      </c>
      <c r="AV95" s="61">
        <f t="shared" si="124"/>
        <v>401.90039999999999</v>
      </c>
      <c r="AW95" s="61" t="str">
        <f t="shared" si="125"/>
        <v>OK</v>
      </c>
      <c r="AX95" s="63">
        <f t="shared" si="126"/>
        <v>356.72232659340654</v>
      </c>
      <c r="AY95" s="63">
        <f t="shared" si="127"/>
        <v>179.1</v>
      </c>
      <c r="AZ95" s="63">
        <f t="shared" si="128"/>
        <v>333.60948616600797</v>
      </c>
      <c r="BA95" s="63">
        <f t="shared" si="143"/>
        <v>63.249999999999993</v>
      </c>
      <c r="BB95" s="63">
        <f t="shared" si="144"/>
        <v>211.00799999999998</v>
      </c>
      <c r="BC95" s="63" t="str">
        <f t="shared" si="145"/>
        <v>OK</v>
      </c>
      <c r="BD95" s="63">
        <f t="shared" si="129"/>
        <v>554.69133203958972</v>
      </c>
      <c r="BE95" s="63">
        <f t="shared" si="130"/>
        <v>283.24879920000001</v>
      </c>
      <c r="BF95" s="63">
        <f t="shared" si="131"/>
        <v>192.62419919999994</v>
      </c>
      <c r="BG95" s="63">
        <f t="shared" si="132"/>
        <v>267.33984121355633</v>
      </c>
      <c r="BH95" s="63">
        <f t="shared" si="133"/>
        <v>158.68689839999996</v>
      </c>
      <c r="BI95" s="63">
        <f t="shared" si="134"/>
        <v>158.68689839999996</v>
      </c>
      <c r="BJ95" s="63">
        <f t="shared" si="135"/>
        <v>158.68689839999996</v>
      </c>
      <c r="BK95" s="63" t="str">
        <f t="shared" si="136"/>
        <v>OK</v>
      </c>
      <c r="BL95" s="63">
        <f t="shared" si="137"/>
        <v>214.92</v>
      </c>
      <c r="BM95" s="63">
        <f t="shared" si="138"/>
        <v>358.2</v>
      </c>
      <c r="BN95" s="63">
        <f t="shared" si="139"/>
        <v>716.4</v>
      </c>
      <c r="BO95" s="63">
        <f t="shared" si="140"/>
        <v>1074.5999999999999</v>
      </c>
      <c r="BP95" s="63">
        <f t="shared" si="141"/>
        <v>45.312299999999993</v>
      </c>
      <c r="BQ95" s="63">
        <f t="shared" si="146"/>
        <v>129.18600158541943</v>
      </c>
      <c r="BR95" s="63" t="str">
        <f t="shared" si="147"/>
        <v>OK</v>
      </c>
      <c r="BW95" s="70">
        <f t="shared" si="122"/>
        <v>37.02600000000001</v>
      </c>
    </row>
    <row r="96" spans="4:104" ht="14.25" customHeight="1">
      <c r="D96" s="180"/>
      <c r="E96" s="180"/>
      <c r="F96" s="106" t="s">
        <v>16</v>
      </c>
      <c r="G96" s="78">
        <v>220</v>
      </c>
      <c r="H96" s="78">
        <v>450</v>
      </c>
      <c r="I96" s="92">
        <f t="shared" si="142"/>
        <v>74</v>
      </c>
      <c r="J96" s="93">
        <f t="shared" si="150"/>
        <v>376</v>
      </c>
      <c r="K96" s="94">
        <v>-217</v>
      </c>
      <c r="L96" s="94">
        <v>174</v>
      </c>
      <c r="M96" s="94">
        <v>174</v>
      </c>
      <c r="N96" s="95">
        <f t="shared" si="112"/>
        <v>0.68975598266749127</v>
      </c>
      <c r="O96" s="95" t="e">
        <f t="shared" si="151"/>
        <v>#NUM!</v>
      </c>
      <c r="P96" s="95" t="e">
        <f t="shared" si="152"/>
        <v>#NUM!</v>
      </c>
      <c r="Q96" s="96" t="e">
        <f t="shared" si="113"/>
        <v>#NUM!</v>
      </c>
      <c r="R96" s="97" t="e">
        <f t="shared" si="114"/>
        <v>#NUM!</v>
      </c>
      <c r="S96" s="131" t="e">
        <f t="shared" si="123"/>
        <v>#NUM!</v>
      </c>
      <c r="T96" s="99">
        <v>3</v>
      </c>
      <c r="U96" s="100">
        <v>28</v>
      </c>
      <c r="V96" s="101" t="str">
        <f t="shared" si="115"/>
        <v>+</v>
      </c>
      <c r="W96" s="99">
        <v>0</v>
      </c>
      <c r="X96" s="100">
        <v>18</v>
      </c>
      <c r="Y96" s="102">
        <f t="shared" si="153"/>
        <v>18.472564803107986</v>
      </c>
      <c r="Z96" s="103" t="e">
        <f t="shared" si="116"/>
        <v>#NUM!</v>
      </c>
      <c r="AA96" s="93">
        <f t="shared" si="148"/>
        <v>0</v>
      </c>
      <c r="AB96" s="93">
        <f t="shared" si="154"/>
        <v>219.37094331930888</v>
      </c>
      <c r="AC96" s="89" t="str">
        <f t="shared" si="149"/>
        <v>Ok</v>
      </c>
      <c r="AD96" s="98">
        <f t="shared" si="155"/>
        <v>1.8659156366775741E-2</v>
      </c>
      <c r="AE96" s="98">
        <f t="shared" si="117"/>
        <v>1.9281988961466403E-2</v>
      </c>
      <c r="AF96" s="104" t="str">
        <f t="shared" si="156"/>
        <v>Ok</v>
      </c>
      <c r="AG96" s="100">
        <v>8</v>
      </c>
      <c r="AH96" s="105">
        <v>2</v>
      </c>
      <c r="AI96" s="105">
        <v>100</v>
      </c>
      <c r="AJ96" s="104">
        <f t="shared" si="118"/>
        <v>10.048000000000002</v>
      </c>
      <c r="AK96" s="60" t="str">
        <f t="shared" si="119"/>
        <v>NOT OK</v>
      </c>
      <c r="AL96" s="109">
        <f t="shared" si="120"/>
        <v>210</v>
      </c>
      <c r="AT96" s="133" t="str">
        <f t="shared" si="121"/>
        <v>need</v>
      </c>
      <c r="AV96" s="61">
        <f t="shared" si="124"/>
        <v>421.87200000000001</v>
      </c>
      <c r="AW96" s="61" t="str">
        <f t="shared" si="125"/>
        <v>OK</v>
      </c>
      <c r="AX96" s="63">
        <f t="shared" si="126"/>
        <v>205.56395402298847</v>
      </c>
      <c r="AY96" s="63">
        <f t="shared" si="127"/>
        <v>188</v>
      </c>
      <c r="AZ96" s="63">
        <f t="shared" si="128"/>
        <v>333.60948616600797</v>
      </c>
      <c r="BA96" s="63">
        <f t="shared" si="143"/>
        <v>63.249999999999993</v>
      </c>
      <c r="BB96" s="63">
        <f t="shared" si="144"/>
        <v>211.00799999999998</v>
      </c>
      <c r="BC96" s="63" t="str">
        <f t="shared" si="145"/>
        <v>OK</v>
      </c>
      <c r="BD96" s="63">
        <f t="shared" si="129"/>
        <v>582.25555791983732</v>
      </c>
      <c r="BE96" s="63">
        <f t="shared" si="130"/>
        <v>297.32425599999999</v>
      </c>
      <c r="BF96" s="63">
        <f t="shared" si="131"/>
        <v>202.19625599999995</v>
      </c>
      <c r="BG96" s="63">
        <f t="shared" si="132"/>
        <v>280.62473561221998</v>
      </c>
      <c r="BH96" s="63">
        <f t="shared" si="133"/>
        <v>166.57251199999996</v>
      </c>
      <c r="BI96" s="63">
        <f t="shared" si="134"/>
        <v>166.57251199999996</v>
      </c>
      <c r="BJ96" s="63">
        <f t="shared" si="135"/>
        <v>166.57251199999996</v>
      </c>
      <c r="BK96" s="63" t="str">
        <f t="shared" si="136"/>
        <v>NOT OK</v>
      </c>
      <c r="BL96" s="63">
        <f t="shared" si="137"/>
        <v>225.6</v>
      </c>
      <c r="BM96" s="63">
        <f t="shared" si="138"/>
        <v>376</v>
      </c>
      <c r="BN96" s="63">
        <f t="shared" si="139"/>
        <v>752</v>
      </c>
      <c r="BO96" s="63">
        <f t="shared" si="140"/>
        <v>1128</v>
      </c>
      <c r="BP96" s="63">
        <f t="shared" si="141"/>
        <v>47.563999999999993</v>
      </c>
      <c r="BQ96" s="63">
        <f t="shared" si="146"/>
        <v>280.07705094260621</v>
      </c>
      <c r="BR96" s="63" t="str">
        <f t="shared" si="147"/>
        <v>NOT OK</v>
      </c>
      <c r="BW96" s="70">
        <f t="shared" si="122"/>
        <v>37.02600000000001</v>
      </c>
    </row>
    <row r="97" spans="4:104">
      <c r="D97" s="181"/>
      <c r="E97" s="181"/>
      <c r="F97" s="91" t="s">
        <v>15</v>
      </c>
      <c r="G97" s="78">
        <v>220</v>
      </c>
      <c r="H97" s="78">
        <v>450</v>
      </c>
      <c r="I97" s="92">
        <f t="shared" si="142"/>
        <v>103</v>
      </c>
      <c r="J97" s="93">
        <f t="shared" si="150"/>
        <v>347</v>
      </c>
      <c r="K97" s="94">
        <v>-557</v>
      </c>
      <c r="L97" s="94">
        <v>303</v>
      </c>
      <c r="M97" s="94">
        <v>303</v>
      </c>
      <c r="N97" s="95">
        <f t="shared" si="112"/>
        <v>2.078775921136335</v>
      </c>
      <c r="O97" s="95" t="e">
        <f t="shared" si="151"/>
        <v>#NUM!</v>
      </c>
      <c r="P97" s="95" t="e">
        <f t="shared" si="152"/>
        <v>#NUM!</v>
      </c>
      <c r="Q97" s="96" t="e">
        <f t="shared" si="113"/>
        <v>#NUM!</v>
      </c>
      <c r="R97" s="97" t="e">
        <f t="shared" si="114"/>
        <v>#NUM!</v>
      </c>
      <c r="S97" s="131" t="e">
        <f t="shared" si="123"/>
        <v>#NUM!</v>
      </c>
      <c r="T97" s="99">
        <v>3</v>
      </c>
      <c r="U97" s="100">
        <v>28</v>
      </c>
      <c r="V97" s="101" t="str">
        <f t="shared" si="115"/>
        <v>+</v>
      </c>
      <c r="W97" s="99">
        <v>3</v>
      </c>
      <c r="X97" s="100">
        <v>28</v>
      </c>
      <c r="Y97" s="102">
        <f t="shared" si="153"/>
        <v>36.945129606215971</v>
      </c>
      <c r="Z97" s="103" t="e">
        <f t="shared" si="116"/>
        <v>#NUM!</v>
      </c>
      <c r="AA97" s="93">
        <f t="shared" si="148"/>
        <v>361.10033206093436</v>
      </c>
      <c r="AB97" s="93">
        <f t="shared" si="154"/>
        <v>329.8196603045792</v>
      </c>
      <c r="AC97" s="89" t="str">
        <f t="shared" si="149"/>
        <v>Not Ok</v>
      </c>
      <c r="AD97" s="98">
        <f t="shared" si="155"/>
        <v>3.7318312733551483E-2</v>
      </c>
      <c r="AE97" s="98">
        <f t="shared" si="117"/>
        <v>1.9281988961466403E-2</v>
      </c>
      <c r="AF97" s="104" t="str">
        <f t="shared" si="156"/>
        <v>No-Ok</v>
      </c>
      <c r="AG97" s="100">
        <v>8</v>
      </c>
      <c r="AH97" s="105">
        <v>2</v>
      </c>
      <c r="AI97" s="105">
        <v>100</v>
      </c>
      <c r="AJ97" s="104">
        <f t="shared" si="118"/>
        <v>10.048000000000002</v>
      </c>
      <c r="AK97" s="60" t="str">
        <f t="shared" si="119"/>
        <v>NOT OK</v>
      </c>
      <c r="AL97" s="109">
        <f t="shared" si="120"/>
        <v>210</v>
      </c>
      <c r="AT97" s="133" t="str">
        <f t="shared" si="121"/>
        <v>need</v>
      </c>
      <c r="AV97" s="61">
        <f t="shared" si="124"/>
        <v>389.334</v>
      </c>
      <c r="AW97" s="61" t="str">
        <f t="shared" si="125"/>
        <v>OK</v>
      </c>
      <c r="AX97" s="63">
        <f t="shared" si="126"/>
        <v>100.53952805280527</v>
      </c>
      <c r="AY97" s="63">
        <f t="shared" si="127"/>
        <v>173.5</v>
      </c>
      <c r="AZ97" s="63">
        <f t="shared" si="128"/>
        <v>333.60948616600797</v>
      </c>
      <c r="BA97" s="63">
        <f t="shared" si="143"/>
        <v>63.249999999999993</v>
      </c>
      <c r="BB97" s="63">
        <f t="shared" si="144"/>
        <v>211.00799999999998</v>
      </c>
      <c r="BC97" s="63" t="str">
        <f t="shared" si="145"/>
        <v>OK</v>
      </c>
      <c r="BD97" s="63">
        <f t="shared" si="129"/>
        <v>537.34754946325415</v>
      </c>
      <c r="BE97" s="63">
        <f t="shared" si="130"/>
        <v>274.39233200000001</v>
      </c>
      <c r="BF97" s="63">
        <f t="shared" si="131"/>
        <v>186.60133199999996</v>
      </c>
      <c r="BG97" s="63">
        <f t="shared" si="132"/>
        <v>258.9808065357455</v>
      </c>
      <c r="BH97" s="63">
        <f t="shared" si="133"/>
        <v>153.72516399999998</v>
      </c>
      <c r="BI97" s="63">
        <f t="shared" si="134"/>
        <v>153.72516399999998</v>
      </c>
      <c r="BJ97" s="63">
        <f t="shared" si="135"/>
        <v>153.72516399999998</v>
      </c>
      <c r="BK97" s="63" t="str">
        <f t="shared" si="136"/>
        <v>NOT OK</v>
      </c>
      <c r="BL97" s="63">
        <f t="shared" si="137"/>
        <v>208.2</v>
      </c>
      <c r="BM97" s="63">
        <f t="shared" si="138"/>
        <v>347</v>
      </c>
      <c r="BN97" s="63">
        <f t="shared" si="139"/>
        <v>694</v>
      </c>
      <c r="BO97" s="63">
        <f t="shared" si="140"/>
        <v>1041</v>
      </c>
      <c r="BP97" s="63">
        <f t="shared" si="141"/>
        <v>43.895499999999991</v>
      </c>
      <c r="BQ97" s="63">
        <f t="shared" si="146"/>
        <v>286.83927643167078</v>
      </c>
      <c r="BR97" s="63" t="str">
        <f t="shared" si="147"/>
        <v>OK</v>
      </c>
      <c r="BW97" s="70">
        <f t="shared" si="122"/>
        <v>37.02600000000001</v>
      </c>
    </row>
    <row r="98" spans="4:104" ht="15.75" customHeight="1">
      <c r="D98" s="176" t="s">
        <v>138</v>
      </c>
      <c r="E98" s="176" t="s">
        <v>243</v>
      </c>
      <c r="F98" s="67" t="s">
        <v>15</v>
      </c>
      <c r="G98" s="78">
        <v>220</v>
      </c>
      <c r="H98" s="78">
        <v>450</v>
      </c>
      <c r="I98" s="79">
        <f t="shared" si="142"/>
        <v>103</v>
      </c>
      <c r="J98" s="80">
        <f t="shared" si="150"/>
        <v>347</v>
      </c>
      <c r="K98" s="81">
        <v>-555</v>
      </c>
      <c r="L98" s="81">
        <v>253</v>
      </c>
      <c r="M98" s="81">
        <v>253</v>
      </c>
      <c r="N98" s="82">
        <f t="shared" si="112"/>
        <v>2.0713117347049659</v>
      </c>
      <c r="O98" s="82" t="e">
        <f t="shared" si="151"/>
        <v>#NUM!</v>
      </c>
      <c r="P98" s="82" t="e">
        <f t="shared" si="152"/>
        <v>#NUM!</v>
      </c>
      <c r="Q98" s="83" t="e">
        <f t="shared" si="113"/>
        <v>#NUM!</v>
      </c>
      <c r="R98" s="84" t="e">
        <f t="shared" si="114"/>
        <v>#NUM!</v>
      </c>
      <c r="S98" s="131" t="e">
        <f t="shared" si="123"/>
        <v>#NUM!</v>
      </c>
      <c r="T98" s="86">
        <v>3</v>
      </c>
      <c r="U98" s="77">
        <v>28</v>
      </c>
      <c r="V98" s="87" t="str">
        <f t="shared" si="115"/>
        <v>+</v>
      </c>
      <c r="W98" s="86">
        <v>3</v>
      </c>
      <c r="X98" s="77">
        <v>28</v>
      </c>
      <c r="Y98" s="88">
        <f t="shared" si="153"/>
        <v>36.945129606215971</v>
      </c>
      <c r="Z98" s="89" t="e">
        <f t="shared" si="116"/>
        <v>#NUM!</v>
      </c>
      <c r="AA98" s="80">
        <f t="shared" si="148"/>
        <v>361.10033206093436</v>
      </c>
      <c r="AB98" s="80">
        <f t="shared" si="154"/>
        <v>329.8196603045792</v>
      </c>
      <c r="AC98" s="89" t="str">
        <f t="shared" si="149"/>
        <v>Not Ok</v>
      </c>
      <c r="AD98" s="85">
        <f t="shared" si="155"/>
        <v>3.7318312733551483E-2</v>
      </c>
      <c r="AE98" s="85">
        <f t="shared" si="117"/>
        <v>1.9281988961466403E-2</v>
      </c>
      <c r="AF98" s="60" t="str">
        <f t="shared" si="156"/>
        <v>No-Ok</v>
      </c>
      <c r="AG98" s="77">
        <v>8</v>
      </c>
      <c r="AH98" s="76">
        <v>2</v>
      </c>
      <c r="AI98" s="76">
        <v>100</v>
      </c>
      <c r="AJ98" s="60">
        <f t="shared" si="118"/>
        <v>10.048000000000002</v>
      </c>
      <c r="AK98" s="60" t="str">
        <f t="shared" si="119"/>
        <v>NOT OK</v>
      </c>
      <c r="AL98" s="109">
        <f t="shared" si="120"/>
        <v>210</v>
      </c>
      <c r="AT98" s="133" t="str">
        <f t="shared" si="121"/>
        <v>need</v>
      </c>
      <c r="AV98" s="61">
        <f t="shared" si="124"/>
        <v>389.334</v>
      </c>
      <c r="AW98" s="61" t="str">
        <f t="shared" si="125"/>
        <v>OK</v>
      </c>
      <c r="AX98" s="63">
        <f t="shared" si="126"/>
        <v>120.40899999999999</v>
      </c>
      <c r="AY98" s="63">
        <f t="shared" si="127"/>
        <v>173.5</v>
      </c>
      <c r="AZ98" s="63">
        <f t="shared" si="128"/>
        <v>333.60948616600797</v>
      </c>
      <c r="BA98" s="63">
        <f t="shared" si="143"/>
        <v>63.249999999999993</v>
      </c>
      <c r="BB98" s="63">
        <f t="shared" si="144"/>
        <v>211.00799999999998</v>
      </c>
      <c r="BC98" s="63" t="str">
        <f t="shared" si="145"/>
        <v>OK</v>
      </c>
      <c r="BD98" s="63">
        <f t="shared" si="129"/>
        <v>537.34754946325415</v>
      </c>
      <c r="BE98" s="63">
        <f t="shared" si="130"/>
        <v>274.39233200000001</v>
      </c>
      <c r="BF98" s="63">
        <f t="shared" si="131"/>
        <v>186.60133199999996</v>
      </c>
      <c r="BG98" s="63">
        <f t="shared" si="132"/>
        <v>258.9808065357455</v>
      </c>
      <c r="BH98" s="63">
        <f t="shared" si="133"/>
        <v>153.72516399999998</v>
      </c>
      <c r="BI98" s="63">
        <f t="shared" si="134"/>
        <v>153.72516399999998</v>
      </c>
      <c r="BJ98" s="63">
        <f t="shared" si="135"/>
        <v>153.72516399999998</v>
      </c>
      <c r="BK98" s="63" t="str">
        <f t="shared" si="136"/>
        <v>NOT OK</v>
      </c>
      <c r="BL98" s="63">
        <f t="shared" si="137"/>
        <v>208.2</v>
      </c>
      <c r="BM98" s="63">
        <f t="shared" si="138"/>
        <v>347</v>
      </c>
      <c r="BN98" s="63">
        <f t="shared" si="139"/>
        <v>694</v>
      </c>
      <c r="BO98" s="63">
        <f t="shared" si="140"/>
        <v>1041</v>
      </c>
      <c r="BP98" s="63">
        <f t="shared" si="141"/>
        <v>43.895499999999991</v>
      </c>
      <c r="BQ98" s="63">
        <f t="shared" si="146"/>
        <v>514.60506409292418</v>
      </c>
      <c r="BR98" s="63" t="str">
        <f t="shared" si="147"/>
        <v>OK</v>
      </c>
      <c r="BW98" s="70">
        <f t="shared" si="122"/>
        <v>37.02600000000001</v>
      </c>
    </row>
    <row r="99" spans="4:104" ht="15.75" customHeight="1">
      <c r="D99" s="177"/>
      <c r="E99" s="177"/>
      <c r="F99" s="68" t="s">
        <v>16</v>
      </c>
      <c r="G99" s="78">
        <v>220</v>
      </c>
      <c r="H99" s="78">
        <v>450</v>
      </c>
      <c r="I99" s="79">
        <f t="shared" si="142"/>
        <v>103</v>
      </c>
      <c r="J99" s="80">
        <f t="shared" si="150"/>
        <v>347</v>
      </c>
      <c r="K99" s="81">
        <v>-200</v>
      </c>
      <c r="L99" s="81">
        <v>190</v>
      </c>
      <c r="M99" s="81">
        <v>190</v>
      </c>
      <c r="N99" s="82">
        <f t="shared" si="112"/>
        <v>0.74641864313692463</v>
      </c>
      <c r="O99" s="82" t="e">
        <f t="shared" si="151"/>
        <v>#NUM!</v>
      </c>
      <c r="P99" s="82" t="e">
        <f t="shared" si="152"/>
        <v>#NUM!</v>
      </c>
      <c r="Q99" s="83" t="e">
        <f t="shared" si="113"/>
        <v>#NUM!</v>
      </c>
      <c r="R99" s="84" t="e">
        <f t="shared" si="114"/>
        <v>#NUM!</v>
      </c>
      <c r="S99" s="131" t="e">
        <f t="shared" si="123"/>
        <v>#NUM!</v>
      </c>
      <c r="T99" s="86">
        <v>3</v>
      </c>
      <c r="U99" s="77">
        <v>28</v>
      </c>
      <c r="V99" s="87" t="str">
        <f t="shared" si="115"/>
        <v>+</v>
      </c>
      <c r="W99" s="86">
        <v>3</v>
      </c>
      <c r="X99" s="77">
        <v>28</v>
      </c>
      <c r="Y99" s="88">
        <f t="shared" si="153"/>
        <v>36.945129606215971</v>
      </c>
      <c r="Z99" s="89" t="e">
        <f t="shared" si="116"/>
        <v>#NUM!</v>
      </c>
      <c r="AA99" s="80">
        <f t="shared" si="148"/>
        <v>361.10033206093436</v>
      </c>
      <c r="AB99" s="80">
        <f t="shared" si="154"/>
        <v>329.8196603045792</v>
      </c>
      <c r="AC99" s="89" t="str">
        <f t="shared" si="149"/>
        <v>Ok</v>
      </c>
      <c r="AD99" s="85">
        <f t="shared" si="155"/>
        <v>3.7318312733551483E-2</v>
      </c>
      <c r="AE99" s="85">
        <f t="shared" si="117"/>
        <v>1.9281988961466403E-2</v>
      </c>
      <c r="AF99" s="60" t="str">
        <f t="shared" si="156"/>
        <v>No-Ok</v>
      </c>
      <c r="AG99" s="77">
        <v>8</v>
      </c>
      <c r="AH99" s="76">
        <v>2</v>
      </c>
      <c r="AI99" s="76">
        <v>100</v>
      </c>
      <c r="AJ99" s="60">
        <f t="shared" si="118"/>
        <v>10.048000000000002</v>
      </c>
      <c r="AK99" s="60" t="str">
        <f t="shared" si="119"/>
        <v>NOT OK</v>
      </c>
      <c r="AL99" s="109">
        <f t="shared" si="120"/>
        <v>210</v>
      </c>
      <c r="AT99" s="133" t="str">
        <f t="shared" si="121"/>
        <v>need</v>
      </c>
      <c r="AV99" s="61">
        <f t="shared" si="124"/>
        <v>389.334</v>
      </c>
      <c r="AW99" s="61" t="str">
        <f t="shared" si="125"/>
        <v>OK</v>
      </c>
      <c r="AX99" s="63">
        <f t="shared" si="126"/>
        <v>160.3340894736842</v>
      </c>
      <c r="AY99" s="63">
        <f t="shared" si="127"/>
        <v>173.5</v>
      </c>
      <c r="AZ99" s="63">
        <f t="shared" si="128"/>
        <v>333.60948616600797</v>
      </c>
      <c r="BA99" s="63">
        <f t="shared" si="143"/>
        <v>63.249999999999993</v>
      </c>
      <c r="BB99" s="63">
        <f t="shared" si="144"/>
        <v>211.00799999999998</v>
      </c>
      <c r="BC99" s="63" t="str">
        <f t="shared" si="145"/>
        <v>OK</v>
      </c>
      <c r="BD99" s="63">
        <f t="shared" si="129"/>
        <v>537.34754946325415</v>
      </c>
      <c r="BE99" s="63">
        <f t="shared" si="130"/>
        <v>274.39233200000001</v>
      </c>
      <c r="BF99" s="63">
        <f t="shared" si="131"/>
        <v>186.60133199999996</v>
      </c>
      <c r="BG99" s="63">
        <f t="shared" si="132"/>
        <v>258.9808065357455</v>
      </c>
      <c r="BH99" s="63">
        <f t="shared" si="133"/>
        <v>153.72516399999998</v>
      </c>
      <c r="BI99" s="63">
        <f t="shared" si="134"/>
        <v>153.72516399999998</v>
      </c>
      <c r="BJ99" s="63">
        <f t="shared" si="135"/>
        <v>153.72516399999998</v>
      </c>
      <c r="BK99" s="63" t="str">
        <f t="shared" si="136"/>
        <v>NOT OK</v>
      </c>
      <c r="BL99" s="63">
        <f t="shared" si="137"/>
        <v>208.2</v>
      </c>
      <c r="BM99" s="63">
        <f t="shared" si="138"/>
        <v>347</v>
      </c>
      <c r="BN99" s="63">
        <f t="shared" si="139"/>
        <v>694</v>
      </c>
      <c r="BO99" s="63">
        <f t="shared" si="140"/>
        <v>1041</v>
      </c>
      <c r="BP99" s="63">
        <f t="shared" si="141"/>
        <v>43.895499999999991</v>
      </c>
      <c r="BQ99" s="63">
        <f t="shared" si="146"/>
        <v>514.60506409292418</v>
      </c>
      <c r="BR99" s="63" t="str">
        <f t="shared" si="147"/>
        <v>OK</v>
      </c>
      <c r="BW99" s="70">
        <f t="shared" si="122"/>
        <v>37.02600000000001</v>
      </c>
    </row>
    <row r="100" spans="4:104" ht="12.75" customHeight="1">
      <c r="D100" s="178"/>
      <c r="E100" s="178"/>
      <c r="F100" s="67" t="s">
        <v>15</v>
      </c>
      <c r="G100" s="78">
        <v>220</v>
      </c>
      <c r="H100" s="78">
        <v>450</v>
      </c>
      <c r="I100" s="79">
        <f t="shared" si="142"/>
        <v>103</v>
      </c>
      <c r="J100" s="80">
        <f t="shared" si="150"/>
        <v>347</v>
      </c>
      <c r="K100" s="81">
        <v>353</v>
      </c>
      <c r="L100" s="81">
        <v>150</v>
      </c>
      <c r="M100" s="81">
        <v>150</v>
      </c>
      <c r="N100" s="82">
        <f t="shared" si="112"/>
        <v>1.3174289051366719</v>
      </c>
      <c r="O100" s="82" t="e">
        <f t="shared" si="151"/>
        <v>#NUM!</v>
      </c>
      <c r="P100" s="82" t="e">
        <f t="shared" si="152"/>
        <v>#NUM!</v>
      </c>
      <c r="Q100" s="83" t="e">
        <f t="shared" si="113"/>
        <v>#NUM!</v>
      </c>
      <c r="R100" s="84" t="e">
        <f t="shared" si="114"/>
        <v>#NUM!</v>
      </c>
      <c r="S100" s="131" t="e">
        <f t="shared" si="123"/>
        <v>#NUM!</v>
      </c>
      <c r="T100" s="86">
        <v>3</v>
      </c>
      <c r="U100" s="77">
        <v>28</v>
      </c>
      <c r="V100" s="87" t="str">
        <f t="shared" si="115"/>
        <v>+</v>
      </c>
      <c r="W100" s="86">
        <v>3</v>
      </c>
      <c r="X100" s="77">
        <v>28</v>
      </c>
      <c r="Y100" s="88">
        <f t="shared" si="153"/>
        <v>36.945129606215971</v>
      </c>
      <c r="Z100" s="89" t="e">
        <f t="shared" si="116"/>
        <v>#NUM!</v>
      </c>
      <c r="AA100" s="80">
        <f t="shared" si="148"/>
        <v>622.71383794181531</v>
      </c>
      <c r="AB100" s="80">
        <f t="shared" si="154"/>
        <v>110.9373856856368</v>
      </c>
      <c r="AC100" s="89" t="str">
        <f t="shared" si="149"/>
        <v>Not Ok</v>
      </c>
      <c r="AD100" s="85">
        <f t="shared" si="155"/>
        <v>3.7318312733551483E-2</v>
      </c>
      <c r="AE100" s="85">
        <f t="shared" si="117"/>
        <v>1.9281988961466403E-2</v>
      </c>
      <c r="AF100" s="60" t="str">
        <f t="shared" si="156"/>
        <v>No-Ok</v>
      </c>
      <c r="AG100" s="77">
        <v>8</v>
      </c>
      <c r="AH100" s="76">
        <v>2</v>
      </c>
      <c r="AI100" s="76">
        <v>100</v>
      </c>
      <c r="AJ100" s="60">
        <f t="shared" si="118"/>
        <v>10.048000000000002</v>
      </c>
      <c r="AK100" s="60" t="str">
        <f t="shared" si="119"/>
        <v>OK</v>
      </c>
      <c r="AL100" s="109">
        <f t="shared" si="120"/>
        <v>210</v>
      </c>
      <c r="AT100" s="133" t="str">
        <f t="shared" si="121"/>
        <v>need</v>
      </c>
      <c r="AV100" s="61">
        <f t="shared" si="124"/>
        <v>389.334</v>
      </c>
      <c r="AW100" s="61" t="str">
        <f t="shared" si="125"/>
        <v>OK</v>
      </c>
      <c r="AX100" s="63">
        <f t="shared" si="126"/>
        <v>203.08984666666663</v>
      </c>
      <c r="AY100" s="63">
        <f t="shared" si="127"/>
        <v>173.5</v>
      </c>
      <c r="AZ100" s="63">
        <f t="shared" si="128"/>
        <v>333.60948616600797</v>
      </c>
      <c r="BA100" s="63">
        <f t="shared" si="143"/>
        <v>63.249999999999993</v>
      </c>
      <c r="BB100" s="63">
        <f t="shared" si="144"/>
        <v>211.00799999999998</v>
      </c>
      <c r="BC100" s="63" t="str">
        <f t="shared" si="145"/>
        <v>OK</v>
      </c>
      <c r="BD100" s="63">
        <f t="shared" si="129"/>
        <v>537.34754946325415</v>
      </c>
      <c r="BE100" s="63">
        <f t="shared" si="130"/>
        <v>274.39233200000001</v>
      </c>
      <c r="BF100" s="63">
        <f t="shared" si="131"/>
        <v>186.60133199999996</v>
      </c>
      <c r="BG100" s="63">
        <f t="shared" si="132"/>
        <v>258.9808065357455</v>
      </c>
      <c r="BH100" s="63">
        <f t="shared" si="133"/>
        <v>153.72516399999998</v>
      </c>
      <c r="BI100" s="63">
        <f t="shared" si="134"/>
        <v>153.72516399999998</v>
      </c>
      <c r="BJ100" s="63">
        <f t="shared" si="135"/>
        <v>153.72516399999998</v>
      </c>
      <c r="BK100" s="63" t="str">
        <f t="shared" si="136"/>
        <v>OK</v>
      </c>
      <c r="BL100" s="63">
        <f t="shared" si="137"/>
        <v>208.2</v>
      </c>
      <c r="BM100" s="63">
        <f t="shared" si="138"/>
        <v>347</v>
      </c>
      <c r="BN100" s="63">
        <f t="shared" si="139"/>
        <v>694</v>
      </c>
      <c r="BO100" s="63">
        <f t="shared" si="140"/>
        <v>1041</v>
      </c>
      <c r="BP100" s="63">
        <f t="shared" si="141"/>
        <v>43.895499999999991</v>
      </c>
      <c r="BQ100" s="63">
        <f t="shared" si="146"/>
        <v>514.60506409292418</v>
      </c>
      <c r="BR100" s="63" t="str">
        <f t="shared" si="147"/>
        <v>OK</v>
      </c>
      <c r="BW100" s="70">
        <f t="shared" si="122"/>
        <v>37.02600000000001</v>
      </c>
    </row>
    <row r="101" spans="4:104">
      <c r="D101" s="179" t="s">
        <v>211</v>
      </c>
      <c r="E101" s="179" t="s">
        <v>244</v>
      </c>
      <c r="F101" s="91" t="s">
        <v>15</v>
      </c>
      <c r="G101" s="78">
        <v>220</v>
      </c>
      <c r="H101" s="78">
        <v>450</v>
      </c>
      <c r="I101" s="92">
        <f t="shared" si="142"/>
        <v>69</v>
      </c>
      <c r="J101" s="93">
        <f t="shared" si="150"/>
        <v>381</v>
      </c>
      <c r="K101" s="94">
        <v>80</v>
      </c>
      <c r="L101" s="94">
        <v>8</v>
      </c>
      <c r="M101" s="94">
        <v>8</v>
      </c>
      <c r="N101" s="95">
        <f t="shared" si="112"/>
        <v>0.24765749037682011</v>
      </c>
      <c r="O101" s="95">
        <f t="shared" si="151"/>
        <v>0.28999999999999998</v>
      </c>
      <c r="P101" s="95">
        <f t="shared" si="152"/>
        <v>0.85499999999999998</v>
      </c>
      <c r="Q101" s="96" t="str">
        <f t="shared" si="113"/>
        <v>Ok</v>
      </c>
      <c r="R101" s="97">
        <f t="shared" si="114"/>
        <v>5.6455939579442056</v>
      </c>
      <c r="S101" s="131">
        <f t="shared" si="123"/>
        <v>6.7353781411885055E-3</v>
      </c>
      <c r="T101" s="99">
        <v>2</v>
      </c>
      <c r="U101" s="100">
        <v>18</v>
      </c>
      <c r="V101" s="101" t="str">
        <f t="shared" si="115"/>
        <v>+</v>
      </c>
      <c r="W101" s="99">
        <v>0</v>
      </c>
      <c r="X101" s="100">
        <v>18</v>
      </c>
      <c r="Y101" s="102">
        <f t="shared" si="153"/>
        <v>5.0893800988154645</v>
      </c>
      <c r="Z101" s="103" t="str">
        <f t="shared" si="116"/>
        <v>Not Ok</v>
      </c>
      <c r="AA101" s="93">
        <f t="shared" si="148"/>
        <v>0</v>
      </c>
      <c r="AB101" s="93">
        <f t="shared" si="154"/>
        <v>69.073066701123494</v>
      </c>
      <c r="AC101" s="89" t="str">
        <f t="shared" si="149"/>
        <v>Not Ok</v>
      </c>
      <c r="AD101" s="98">
        <f t="shared" si="155"/>
        <v>5.1407879786014793E-3</v>
      </c>
      <c r="AE101" s="98">
        <f t="shared" si="117"/>
        <v>1.9281988961466403E-2</v>
      </c>
      <c r="AF101" s="104" t="str">
        <f t="shared" si="156"/>
        <v>Ok</v>
      </c>
      <c r="AG101" s="100">
        <v>8</v>
      </c>
      <c r="AH101" s="105">
        <v>2</v>
      </c>
      <c r="AI101" s="105">
        <v>150</v>
      </c>
      <c r="AJ101" s="104">
        <f t="shared" si="118"/>
        <v>6.698666666666667</v>
      </c>
      <c r="AK101" s="60" t="str">
        <f t="shared" si="119"/>
        <v>OK</v>
      </c>
      <c r="AL101" s="109">
        <f t="shared" si="120"/>
        <v>210</v>
      </c>
      <c r="AT101" s="133" t="str">
        <f t="shared" si="121"/>
        <v>no need</v>
      </c>
      <c r="AV101" s="61">
        <f t="shared" si="124"/>
        <v>427.48200000000003</v>
      </c>
      <c r="AW101" s="61" t="str">
        <f t="shared" si="125"/>
        <v>OK</v>
      </c>
      <c r="AX101" s="63">
        <f t="shared" si="126"/>
        <v>4590.7166249999991</v>
      </c>
      <c r="AY101" s="63">
        <f t="shared" si="127"/>
        <v>190.5</v>
      </c>
      <c r="AZ101" s="63">
        <f t="shared" si="128"/>
        <v>222.40632411067196</v>
      </c>
      <c r="BA101" s="63">
        <f t="shared" si="143"/>
        <v>63.249999999999993</v>
      </c>
      <c r="BB101" s="63">
        <f t="shared" si="144"/>
        <v>140.672</v>
      </c>
      <c r="BC101" s="63" t="str">
        <f t="shared" si="145"/>
        <v>OK</v>
      </c>
      <c r="BD101" s="63">
        <f t="shared" si="129"/>
        <v>722.59741409839842</v>
      </c>
      <c r="BE101" s="63">
        <f t="shared" si="130"/>
        <v>281.17952400000001</v>
      </c>
      <c r="BF101" s="63">
        <f t="shared" si="131"/>
        <v>184.78652399999996</v>
      </c>
      <c r="BG101" s="63">
        <f t="shared" si="132"/>
        <v>232.17606716643218</v>
      </c>
      <c r="BH101" s="63">
        <f t="shared" si="133"/>
        <v>128.59054799999998</v>
      </c>
      <c r="BI101" s="63">
        <f t="shared" si="134"/>
        <v>128.59054799999998</v>
      </c>
      <c r="BJ101" s="63">
        <f t="shared" si="135"/>
        <v>128.59054799999998</v>
      </c>
      <c r="BK101" s="63" t="str">
        <f t="shared" si="136"/>
        <v>OK</v>
      </c>
      <c r="BL101" s="63">
        <f t="shared" si="137"/>
        <v>228.6</v>
      </c>
      <c r="BM101" s="63">
        <f t="shared" si="138"/>
        <v>381</v>
      </c>
      <c r="BN101" s="63">
        <f t="shared" si="139"/>
        <v>762</v>
      </c>
      <c r="BO101" s="63">
        <f t="shared" si="140"/>
        <v>1143</v>
      </c>
      <c r="BP101" s="63">
        <f t="shared" si="141"/>
        <v>48.196499999999993</v>
      </c>
      <c r="BQ101" s="63">
        <f t="shared" si="146"/>
        <v>514.60506409292418</v>
      </c>
      <c r="BR101" s="63" t="str">
        <f t="shared" si="147"/>
        <v>OK</v>
      </c>
      <c r="BW101" s="70">
        <f t="shared" si="122"/>
        <v>37.02600000000001</v>
      </c>
    </row>
    <row r="102" spans="4:104">
      <c r="D102" s="180"/>
      <c r="E102" s="180"/>
      <c r="F102" s="106" t="s">
        <v>16</v>
      </c>
      <c r="G102" s="78">
        <v>220</v>
      </c>
      <c r="H102" s="78">
        <v>450</v>
      </c>
      <c r="I102" s="92">
        <f t="shared" si="142"/>
        <v>69</v>
      </c>
      <c r="J102" s="93">
        <f t="shared" si="150"/>
        <v>381</v>
      </c>
      <c r="K102" s="94">
        <v>79</v>
      </c>
      <c r="L102" s="94">
        <v>24</v>
      </c>
      <c r="M102" s="94">
        <v>24</v>
      </c>
      <c r="N102" s="95">
        <f t="shared" si="112"/>
        <v>0.24456177174710986</v>
      </c>
      <c r="O102" s="95">
        <f t="shared" si="151"/>
        <v>0.28499999999999998</v>
      </c>
      <c r="P102" s="95">
        <f t="shared" si="152"/>
        <v>0.85750000000000004</v>
      </c>
      <c r="Q102" s="96" t="str">
        <f t="shared" si="113"/>
        <v>Ok</v>
      </c>
      <c r="R102" s="97">
        <f t="shared" si="114"/>
        <v>5.5587703190866087</v>
      </c>
      <c r="S102" s="131">
        <f t="shared" si="123"/>
        <v>6.6317947018451539E-3</v>
      </c>
      <c r="T102" s="99">
        <v>2</v>
      </c>
      <c r="U102" s="100">
        <v>18</v>
      </c>
      <c r="V102" s="101" t="str">
        <f t="shared" si="115"/>
        <v>+</v>
      </c>
      <c r="W102" s="99">
        <v>0</v>
      </c>
      <c r="X102" s="100">
        <v>18</v>
      </c>
      <c r="Y102" s="102">
        <f t="shared" si="153"/>
        <v>5.0893800988154645</v>
      </c>
      <c r="Z102" s="103" t="str">
        <f t="shared" si="116"/>
        <v>Not Ok</v>
      </c>
      <c r="AA102" s="93">
        <f t="shared" si="148"/>
        <v>0</v>
      </c>
      <c r="AB102" s="93">
        <f t="shared" si="154"/>
        <v>69.073066701123494</v>
      </c>
      <c r="AC102" s="89" t="str">
        <f t="shared" si="149"/>
        <v>Not Ok</v>
      </c>
      <c r="AD102" s="98">
        <f t="shared" si="155"/>
        <v>5.1407879786014793E-3</v>
      </c>
      <c r="AE102" s="98">
        <f t="shared" si="117"/>
        <v>1.9281988961466403E-2</v>
      </c>
      <c r="AF102" s="104" t="str">
        <f t="shared" si="156"/>
        <v>Ok</v>
      </c>
      <c r="AG102" s="100">
        <v>8</v>
      </c>
      <c r="AH102" s="105">
        <v>2</v>
      </c>
      <c r="AI102" s="105">
        <v>150</v>
      </c>
      <c r="AJ102" s="104">
        <f t="shared" si="118"/>
        <v>6.698666666666667</v>
      </c>
      <c r="AK102" s="60" t="str">
        <f t="shared" si="119"/>
        <v>OK</v>
      </c>
      <c r="AL102" s="109">
        <f t="shared" si="120"/>
        <v>210</v>
      </c>
      <c r="AT102" s="133" t="str">
        <f t="shared" si="121"/>
        <v>no need</v>
      </c>
      <c r="AV102" s="61">
        <f t="shared" si="124"/>
        <v>427.48200000000003</v>
      </c>
      <c r="AW102" s="61" t="str">
        <f t="shared" si="125"/>
        <v>OK</v>
      </c>
      <c r="AX102" s="63">
        <f t="shared" si="126"/>
        <v>1530.2388749999998</v>
      </c>
      <c r="AY102" s="63">
        <f t="shared" si="127"/>
        <v>190.5</v>
      </c>
      <c r="AZ102" s="63">
        <f t="shared" si="128"/>
        <v>222.40632411067196</v>
      </c>
      <c r="BA102" s="63">
        <f t="shared" si="143"/>
        <v>63.249999999999993</v>
      </c>
      <c r="BB102" s="63">
        <f t="shared" si="144"/>
        <v>140.672</v>
      </c>
      <c r="BC102" s="63" t="str">
        <f t="shared" si="145"/>
        <v>OK</v>
      </c>
      <c r="BD102" s="63">
        <f t="shared" si="129"/>
        <v>722.59741409839842</v>
      </c>
      <c r="BE102" s="63">
        <f t="shared" si="130"/>
        <v>281.17952400000001</v>
      </c>
      <c r="BF102" s="63">
        <f t="shared" si="131"/>
        <v>184.78652399999996</v>
      </c>
      <c r="BG102" s="63">
        <f t="shared" si="132"/>
        <v>232.17606716643218</v>
      </c>
      <c r="BH102" s="63">
        <f t="shared" si="133"/>
        <v>128.59054799999998</v>
      </c>
      <c r="BI102" s="63">
        <f t="shared" si="134"/>
        <v>128.59054799999998</v>
      </c>
      <c r="BJ102" s="63">
        <f t="shared" si="135"/>
        <v>128.59054799999998</v>
      </c>
      <c r="BK102" s="63" t="str">
        <f t="shared" si="136"/>
        <v>OK</v>
      </c>
      <c r="BL102" s="63">
        <f t="shared" si="137"/>
        <v>228.6</v>
      </c>
      <c r="BM102" s="63">
        <f t="shared" si="138"/>
        <v>381</v>
      </c>
      <c r="BN102" s="63">
        <f t="shared" si="139"/>
        <v>762</v>
      </c>
      <c r="BO102" s="63">
        <f t="shared" si="140"/>
        <v>1143</v>
      </c>
      <c r="BP102" s="63">
        <f t="shared" si="141"/>
        <v>48.196499999999993</v>
      </c>
      <c r="BQ102" s="63">
        <f t="shared" si="146"/>
        <v>86.124001056946298</v>
      </c>
      <c r="BR102" s="63" t="str">
        <f t="shared" si="147"/>
        <v>OK</v>
      </c>
      <c r="BW102" s="70">
        <f t="shared" si="122"/>
        <v>37.02600000000001</v>
      </c>
    </row>
    <row r="103" spans="4:104">
      <c r="D103" s="181"/>
      <c r="E103" s="181"/>
      <c r="F103" s="91" t="s">
        <v>15</v>
      </c>
      <c r="G103" s="78">
        <v>220</v>
      </c>
      <c r="H103" s="78">
        <v>450</v>
      </c>
      <c r="I103" s="92">
        <f t="shared" si="142"/>
        <v>69</v>
      </c>
      <c r="J103" s="93">
        <f t="shared" si="150"/>
        <v>381</v>
      </c>
      <c r="K103" s="94">
        <v>43</v>
      </c>
      <c r="L103" s="94">
        <v>34</v>
      </c>
      <c r="M103" s="94">
        <v>34</v>
      </c>
      <c r="N103" s="95">
        <f t="shared" si="112"/>
        <v>0.13311590107754082</v>
      </c>
      <c r="O103" s="95">
        <f t="shared" si="151"/>
        <v>0.14299999999999999</v>
      </c>
      <c r="P103" s="95">
        <f t="shared" si="152"/>
        <v>0.92849999999999999</v>
      </c>
      <c r="Q103" s="96" t="str">
        <f t="shared" si="113"/>
        <v>Ok</v>
      </c>
      <c r="R103" s="97">
        <f t="shared" si="114"/>
        <v>2.7942953939663271</v>
      </c>
      <c r="S103" s="131">
        <f t="shared" si="123"/>
        <v>3.3336857479913228E-3</v>
      </c>
      <c r="T103" s="99">
        <v>2</v>
      </c>
      <c r="U103" s="100">
        <v>18</v>
      </c>
      <c r="V103" s="101" t="str">
        <f t="shared" si="115"/>
        <v>+</v>
      </c>
      <c r="W103" s="99">
        <v>0</v>
      </c>
      <c r="X103" s="100">
        <v>18</v>
      </c>
      <c r="Y103" s="102">
        <f t="shared" si="153"/>
        <v>5.0893800988154645</v>
      </c>
      <c r="Z103" s="103" t="str">
        <f t="shared" si="116"/>
        <v>Ok</v>
      </c>
      <c r="AA103" s="93">
        <f t="shared" si="148"/>
        <v>0</v>
      </c>
      <c r="AB103" s="93">
        <f t="shared" si="154"/>
        <v>69.073066701123494</v>
      </c>
      <c r="AC103" s="89" t="str">
        <f t="shared" si="149"/>
        <v>Ok</v>
      </c>
      <c r="AD103" s="98">
        <f t="shared" si="155"/>
        <v>5.1407879786014793E-3</v>
      </c>
      <c r="AE103" s="98">
        <f t="shared" si="117"/>
        <v>1.9281988961466403E-2</v>
      </c>
      <c r="AF103" s="104" t="str">
        <f t="shared" si="156"/>
        <v>Ok</v>
      </c>
      <c r="AG103" s="100">
        <v>8</v>
      </c>
      <c r="AH103" s="105">
        <v>2</v>
      </c>
      <c r="AI103" s="105">
        <v>150</v>
      </c>
      <c r="AJ103" s="104">
        <f t="shared" si="118"/>
        <v>6.698666666666667</v>
      </c>
      <c r="AK103" s="60" t="str">
        <f t="shared" si="119"/>
        <v>OK</v>
      </c>
      <c r="AL103" s="109">
        <f t="shared" si="120"/>
        <v>210</v>
      </c>
      <c r="AT103" s="133" t="str">
        <f t="shared" si="121"/>
        <v>no need</v>
      </c>
      <c r="AV103" s="61">
        <f t="shared" si="124"/>
        <v>427.48200000000003</v>
      </c>
      <c r="AW103" s="61" t="str">
        <f t="shared" si="125"/>
        <v>OK</v>
      </c>
      <c r="AX103" s="63">
        <f t="shared" si="126"/>
        <v>1080.1686176470587</v>
      </c>
      <c r="AY103" s="63">
        <f t="shared" si="127"/>
        <v>190.5</v>
      </c>
      <c r="AZ103" s="63">
        <f t="shared" si="128"/>
        <v>222.40632411067196</v>
      </c>
      <c r="BA103" s="63">
        <f t="shared" si="143"/>
        <v>63.249999999999993</v>
      </c>
      <c r="BB103" s="63">
        <f t="shared" si="144"/>
        <v>140.672</v>
      </c>
      <c r="BC103" s="63" t="str">
        <f t="shared" si="145"/>
        <v>OK</v>
      </c>
      <c r="BD103" s="63">
        <f t="shared" si="129"/>
        <v>722.59741409839842</v>
      </c>
      <c r="BE103" s="63">
        <f t="shared" si="130"/>
        <v>281.17952400000001</v>
      </c>
      <c r="BF103" s="63">
        <f t="shared" si="131"/>
        <v>184.78652399999996</v>
      </c>
      <c r="BG103" s="63">
        <f t="shared" si="132"/>
        <v>232.17606716643218</v>
      </c>
      <c r="BH103" s="63">
        <f t="shared" si="133"/>
        <v>128.59054799999998</v>
      </c>
      <c r="BI103" s="63">
        <f t="shared" si="134"/>
        <v>128.59054799999998</v>
      </c>
      <c r="BJ103" s="63">
        <f t="shared" si="135"/>
        <v>128.59054799999998</v>
      </c>
      <c r="BK103" s="63" t="str">
        <f t="shared" si="136"/>
        <v>OK</v>
      </c>
      <c r="BL103" s="63">
        <f t="shared" si="137"/>
        <v>228.6</v>
      </c>
      <c r="BM103" s="63">
        <f t="shared" si="138"/>
        <v>381</v>
      </c>
      <c r="BN103" s="63">
        <f t="shared" si="139"/>
        <v>762</v>
      </c>
      <c r="BO103" s="63">
        <f t="shared" si="140"/>
        <v>1143</v>
      </c>
      <c r="BP103" s="63">
        <f t="shared" si="141"/>
        <v>48.196499999999993</v>
      </c>
      <c r="BQ103" s="63">
        <f t="shared" si="146"/>
        <v>86.124001056946298</v>
      </c>
      <c r="BR103" s="63" t="str">
        <f t="shared" si="147"/>
        <v>OK</v>
      </c>
      <c r="BW103" s="70">
        <f t="shared" si="122"/>
        <v>37.02600000000001</v>
      </c>
    </row>
    <row r="104" spans="4:104" ht="12.75" customHeight="1">
      <c r="D104" s="176" t="s">
        <v>216</v>
      </c>
      <c r="E104" s="176" t="s">
        <v>245</v>
      </c>
      <c r="F104" s="67" t="s">
        <v>15</v>
      </c>
      <c r="G104" s="78">
        <v>220</v>
      </c>
      <c r="H104" s="78">
        <v>450</v>
      </c>
      <c r="I104" s="79">
        <f t="shared" si="142"/>
        <v>69</v>
      </c>
      <c r="J104" s="80">
        <f>H104-I104</f>
        <v>381</v>
      </c>
      <c r="K104" s="81">
        <v>-53</v>
      </c>
      <c r="L104" s="81">
        <v>32</v>
      </c>
      <c r="M104" s="81">
        <v>32</v>
      </c>
      <c r="N104" s="82">
        <f t="shared" si="112"/>
        <v>0.16407308737464332</v>
      </c>
      <c r="O104" s="82">
        <f>ROUND(1-SQRT(1-2*N104),3)</f>
        <v>0.18</v>
      </c>
      <c r="P104" s="82">
        <f>1-0.5*O104</f>
        <v>0.91</v>
      </c>
      <c r="Q104" s="83" t="str">
        <f t="shared" si="113"/>
        <v>Ok</v>
      </c>
      <c r="R104" s="84">
        <f t="shared" si="114"/>
        <v>3.5141495907176057</v>
      </c>
      <c r="S104" s="131">
        <f t="shared" si="123"/>
        <v>4.1924953360983125E-3</v>
      </c>
      <c r="T104" s="86">
        <v>2</v>
      </c>
      <c r="U104" s="77">
        <v>18</v>
      </c>
      <c r="V104" s="87" t="str">
        <f t="shared" si="115"/>
        <v>+</v>
      </c>
      <c r="W104" s="86">
        <v>0</v>
      </c>
      <c r="X104" s="77">
        <v>18</v>
      </c>
      <c r="Y104" s="88">
        <f>(T104*PI()*U104^2/4+W104*PI()*X104^2/4)/100</f>
        <v>5.0893800988154645</v>
      </c>
      <c r="Z104" s="89" t="str">
        <f t="shared" si="116"/>
        <v>Ok</v>
      </c>
      <c r="AA104" s="90">
        <f t="shared" si="148"/>
        <v>0</v>
      </c>
      <c r="AB104" s="80">
        <f>($J$11*$H$4*G104*ABS(AA104)*(J104-0.5*ABS(AA104))+$H$6*(T105*PI()*U105^2/4)*(J104-I105))*10^-6</f>
        <v>69.073066701123494</v>
      </c>
      <c r="AC104" s="89" t="str">
        <f t="shared" si="149"/>
        <v>Ok</v>
      </c>
      <c r="AD104" s="85">
        <f>(Y104*100)/(G104*H104)</f>
        <v>5.1407879786014793E-3</v>
      </c>
      <c r="AE104" s="85">
        <f t="shared" si="117"/>
        <v>1.9281988961466403E-2</v>
      </c>
      <c r="AF104" s="60" t="str">
        <f>IF(AND(AD104&gt;0.1%,AD104&lt;AE104),"Ok","No-Ok")</f>
        <v>Ok</v>
      </c>
      <c r="AG104" s="77">
        <v>8</v>
      </c>
      <c r="AH104" s="76">
        <v>2</v>
      </c>
      <c r="AI104" s="76">
        <v>150</v>
      </c>
      <c r="AJ104" s="60">
        <f t="shared" si="118"/>
        <v>6.698666666666667</v>
      </c>
      <c r="AK104" s="60" t="str">
        <f t="shared" si="119"/>
        <v>OK</v>
      </c>
      <c r="AL104" s="109">
        <f t="shared" si="120"/>
        <v>210</v>
      </c>
      <c r="AT104" s="133" t="str">
        <f t="shared" si="121"/>
        <v>no need</v>
      </c>
      <c r="AV104" s="61">
        <f t="shared" si="124"/>
        <v>427.48200000000003</v>
      </c>
      <c r="AW104" s="61" t="str">
        <f t="shared" si="125"/>
        <v>OK</v>
      </c>
      <c r="AX104" s="63">
        <f t="shared" si="126"/>
        <v>1147.6791562499998</v>
      </c>
      <c r="AY104" s="63">
        <f t="shared" si="127"/>
        <v>190.5</v>
      </c>
      <c r="AZ104" s="63">
        <f t="shared" si="128"/>
        <v>222.40632411067196</v>
      </c>
      <c r="BA104" s="63">
        <f t="shared" si="143"/>
        <v>63.249999999999993</v>
      </c>
      <c r="BB104" s="63">
        <f t="shared" si="144"/>
        <v>140.672</v>
      </c>
      <c r="BC104" s="63" t="str">
        <f t="shared" si="145"/>
        <v>OK</v>
      </c>
      <c r="BD104" s="63">
        <f t="shared" si="129"/>
        <v>722.59741409839842</v>
      </c>
      <c r="BE104" s="63">
        <f t="shared" si="130"/>
        <v>281.17952400000001</v>
      </c>
      <c r="BF104" s="63">
        <f t="shared" si="131"/>
        <v>184.78652399999996</v>
      </c>
      <c r="BG104" s="63">
        <f t="shared" si="132"/>
        <v>232.17606716643218</v>
      </c>
      <c r="BH104" s="63">
        <f t="shared" si="133"/>
        <v>128.59054799999998</v>
      </c>
      <c r="BI104" s="63">
        <f t="shared" si="134"/>
        <v>128.59054799999998</v>
      </c>
      <c r="BJ104" s="63">
        <f t="shared" si="135"/>
        <v>128.59054799999998</v>
      </c>
      <c r="BK104" s="63" t="str">
        <f t="shared" si="136"/>
        <v>OK</v>
      </c>
      <c r="BL104" s="63">
        <f t="shared" si="137"/>
        <v>228.6</v>
      </c>
      <c r="BM104" s="63">
        <f t="shared" si="138"/>
        <v>381</v>
      </c>
      <c r="BN104" s="63">
        <f t="shared" si="139"/>
        <v>762</v>
      </c>
      <c r="BO104" s="63">
        <f t="shared" si="140"/>
        <v>1143</v>
      </c>
      <c r="BP104" s="63">
        <f t="shared" si="141"/>
        <v>48.196499999999993</v>
      </c>
      <c r="BQ104" s="63">
        <f t="shared" si="146"/>
        <v>86.124001056946298</v>
      </c>
      <c r="BR104" s="63" t="str">
        <f t="shared" si="147"/>
        <v>OK</v>
      </c>
      <c r="BU104" s="70">
        <v>12</v>
      </c>
      <c r="BV104" s="70">
        <v>1</v>
      </c>
      <c r="BW104" s="70">
        <f t="shared" si="122"/>
        <v>37.02600000000001</v>
      </c>
      <c r="BX104" s="70" t="str">
        <f>IF(BW104&gt;AT104,"OK","NOT OK")</f>
        <v>NOT OK</v>
      </c>
      <c r="BY104" s="70">
        <f>G104</f>
        <v>220</v>
      </c>
      <c r="BZ104" s="70">
        <f>H104</f>
        <v>450</v>
      </c>
      <c r="CA104" s="70">
        <f>BY104/(2*BZ104+BY104)</f>
        <v>0.19642857142857142</v>
      </c>
      <c r="CB104" s="27" t="e">
        <f>O91*AJ104/10</f>
        <v>#NUM!</v>
      </c>
      <c r="CE104" s="71" t="e">
        <f>CB104*CA104*BY104*BZ104/1000000</f>
        <v>#NUM!</v>
      </c>
      <c r="CF104" s="71"/>
      <c r="CG104" s="71"/>
      <c r="CH104" s="70">
        <f>T105*3.14*U105^2/4</f>
        <v>508.68</v>
      </c>
      <c r="CI104" s="71">
        <f>0.5*$H$6*CH104*BZ104/1000000</f>
        <v>49.787055000000009</v>
      </c>
      <c r="CJ104" s="70" t="e">
        <f>IF((CI104+CE104)&gt;AT104,"OK","NOT OK")</f>
        <v>#NUM!</v>
      </c>
      <c r="CK104" s="27">
        <f>BZ104</f>
        <v>450</v>
      </c>
      <c r="CL104" s="27">
        <f>BY104</f>
        <v>220</v>
      </c>
      <c r="CM104" s="74">
        <f>CK104/(2*CL104+CK104)</f>
        <v>0.5056179775280899</v>
      </c>
      <c r="CN104" s="74"/>
      <c r="CO104" s="27" t="e">
        <f>O91*AJ104/10</f>
        <v>#NUM!</v>
      </c>
      <c r="CP104" s="74" t="e">
        <f>CO104*CM104*CK104*CL104/1000000</f>
        <v>#NUM!</v>
      </c>
      <c r="CQ104" s="27">
        <f>3.14*U105^2/4+3.14*U104^2/4+BV104*3.14*BU104^2/4</f>
        <v>621.72</v>
      </c>
      <c r="CT104" s="71">
        <f>0.5*$H$6*CQ104*CL104/1000000</f>
        <v>29.749302</v>
      </c>
      <c r="CU104" s="71"/>
      <c r="CV104" s="70" t="e">
        <f>IF((CT104+CP104)&gt;U104,"OK","NOT OK")</f>
        <v>#NUM!</v>
      </c>
      <c r="CW104" s="74" t="e">
        <f>MIN((CP104+CT104),(CE104+CI104))</f>
        <v>#NUM!</v>
      </c>
      <c r="CX104" s="71">
        <f>AB104</f>
        <v>69.073066701123494</v>
      </c>
      <c r="CY104" s="71">
        <f>(BG104+BO104*J104)/1000</f>
        <v>435.71517606716645</v>
      </c>
      <c r="CZ104" s="62" t="e">
        <f>CW104*SQRT(1-(K104/CX104)^1)</f>
        <v>#NUM!</v>
      </c>
    </row>
    <row r="105" spans="4:104">
      <c r="D105" s="177"/>
      <c r="E105" s="177"/>
      <c r="F105" s="68" t="s">
        <v>16</v>
      </c>
      <c r="G105" s="78">
        <v>220</v>
      </c>
      <c r="H105" s="78">
        <v>450</v>
      </c>
      <c r="I105" s="79">
        <f t="shared" si="142"/>
        <v>69</v>
      </c>
      <c r="J105" s="80">
        <f t="shared" ref="J105:J115" si="157">H105-I105</f>
        <v>381</v>
      </c>
      <c r="K105" s="81">
        <v>52</v>
      </c>
      <c r="L105" s="81">
        <v>10</v>
      </c>
      <c r="M105" s="81">
        <v>10</v>
      </c>
      <c r="N105" s="82">
        <f t="shared" si="112"/>
        <v>0.16097736874493307</v>
      </c>
      <c r="O105" s="82">
        <f t="shared" ref="O105:O115" si="158">ROUND(1-SQRT(1-2*N105),3)</f>
        <v>0.17699999999999999</v>
      </c>
      <c r="P105" s="82">
        <f t="shared" ref="P105:P115" si="159">1-0.5*O105</f>
        <v>0.91149999999999998</v>
      </c>
      <c r="Q105" s="83" t="str">
        <f t="shared" si="113"/>
        <v>Ok</v>
      </c>
      <c r="R105" s="84">
        <f t="shared" si="114"/>
        <v>3.4421709732611006</v>
      </c>
      <c r="S105" s="131">
        <f t="shared" si="123"/>
        <v>4.1066224925567886E-3</v>
      </c>
      <c r="T105" s="86">
        <v>2</v>
      </c>
      <c r="U105" s="77">
        <v>18</v>
      </c>
      <c r="V105" s="87" t="str">
        <f t="shared" si="115"/>
        <v>+</v>
      </c>
      <c r="W105" s="86">
        <v>0</v>
      </c>
      <c r="X105" s="77">
        <v>18</v>
      </c>
      <c r="Y105" s="88">
        <f t="shared" ref="Y105:Y115" si="160">(T105*PI()*U105^2/4+W105*PI()*X105^2/4)/100</f>
        <v>5.0893800988154645</v>
      </c>
      <c r="Z105" s="89" t="str">
        <f t="shared" si="116"/>
        <v>Ok</v>
      </c>
      <c r="AA105" s="80">
        <f t="shared" si="148"/>
        <v>0</v>
      </c>
      <c r="AB105" s="80">
        <f t="shared" ref="AB105:AB115" si="161">($J$11*$H$4*G105*AA105*(J105-0.5*AA105)+$H$6*(T106*PI()*U106^2/4)*(J105-I106))*10^-6</f>
        <v>69.073066701123494</v>
      </c>
      <c r="AC105" s="89" t="str">
        <f t="shared" si="149"/>
        <v>Ok</v>
      </c>
      <c r="AD105" s="85">
        <f t="shared" ref="AD105:AD115" si="162">(Y105*100)/(G105*H105)</f>
        <v>5.1407879786014793E-3</v>
      </c>
      <c r="AE105" s="85">
        <f t="shared" si="117"/>
        <v>1.9281988961466403E-2</v>
      </c>
      <c r="AF105" s="60" t="str">
        <f t="shared" ref="AF105:AF115" si="163">IF(AND(AD105&gt;0.1%,AD105&lt;AE105),"Ok","No-Ok")</f>
        <v>Ok</v>
      </c>
      <c r="AG105" s="77">
        <v>8</v>
      </c>
      <c r="AH105" s="76">
        <v>2</v>
      </c>
      <c r="AI105" s="76">
        <v>150</v>
      </c>
      <c r="AJ105" s="60">
        <f t="shared" si="118"/>
        <v>6.698666666666667</v>
      </c>
      <c r="AK105" s="60" t="str">
        <f t="shared" si="119"/>
        <v>OK</v>
      </c>
      <c r="AL105" s="109">
        <f t="shared" si="120"/>
        <v>210</v>
      </c>
      <c r="AT105" s="133" t="str">
        <f t="shared" si="121"/>
        <v>no need</v>
      </c>
      <c r="AV105" s="61">
        <f t="shared" si="124"/>
        <v>427.48200000000003</v>
      </c>
      <c r="AW105" s="61" t="str">
        <f t="shared" si="125"/>
        <v>OK</v>
      </c>
      <c r="AX105" s="63">
        <f t="shared" si="126"/>
        <v>3672.5732999999991</v>
      </c>
      <c r="AY105" s="63">
        <f t="shared" si="127"/>
        <v>190.5</v>
      </c>
      <c r="AZ105" s="63">
        <f t="shared" si="128"/>
        <v>222.40632411067196</v>
      </c>
      <c r="BA105" s="63">
        <f t="shared" si="143"/>
        <v>63.249999999999993</v>
      </c>
      <c r="BB105" s="63">
        <f t="shared" si="144"/>
        <v>140.672</v>
      </c>
      <c r="BC105" s="63" t="str">
        <f t="shared" si="145"/>
        <v>OK</v>
      </c>
      <c r="BD105" s="63">
        <f t="shared" si="129"/>
        <v>722.59741409839842</v>
      </c>
      <c r="BE105" s="63">
        <f t="shared" si="130"/>
        <v>281.17952400000001</v>
      </c>
      <c r="BF105" s="63">
        <f t="shared" si="131"/>
        <v>184.78652399999996</v>
      </c>
      <c r="BG105" s="63">
        <f t="shared" si="132"/>
        <v>232.17606716643218</v>
      </c>
      <c r="BH105" s="63">
        <f t="shared" si="133"/>
        <v>128.59054799999998</v>
      </c>
      <c r="BI105" s="63">
        <f t="shared" si="134"/>
        <v>128.59054799999998</v>
      </c>
      <c r="BJ105" s="63">
        <f t="shared" si="135"/>
        <v>128.59054799999998</v>
      </c>
      <c r="BK105" s="63" t="str">
        <f t="shared" si="136"/>
        <v>OK</v>
      </c>
      <c r="BL105" s="63">
        <f t="shared" si="137"/>
        <v>228.6</v>
      </c>
      <c r="BM105" s="63">
        <f t="shared" si="138"/>
        <v>381</v>
      </c>
      <c r="BN105" s="63">
        <f t="shared" si="139"/>
        <v>762</v>
      </c>
      <c r="BO105" s="63">
        <f t="shared" si="140"/>
        <v>1143</v>
      </c>
      <c r="BP105" s="63">
        <f t="shared" si="141"/>
        <v>48.196499999999993</v>
      </c>
      <c r="BQ105" s="63">
        <f t="shared" si="146"/>
        <v>86.124001056946298</v>
      </c>
      <c r="BR105" s="63" t="str">
        <f t="shared" si="147"/>
        <v>OK</v>
      </c>
      <c r="BW105" s="70">
        <f t="shared" si="122"/>
        <v>37.02600000000001</v>
      </c>
    </row>
    <row r="106" spans="4:104">
      <c r="D106" s="178"/>
      <c r="E106" s="178"/>
      <c r="F106" s="67" t="s">
        <v>15</v>
      </c>
      <c r="G106" s="78">
        <v>220</v>
      </c>
      <c r="H106" s="78">
        <v>450</v>
      </c>
      <c r="I106" s="79">
        <f t="shared" si="142"/>
        <v>69</v>
      </c>
      <c r="J106" s="80">
        <f t="shared" si="157"/>
        <v>381</v>
      </c>
      <c r="K106" s="81">
        <v>55</v>
      </c>
      <c r="L106" s="81">
        <v>14</v>
      </c>
      <c r="M106" s="81">
        <v>14</v>
      </c>
      <c r="N106" s="82">
        <f t="shared" si="112"/>
        <v>0.17026452463406383</v>
      </c>
      <c r="O106" s="82">
        <f t="shared" si="158"/>
        <v>0.188</v>
      </c>
      <c r="P106" s="82">
        <f t="shared" si="159"/>
        <v>0.90600000000000003</v>
      </c>
      <c r="Q106" s="83" t="str">
        <f t="shared" si="113"/>
        <v>Ok</v>
      </c>
      <c r="R106" s="84">
        <f t="shared" si="114"/>
        <v>3.6628594905122283</v>
      </c>
      <c r="S106" s="131">
        <f t="shared" si="123"/>
        <v>4.3699111077454399E-3</v>
      </c>
      <c r="T106" s="86">
        <v>2</v>
      </c>
      <c r="U106" s="77">
        <v>18</v>
      </c>
      <c r="V106" s="87" t="str">
        <f t="shared" si="115"/>
        <v>+</v>
      </c>
      <c r="W106" s="86">
        <v>0</v>
      </c>
      <c r="X106" s="77">
        <v>18</v>
      </c>
      <c r="Y106" s="88">
        <f t="shared" si="160"/>
        <v>5.0893800988154645</v>
      </c>
      <c r="Z106" s="89" t="str">
        <f t="shared" si="116"/>
        <v>Ok</v>
      </c>
      <c r="AA106" s="80">
        <f t="shared" si="148"/>
        <v>-261.61350588088106</v>
      </c>
      <c r="AB106" s="80">
        <f t="shared" si="161"/>
        <v>-74.569061212531594</v>
      </c>
      <c r="AC106" s="89" t="str">
        <f t="shared" si="149"/>
        <v>Not Ok</v>
      </c>
      <c r="AD106" s="85">
        <f t="shared" si="162"/>
        <v>5.1407879786014793E-3</v>
      </c>
      <c r="AE106" s="85">
        <f t="shared" si="117"/>
        <v>1.9281988961466403E-2</v>
      </c>
      <c r="AF106" s="60" t="str">
        <f t="shared" si="163"/>
        <v>Ok</v>
      </c>
      <c r="AG106" s="77">
        <v>8</v>
      </c>
      <c r="AH106" s="76">
        <v>2</v>
      </c>
      <c r="AI106" s="76">
        <v>150</v>
      </c>
      <c r="AJ106" s="60">
        <f t="shared" si="118"/>
        <v>6.698666666666667</v>
      </c>
      <c r="AK106" s="60" t="str">
        <f t="shared" si="119"/>
        <v>OK</v>
      </c>
      <c r="AL106" s="109">
        <f t="shared" si="120"/>
        <v>210</v>
      </c>
      <c r="AT106" s="133" t="str">
        <f t="shared" si="121"/>
        <v>no need</v>
      </c>
      <c r="AV106" s="61">
        <f t="shared" si="124"/>
        <v>427.48200000000003</v>
      </c>
      <c r="AW106" s="61" t="str">
        <f t="shared" si="125"/>
        <v>OK</v>
      </c>
      <c r="AX106" s="63">
        <f t="shared" si="126"/>
        <v>2623.2666428571424</v>
      </c>
      <c r="AY106" s="63">
        <f t="shared" si="127"/>
        <v>190.5</v>
      </c>
      <c r="AZ106" s="63">
        <f t="shared" si="128"/>
        <v>222.40632411067196</v>
      </c>
      <c r="BA106" s="63">
        <f t="shared" si="143"/>
        <v>63.249999999999993</v>
      </c>
      <c r="BB106" s="63">
        <f t="shared" si="144"/>
        <v>140.672</v>
      </c>
      <c r="BC106" s="63" t="str">
        <f t="shared" si="145"/>
        <v>OK</v>
      </c>
      <c r="BD106" s="63">
        <f t="shared" si="129"/>
        <v>722.59741409839842</v>
      </c>
      <c r="BE106" s="63">
        <f t="shared" si="130"/>
        <v>281.17952400000001</v>
      </c>
      <c r="BF106" s="63">
        <f t="shared" si="131"/>
        <v>184.78652399999996</v>
      </c>
      <c r="BG106" s="63">
        <f t="shared" si="132"/>
        <v>232.17606716643218</v>
      </c>
      <c r="BH106" s="63">
        <f t="shared" si="133"/>
        <v>128.59054799999998</v>
      </c>
      <c r="BI106" s="63">
        <f t="shared" si="134"/>
        <v>128.59054799999998</v>
      </c>
      <c r="BJ106" s="63">
        <f t="shared" si="135"/>
        <v>128.59054799999998</v>
      </c>
      <c r="BK106" s="63" t="str">
        <f t="shared" si="136"/>
        <v>OK</v>
      </c>
      <c r="BL106" s="63">
        <f t="shared" si="137"/>
        <v>228.6</v>
      </c>
      <c r="BM106" s="63">
        <f t="shared" si="138"/>
        <v>381</v>
      </c>
      <c r="BN106" s="63">
        <f t="shared" si="139"/>
        <v>762</v>
      </c>
      <c r="BO106" s="63">
        <f t="shared" si="140"/>
        <v>1143</v>
      </c>
      <c r="BP106" s="63">
        <f t="shared" si="141"/>
        <v>48.196499999999993</v>
      </c>
      <c r="BQ106" s="63">
        <f t="shared" si="146"/>
        <v>86.124001056946298</v>
      </c>
      <c r="BR106" s="63" t="str">
        <f t="shared" si="147"/>
        <v>OK</v>
      </c>
      <c r="BW106" s="70">
        <f t="shared" si="122"/>
        <v>37.02600000000001</v>
      </c>
    </row>
    <row r="107" spans="4:104">
      <c r="D107" s="179" t="s">
        <v>90</v>
      </c>
      <c r="E107" s="179" t="s">
        <v>246</v>
      </c>
      <c r="F107" s="91" t="s">
        <v>15</v>
      </c>
      <c r="G107" s="78">
        <v>220</v>
      </c>
      <c r="H107" s="78">
        <v>450</v>
      </c>
      <c r="I107" s="92">
        <f t="shared" si="142"/>
        <v>103</v>
      </c>
      <c r="J107" s="93">
        <f t="shared" si="157"/>
        <v>347</v>
      </c>
      <c r="K107" s="94"/>
      <c r="L107" s="94"/>
      <c r="M107" s="94"/>
      <c r="N107" s="95">
        <f t="shared" si="112"/>
        <v>0</v>
      </c>
      <c r="O107" s="95">
        <f t="shared" si="158"/>
        <v>0</v>
      </c>
      <c r="P107" s="95">
        <f t="shared" si="159"/>
        <v>1</v>
      </c>
      <c r="Q107" s="96" t="str">
        <f t="shared" si="113"/>
        <v>Ok</v>
      </c>
      <c r="R107" s="97">
        <f t="shared" si="114"/>
        <v>0.76340000000000008</v>
      </c>
      <c r="S107" s="131">
        <f t="shared" si="123"/>
        <v>1.0000000000000002E-3</v>
      </c>
      <c r="T107" s="99">
        <v>3</v>
      </c>
      <c r="U107" s="100">
        <v>28</v>
      </c>
      <c r="V107" s="101" t="str">
        <f t="shared" si="115"/>
        <v>+</v>
      </c>
      <c r="W107" s="99">
        <v>3</v>
      </c>
      <c r="X107" s="100">
        <v>28</v>
      </c>
      <c r="Y107" s="102">
        <f t="shared" si="160"/>
        <v>36.945129606215971</v>
      </c>
      <c r="Z107" s="103" t="str">
        <f t="shared" si="116"/>
        <v>Ok</v>
      </c>
      <c r="AA107" s="93">
        <f t="shared" si="148"/>
        <v>499.2764795332306</v>
      </c>
      <c r="AB107" s="93">
        <f t="shared" si="161"/>
        <v>232.19110220366545</v>
      </c>
      <c r="AC107" s="89" t="str">
        <f t="shared" si="149"/>
        <v>Ok</v>
      </c>
      <c r="AD107" s="98">
        <f t="shared" si="162"/>
        <v>3.7318312733551483E-2</v>
      </c>
      <c r="AE107" s="98">
        <f t="shared" si="117"/>
        <v>1.9281988961466403E-2</v>
      </c>
      <c r="AF107" s="104" t="str">
        <f t="shared" si="163"/>
        <v>No-Ok</v>
      </c>
      <c r="AG107" s="100">
        <v>10</v>
      </c>
      <c r="AH107" s="105">
        <v>2</v>
      </c>
      <c r="AI107" s="105">
        <v>200</v>
      </c>
      <c r="AJ107" s="104">
        <f t="shared" si="118"/>
        <v>7.8500000000000005</v>
      </c>
      <c r="AK107" s="60" t="str">
        <f t="shared" si="119"/>
        <v>OK</v>
      </c>
      <c r="AL107" s="109">
        <f t="shared" si="120"/>
        <v>300</v>
      </c>
      <c r="AT107" s="133" t="str">
        <f t="shared" si="121"/>
        <v>no need</v>
      </c>
      <c r="AV107" s="61">
        <f t="shared" si="124"/>
        <v>389.334</v>
      </c>
      <c r="AW107" s="61" t="str">
        <f t="shared" si="125"/>
        <v>OK</v>
      </c>
      <c r="AX107" s="63" t="e">
        <f t="shared" si="126"/>
        <v>#DIV/0!</v>
      </c>
      <c r="AY107" s="63">
        <f t="shared" si="127"/>
        <v>173.5</v>
      </c>
      <c r="AZ107" s="63">
        <f t="shared" si="128"/>
        <v>372.33201581027674</v>
      </c>
      <c r="BA107" s="63">
        <f t="shared" si="143"/>
        <v>63.249999999999993</v>
      </c>
      <c r="BB107" s="63">
        <f t="shared" si="144"/>
        <v>235.5</v>
      </c>
      <c r="BC107" s="63" t="str">
        <f t="shared" si="145"/>
        <v>OK</v>
      </c>
      <c r="BD107" s="63">
        <f t="shared" si="129"/>
        <v>508.63855582042862</v>
      </c>
      <c r="BE107" s="63">
        <f t="shared" si="130"/>
        <v>280.76637499999998</v>
      </c>
      <c r="BF107" s="63">
        <f t="shared" si="131"/>
        <v>192.97537499999996</v>
      </c>
      <c r="BG107" s="63">
        <f t="shared" si="132"/>
        <v>273.59841317088518</v>
      </c>
      <c r="BH107" s="63">
        <f t="shared" si="133"/>
        <v>166.47324999999998</v>
      </c>
      <c r="BI107" s="63">
        <f t="shared" si="134"/>
        <v>166.47324999999998</v>
      </c>
      <c r="BJ107" s="63">
        <f t="shared" si="135"/>
        <v>166.47324999999998</v>
      </c>
      <c r="BK107" s="63" t="str">
        <f t="shared" si="136"/>
        <v>OK</v>
      </c>
      <c r="BL107" s="63">
        <f t="shared" si="137"/>
        <v>208.2</v>
      </c>
      <c r="BM107" s="63">
        <f t="shared" si="138"/>
        <v>347</v>
      </c>
      <c r="BN107" s="63">
        <f t="shared" si="139"/>
        <v>694</v>
      </c>
      <c r="BO107" s="63">
        <f t="shared" si="140"/>
        <v>1041</v>
      </c>
      <c r="BP107" s="63">
        <f t="shared" si="141"/>
        <v>43.895499999999991</v>
      </c>
      <c r="BQ107" s="63">
        <f t="shared" si="146"/>
        <v>86.124001056946298</v>
      </c>
      <c r="BR107" s="63" t="str">
        <f t="shared" si="147"/>
        <v>OK</v>
      </c>
      <c r="BW107" s="70">
        <f t="shared" si="122"/>
        <v>37.02600000000001</v>
      </c>
    </row>
    <row r="108" spans="4:104">
      <c r="D108" s="180"/>
      <c r="E108" s="180"/>
      <c r="F108" s="106" t="s">
        <v>16</v>
      </c>
      <c r="G108" s="78">
        <v>220</v>
      </c>
      <c r="H108" s="78">
        <v>450</v>
      </c>
      <c r="I108" s="92">
        <f t="shared" si="142"/>
        <v>97</v>
      </c>
      <c r="J108" s="93">
        <f t="shared" si="157"/>
        <v>353</v>
      </c>
      <c r="K108" s="94"/>
      <c r="L108" s="94"/>
      <c r="M108" s="94"/>
      <c r="N108" s="95">
        <f t="shared" si="112"/>
        <v>0</v>
      </c>
      <c r="O108" s="95">
        <f t="shared" si="158"/>
        <v>0</v>
      </c>
      <c r="P108" s="95">
        <f t="shared" si="159"/>
        <v>1</v>
      </c>
      <c r="Q108" s="96" t="str">
        <f t="shared" si="113"/>
        <v>Ok</v>
      </c>
      <c r="R108" s="97">
        <f t="shared" si="114"/>
        <v>0.77659999999999996</v>
      </c>
      <c r="S108" s="131">
        <f t="shared" si="123"/>
        <v>1E-3</v>
      </c>
      <c r="T108" s="99">
        <v>3</v>
      </c>
      <c r="U108" s="100">
        <v>22</v>
      </c>
      <c r="V108" s="101" t="str">
        <f t="shared" si="115"/>
        <v>+</v>
      </c>
      <c r="W108" s="99">
        <v>3</v>
      </c>
      <c r="X108" s="100">
        <v>22</v>
      </c>
      <c r="Y108" s="102">
        <f t="shared" si="160"/>
        <v>22.807962665061901</v>
      </c>
      <c r="Z108" s="103" t="str">
        <f t="shared" si="116"/>
        <v>Ok</v>
      </c>
      <c r="AA108" s="93">
        <f t="shared" si="148"/>
        <v>222.92418458863807</v>
      </c>
      <c r="AB108" s="93">
        <f t="shared" si="161"/>
        <v>246.815216009041</v>
      </c>
      <c r="AC108" s="89" t="str">
        <f t="shared" si="149"/>
        <v>Ok</v>
      </c>
      <c r="AD108" s="98">
        <f t="shared" si="162"/>
        <v>2.3038346126325153E-2</v>
      </c>
      <c r="AE108" s="98">
        <f t="shared" si="117"/>
        <v>1.9281988961466403E-2</v>
      </c>
      <c r="AF108" s="104" t="str">
        <f t="shared" si="163"/>
        <v>No-Ok</v>
      </c>
      <c r="AG108" s="100">
        <v>10</v>
      </c>
      <c r="AH108" s="105">
        <v>2</v>
      </c>
      <c r="AI108" s="105">
        <v>200</v>
      </c>
      <c r="AJ108" s="104">
        <f t="shared" si="118"/>
        <v>7.8500000000000005</v>
      </c>
      <c r="AK108" s="60" t="str">
        <f t="shared" si="119"/>
        <v>OK</v>
      </c>
      <c r="AL108" s="109">
        <f t="shared" si="120"/>
        <v>300</v>
      </c>
      <c r="AT108" s="133" t="str">
        <f t="shared" si="121"/>
        <v>no need</v>
      </c>
      <c r="AV108" s="61">
        <f t="shared" si="124"/>
        <v>396.06599999999997</v>
      </c>
      <c r="AW108" s="61" t="str">
        <f t="shared" si="125"/>
        <v>OK</v>
      </c>
      <c r="AX108" s="63" t="e">
        <f t="shared" si="126"/>
        <v>#DIV/0!</v>
      </c>
      <c r="AY108" s="63">
        <f t="shared" si="127"/>
        <v>176.5</v>
      </c>
      <c r="AZ108" s="63">
        <f t="shared" si="128"/>
        <v>372.33201581027674</v>
      </c>
      <c r="BA108" s="63">
        <f t="shared" si="143"/>
        <v>63.249999999999993</v>
      </c>
      <c r="BB108" s="63">
        <f t="shared" si="144"/>
        <v>235.5</v>
      </c>
      <c r="BC108" s="63" t="str">
        <f t="shared" si="145"/>
        <v>OK</v>
      </c>
      <c r="BD108" s="63">
        <f t="shared" si="129"/>
        <v>517.4334588029144</v>
      </c>
      <c r="BE108" s="63">
        <f t="shared" si="130"/>
        <v>285.62112500000001</v>
      </c>
      <c r="BF108" s="63">
        <f t="shared" si="131"/>
        <v>196.31212499999998</v>
      </c>
      <c r="BG108" s="63">
        <f t="shared" si="132"/>
        <v>278.3292214677881</v>
      </c>
      <c r="BH108" s="63">
        <f t="shared" si="133"/>
        <v>169.35174999999998</v>
      </c>
      <c r="BI108" s="63">
        <f t="shared" si="134"/>
        <v>169.35174999999998</v>
      </c>
      <c r="BJ108" s="63">
        <f t="shared" si="135"/>
        <v>169.35174999999998</v>
      </c>
      <c r="BK108" s="63" t="str">
        <f t="shared" si="136"/>
        <v>OK</v>
      </c>
      <c r="BL108" s="63">
        <f t="shared" si="137"/>
        <v>211.79999999999998</v>
      </c>
      <c r="BM108" s="63">
        <f t="shared" si="138"/>
        <v>353</v>
      </c>
      <c r="BN108" s="63">
        <f t="shared" si="139"/>
        <v>706</v>
      </c>
      <c r="BO108" s="63">
        <f t="shared" si="140"/>
        <v>1059</v>
      </c>
      <c r="BP108" s="63">
        <f t="shared" si="141"/>
        <v>44.654499999999992</v>
      </c>
      <c r="BQ108" s="63">
        <f t="shared" si="146"/>
        <v>516.07959270692425</v>
      </c>
      <c r="BR108" s="63" t="str">
        <f t="shared" si="147"/>
        <v>OK</v>
      </c>
      <c r="BW108" s="70">
        <f t="shared" si="122"/>
        <v>37.02600000000001</v>
      </c>
    </row>
    <row r="109" spans="4:104">
      <c r="D109" s="181"/>
      <c r="E109" s="181"/>
      <c r="F109" s="91" t="s">
        <v>15</v>
      </c>
      <c r="G109" s="78">
        <v>220</v>
      </c>
      <c r="H109" s="78">
        <v>450</v>
      </c>
      <c r="I109" s="92">
        <f t="shared" si="142"/>
        <v>97</v>
      </c>
      <c r="J109" s="93">
        <f t="shared" si="157"/>
        <v>353</v>
      </c>
      <c r="K109" s="94"/>
      <c r="L109" s="94"/>
      <c r="M109" s="94"/>
      <c r="N109" s="95">
        <f t="shared" si="112"/>
        <v>0</v>
      </c>
      <c r="O109" s="95">
        <f t="shared" si="158"/>
        <v>0</v>
      </c>
      <c r="P109" s="95">
        <f t="shared" si="159"/>
        <v>1</v>
      </c>
      <c r="Q109" s="96" t="str">
        <f t="shared" si="113"/>
        <v>Ok</v>
      </c>
      <c r="R109" s="97">
        <f t="shared" si="114"/>
        <v>0.77659999999999996</v>
      </c>
      <c r="S109" s="131">
        <f t="shared" si="123"/>
        <v>1E-3</v>
      </c>
      <c r="T109" s="99">
        <v>3</v>
      </c>
      <c r="U109" s="100">
        <v>22</v>
      </c>
      <c r="V109" s="101" t="str">
        <f t="shared" si="115"/>
        <v>+</v>
      </c>
      <c r="W109" s="99">
        <v>3</v>
      </c>
      <c r="X109" s="100">
        <v>22</v>
      </c>
      <c r="Y109" s="102">
        <f t="shared" si="160"/>
        <v>22.807962665061901</v>
      </c>
      <c r="Z109" s="103" t="str">
        <f t="shared" si="116"/>
        <v>Ok</v>
      </c>
      <c r="AA109" s="93">
        <f t="shared" si="148"/>
        <v>222.92418458863807</v>
      </c>
      <c r="AB109" s="93">
        <f t="shared" si="161"/>
        <v>246.815216009041</v>
      </c>
      <c r="AC109" s="89" t="str">
        <f t="shared" si="149"/>
        <v>Ok</v>
      </c>
      <c r="AD109" s="98">
        <f t="shared" si="162"/>
        <v>2.3038346126325153E-2</v>
      </c>
      <c r="AE109" s="98">
        <f t="shared" si="117"/>
        <v>1.9281988961466403E-2</v>
      </c>
      <c r="AF109" s="104" t="str">
        <f t="shared" si="163"/>
        <v>No-Ok</v>
      </c>
      <c r="AG109" s="100">
        <v>10</v>
      </c>
      <c r="AH109" s="105">
        <v>2</v>
      </c>
      <c r="AI109" s="105">
        <v>200</v>
      </c>
      <c r="AJ109" s="104">
        <f t="shared" si="118"/>
        <v>7.8500000000000005</v>
      </c>
      <c r="AK109" s="60" t="str">
        <f t="shared" si="119"/>
        <v>OK</v>
      </c>
      <c r="AL109" s="109">
        <f t="shared" si="120"/>
        <v>300</v>
      </c>
      <c r="AT109" s="133" t="str">
        <f t="shared" si="121"/>
        <v>no need</v>
      </c>
      <c r="AV109" s="61">
        <f t="shared" si="124"/>
        <v>396.06599999999997</v>
      </c>
      <c r="AW109" s="61" t="str">
        <f t="shared" si="125"/>
        <v>OK</v>
      </c>
      <c r="AX109" s="63" t="e">
        <f t="shared" si="126"/>
        <v>#DIV/0!</v>
      </c>
      <c r="AY109" s="63">
        <f t="shared" si="127"/>
        <v>176.5</v>
      </c>
      <c r="AZ109" s="63">
        <f t="shared" si="128"/>
        <v>372.33201581027674</v>
      </c>
      <c r="BA109" s="63">
        <f t="shared" si="143"/>
        <v>63.249999999999993</v>
      </c>
      <c r="BB109" s="63">
        <f t="shared" si="144"/>
        <v>235.5</v>
      </c>
      <c r="BC109" s="63" t="str">
        <f t="shared" si="145"/>
        <v>OK</v>
      </c>
      <c r="BD109" s="63">
        <f t="shared" si="129"/>
        <v>517.4334588029144</v>
      </c>
      <c r="BE109" s="63">
        <f t="shared" si="130"/>
        <v>285.62112500000001</v>
      </c>
      <c r="BF109" s="63">
        <f t="shared" si="131"/>
        <v>196.31212499999998</v>
      </c>
      <c r="BG109" s="63">
        <f t="shared" si="132"/>
        <v>278.3292214677881</v>
      </c>
      <c r="BH109" s="63">
        <f t="shared" si="133"/>
        <v>169.35174999999998</v>
      </c>
      <c r="BI109" s="63">
        <f t="shared" si="134"/>
        <v>169.35174999999998</v>
      </c>
      <c r="BJ109" s="63">
        <f t="shared" si="135"/>
        <v>169.35174999999998</v>
      </c>
      <c r="BK109" s="63" t="str">
        <f t="shared" si="136"/>
        <v>OK</v>
      </c>
      <c r="BL109" s="63">
        <f t="shared" si="137"/>
        <v>211.79999999999998</v>
      </c>
      <c r="BM109" s="63">
        <f t="shared" si="138"/>
        <v>353</v>
      </c>
      <c r="BN109" s="63">
        <f t="shared" si="139"/>
        <v>706</v>
      </c>
      <c r="BO109" s="63">
        <f t="shared" si="140"/>
        <v>1059</v>
      </c>
      <c r="BP109" s="63">
        <f t="shared" si="141"/>
        <v>44.654499999999992</v>
      </c>
      <c r="BQ109" s="63">
        <f t="shared" si="146"/>
        <v>329.87761338302221</v>
      </c>
      <c r="BR109" s="63" t="str">
        <f t="shared" si="147"/>
        <v>OK</v>
      </c>
      <c r="BW109" s="70">
        <f t="shared" si="122"/>
        <v>37.02600000000001</v>
      </c>
    </row>
    <row r="110" spans="4:104">
      <c r="D110" s="176" t="s">
        <v>90</v>
      </c>
      <c r="E110" s="176" t="s">
        <v>90</v>
      </c>
      <c r="F110" s="67" t="s">
        <v>15</v>
      </c>
      <c r="G110" s="78">
        <v>220</v>
      </c>
      <c r="H110" s="78">
        <v>450</v>
      </c>
      <c r="I110" s="79">
        <f t="shared" si="142"/>
        <v>97</v>
      </c>
      <c r="J110" s="80">
        <f t="shared" si="157"/>
        <v>353</v>
      </c>
      <c r="K110" s="81"/>
      <c r="L110" s="81"/>
      <c r="M110" s="81"/>
      <c r="N110" s="82">
        <f t="shared" si="112"/>
        <v>0</v>
      </c>
      <c r="O110" s="82">
        <f t="shared" si="158"/>
        <v>0</v>
      </c>
      <c r="P110" s="82">
        <f t="shared" si="159"/>
        <v>1</v>
      </c>
      <c r="Q110" s="83" t="str">
        <f t="shared" si="113"/>
        <v>Ok</v>
      </c>
      <c r="R110" s="84">
        <f t="shared" si="114"/>
        <v>0.77659999999999996</v>
      </c>
      <c r="S110" s="131">
        <f t="shared" si="123"/>
        <v>1E-3</v>
      </c>
      <c r="T110" s="86">
        <v>3</v>
      </c>
      <c r="U110" s="77">
        <v>22</v>
      </c>
      <c r="V110" s="87" t="str">
        <f t="shared" si="115"/>
        <v>+</v>
      </c>
      <c r="W110" s="86">
        <v>3</v>
      </c>
      <c r="X110" s="77">
        <v>22</v>
      </c>
      <c r="Y110" s="88">
        <f t="shared" si="160"/>
        <v>22.807962665061901</v>
      </c>
      <c r="Z110" s="89" t="str">
        <f t="shared" si="116"/>
        <v>Ok</v>
      </c>
      <c r="AA110" s="80">
        <f t="shared" si="148"/>
        <v>157.98139527665879</v>
      </c>
      <c r="AB110" s="80">
        <f t="shared" si="161"/>
        <v>258.3989793884802</v>
      </c>
      <c r="AC110" s="89" t="str">
        <f t="shared" si="149"/>
        <v>Ok</v>
      </c>
      <c r="AD110" s="85">
        <f t="shared" si="162"/>
        <v>2.3038346126325153E-2</v>
      </c>
      <c r="AE110" s="85">
        <f t="shared" si="117"/>
        <v>1.9281988961466403E-2</v>
      </c>
      <c r="AF110" s="60" t="str">
        <f t="shared" si="163"/>
        <v>No-Ok</v>
      </c>
      <c r="AG110" s="77">
        <v>10</v>
      </c>
      <c r="AH110" s="76">
        <v>2</v>
      </c>
      <c r="AI110" s="76">
        <v>200</v>
      </c>
      <c r="AJ110" s="60">
        <f t="shared" si="118"/>
        <v>7.8500000000000005</v>
      </c>
      <c r="AK110" s="60" t="str">
        <f t="shared" si="119"/>
        <v>OK</v>
      </c>
      <c r="AL110" s="109">
        <f t="shared" si="120"/>
        <v>300</v>
      </c>
      <c r="AT110" s="133" t="str">
        <f t="shared" si="121"/>
        <v>no need</v>
      </c>
      <c r="AV110" s="61">
        <f t="shared" si="124"/>
        <v>396.06599999999997</v>
      </c>
      <c r="AW110" s="61" t="str">
        <f t="shared" si="125"/>
        <v>OK</v>
      </c>
      <c r="AX110" s="63" t="e">
        <f t="shared" si="126"/>
        <v>#DIV/0!</v>
      </c>
      <c r="AY110" s="63">
        <f t="shared" si="127"/>
        <v>176.5</v>
      </c>
      <c r="AZ110" s="63">
        <f t="shared" si="128"/>
        <v>372.33201581027674</v>
      </c>
      <c r="BA110" s="63">
        <f t="shared" si="143"/>
        <v>63.249999999999993</v>
      </c>
      <c r="BB110" s="63">
        <f t="shared" si="144"/>
        <v>235.5</v>
      </c>
      <c r="BC110" s="63" t="str">
        <f t="shared" si="145"/>
        <v>OK</v>
      </c>
      <c r="BD110" s="63">
        <f t="shared" si="129"/>
        <v>517.4334588029144</v>
      </c>
      <c r="BE110" s="63">
        <f t="shared" si="130"/>
        <v>285.62112500000001</v>
      </c>
      <c r="BF110" s="63">
        <f t="shared" si="131"/>
        <v>196.31212499999998</v>
      </c>
      <c r="BG110" s="63">
        <f t="shared" si="132"/>
        <v>278.3292214677881</v>
      </c>
      <c r="BH110" s="63">
        <f t="shared" si="133"/>
        <v>169.35174999999998</v>
      </c>
      <c r="BI110" s="63">
        <f t="shared" si="134"/>
        <v>169.35174999999998</v>
      </c>
      <c r="BJ110" s="63">
        <f t="shared" si="135"/>
        <v>169.35174999999998</v>
      </c>
      <c r="BK110" s="63" t="str">
        <f t="shared" si="136"/>
        <v>OK</v>
      </c>
      <c r="BL110" s="63">
        <f t="shared" si="137"/>
        <v>211.79999999999998</v>
      </c>
      <c r="BM110" s="63">
        <f t="shared" si="138"/>
        <v>353</v>
      </c>
      <c r="BN110" s="63">
        <f t="shared" si="139"/>
        <v>706</v>
      </c>
      <c r="BO110" s="63">
        <f t="shared" si="140"/>
        <v>1059</v>
      </c>
      <c r="BP110" s="63">
        <f t="shared" si="141"/>
        <v>44.654499999999992</v>
      </c>
      <c r="BQ110" s="63">
        <f t="shared" si="146"/>
        <v>329.87761338302221</v>
      </c>
      <c r="BR110" s="63" t="str">
        <f t="shared" si="147"/>
        <v>OK</v>
      </c>
      <c r="BW110" s="70">
        <f t="shared" si="122"/>
        <v>37.02600000000001</v>
      </c>
    </row>
    <row r="111" spans="4:104">
      <c r="D111" s="177"/>
      <c r="E111" s="177"/>
      <c r="F111" s="68" t="s">
        <v>16</v>
      </c>
      <c r="G111" s="78">
        <v>220</v>
      </c>
      <c r="H111" s="78">
        <v>450</v>
      </c>
      <c r="I111" s="79">
        <f t="shared" si="142"/>
        <v>100</v>
      </c>
      <c r="J111" s="80">
        <f t="shared" si="157"/>
        <v>350</v>
      </c>
      <c r="K111" s="81"/>
      <c r="L111" s="81"/>
      <c r="M111" s="81"/>
      <c r="N111" s="82">
        <f t="shared" si="112"/>
        <v>0</v>
      </c>
      <c r="O111" s="82">
        <f t="shared" si="158"/>
        <v>0</v>
      </c>
      <c r="P111" s="82">
        <f t="shared" si="159"/>
        <v>1</v>
      </c>
      <c r="Q111" s="83" t="str">
        <f t="shared" si="113"/>
        <v>Ok</v>
      </c>
      <c r="R111" s="84">
        <f t="shared" si="114"/>
        <v>0.77</v>
      </c>
      <c r="S111" s="131">
        <f t="shared" si="123"/>
        <v>1E-3</v>
      </c>
      <c r="T111" s="86">
        <v>3</v>
      </c>
      <c r="U111" s="77">
        <v>25</v>
      </c>
      <c r="V111" s="87" t="str">
        <f t="shared" si="115"/>
        <v>+</v>
      </c>
      <c r="W111" s="86">
        <v>3</v>
      </c>
      <c r="X111" s="77">
        <v>25</v>
      </c>
      <c r="Y111" s="88">
        <f t="shared" si="160"/>
        <v>29.45243112740431</v>
      </c>
      <c r="Z111" s="89" t="str">
        <f t="shared" si="116"/>
        <v>Ok</v>
      </c>
      <c r="AA111" s="80">
        <f t="shared" si="148"/>
        <v>214.63361574030029</v>
      </c>
      <c r="AB111" s="80">
        <f t="shared" si="161"/>
        <v>314.38983440715214</v>
      </c>
      <c r="AC111" s="89" t="str">
        <f t="shared" si="149"/>
        <v>Ok</v>
      </c>
      <c r="AD111" s="85">
        <f t="shared" si="162"/>
        <v>2.9749930431721527E-2</v>
      </c>
      <c r="AE111" s="85">
        <f t="shared" si="117"/>
        <v>1.9281988961466403E-2</v>
      </c>
      <c r="AF111" s="60" t="str">
        <f t="shared" si="163"/>
        <v>No-Ok</v>
      </c>
      <c r="AG111" s="77">
        <v>10</v>
      </c>
      <c r="AH111" s="76">
        <v>2</v>
      </c>
      <c r="AI111" s="76">
        <v>200</v>
      </c>
      <c r="AJ111" s="60">
        <f t="shared" si="118"/>
        <v>7.8500000000000005</v>
      </c>
      <c r="AK111" s="60" t="str">
        <f t="shared" si="119"/>
        <v>OK</v>
      </c>
      <c r="AL111" s="109">
        <f t="shared" si="120"/>
        <v>300</v>
      </c>
      <c r="AT111" s="133" t="str">
        <f t="shared" si="121"/>
        <v>no need</v>
      </c>
      <c r="AV111" s="61">
        <f t="shared" si="124"/>
        <v>392.7</v>
      </c>
      <c r="AW111" s="61" t="str">
        <f t="shared" si="125"/>
        <v>OK</v>
      </c>
      <c r="AX111" s="63" t="e">
        <f t="shared" si="126"/>
        <v>#DIV/0!</v>
      </c>
      <c r="AY111" s="63">
        <f t="shared" si="127"/>
        <v>175</v>
      </c>
      <c r="AZ111" s="63">
        <f t="shared" si="128"/>
        <v>372.33201581027674</v>
      </c>
      <c r="BA111" s="63">
        <f t="shared" si="143"/>
        <v>63.249999999999993</v>
      </c>
      <c r="BB111" s="63">
        <f t="shared" si="144"/>
        <v>235.5</v>
      </c>
      <c r="BC111" s="63" t="str">
        <f t="shared" si="145"/>
        <v>OK</v>
      </c>
      <c r="BD111" s="63">
        <f t="shared" si="129"/>
        <v>513.03600731167148</v>
      </c>
      <c r="BE111" s="63">
        <f t="shared" si="130"/>
        <v>283.19375000000002</v>
      </c>
      <c r="BF111" s="63">
        <f t="shared" si="131"/>
        <v>194.64374999999995</v>
      </c>
      <c r="BG111" s="63">
        <f t="shared" si="132"/>
        <v>275.96381731933667</v>
      </c>
      <c r="BH111" s="63">
        <f t="shared" si="133"/>
        <v>167.91249999999999</v>
      </c>
      <c r="BI111" s="63">
        <f t="shared" si="134"/>
        <v>167.91249999999999</v>
      </c>
      <c r="BJ111" s="63">
        <f t="shared" si="135"/>
        <v>167.91249999999999</v>
      </c>
      <c r="BK111" s="63" t="str">
        <f t="shared" si="136"/>
        <v>OK</v>
      </c>
      <c r="BL111" s="63">
        <f t="shared" si="137"/>
        <v>210</v>
      </c>
      <c r="BM111" s="63">
        <f t="shared" si="138"/>
        <v>350</v>
      </c>
      <c r="BN111" s="63">
        <f t="shared" si="139"/>
        <v>700</v>
      </c>
      <c r="BO111" s="63">
        <f t="shared" si="140"/>
        <v>1050</v>
      </c>
      <c r="BP111" s="63">
        <f t="shared" si="141"/>
        <v>44.274999999999991</v>
      </c>
      <c r="BQ111" s="63">
        <f t="shared" si="146"/>
        <v>329.87761338302221</v>
      </c>
      <c r="BR111" s="63" t="str">
        <f t="shared" si="147"/>
        <v>OK</v>
      </c>
      <c r="BW111" s="70">
        <f t="shared" si="122"/>
        <v>37.02600000000001</v>
      </c>
    </row>
    <row r="112" spans="4:104">
      <c r="D112" s="178"/>
      <c r="E112" s="178"/>
      <c r="F112" s="67" t="s">
        <v>15</v>
      </c>
      <c r="G112" s="78">
        <v>220</v>
      </c>
      <c r="H112" s="78">
        <v>450</v>
      </c>
      <c r="I112" s="79">
        <f t="shared" si="142"/>
        <v>103</v>
      </c>
      <c r="J112" s="80">
        <f t="shared" si="157"/>
        <v>347</v>
      </c>
      <c r="K112" s="81"/>
      <c r="L112" s="81"/>
      <c r="M112" s="81"/>
      <c r="N112" s="82">
        <f t="shared" si="112"/>
        <v>0</v>
      </c>
      <c r="O112" s="82">
        <f t="shared" si="158"/>
        <v>0</v>
      </c>
      <c r="P112" s="82">
        <f t="shared" si="159"/>
        <v>1</v>
      </c>
      <c r="Q112" s="83" t="str">
        <f t="shared" si="113"/>
        <v>Ok</v>
      </c>
      <c r="R112" s="84">
        <f t="shared" si="114"/>
        <v>0.76340000000000008</v>
      </c>
      <c r="S112" s="131">
        <f t="shared" si="123"/>
        <v>1.0000000000000002E-3</v>
      </c>
      <c r="T112" s="86">
        <v>3</v>
      </c>
      <c r="U112" s="77">
        <v>28</v>
      </c>
      <c r="V112" s="87" t="str">
        <f t="shared" si="115"/>
        <v>+</v>
      </c>
      <c r="W112" s="86">
        <v>3</v>
      </c>
      <c r="X112" s="77">
        <v>28</v>
      </c>
      <c r="Y112" s="88">
        <f t="shared" si="160"/>
        <v>36.945129606215971</v>
      </c>
      <c r="Z112" s="89" t="str">
        <f t="shared" si="116"/>
        <v>Ok</v>
      </c>
      <c r="AA112" s="80">
        <f t="shared" si="148"/>
        <v>499.2764795332306</v>
      </c>
      <c r="AB112" s="80">
        <f t="shared" si="161"/>
        <v>232.19110220366545</v>
      </c>
      <c r="AC112" s="89" t="str">
        <f t="shared" si="149"/>
        <v>Ok</v>
      </c>
      <c r="AD112" s="85">
        <f t="shared" si="162"/>
        <v>3.7318312733551483E-2</v>
      </c>
      <c r="AE112" s="85">
        <f t="shared" si="117"/>
        <v>1.9281988961466403E-2</v>
      </c>
      <c r="AF112" s="60" t="str">
        <f t="shared" si="163"/>
        <v>No-Ok</v>
      </c>
      <c r="AG112" s="77">
        <v>10</v>
      </c>
      <c r="AH112" s="76">
        <v>2</v>
      </c>
      <c r="AI112" s="76">
        <v>200</v>
      </c>
      <c r="AJ112" s="60">
        <f t="shared" si="118"/>
        <v>7.8500000000000005</v>
      </c>
      <c r="AK112" s="60" t="str">
        <f t="shared" si="119"/>
        <v>OK</v>
      </c>
      <c r="AL112" s="109">
        <f t="shared" si="120"/>
        <v>300</v>
      </c>
      <c r="AT112" s="133" t="str">
        <f t="shared" si="121"/>
        <v>no need</v>
      </c>
      <c r="AV112" s="61">
        <f t="shared" si="124"/>
        <v>389.334</v>
      </c>
      <c r="AW112" s="61" t="str">
        <f t="shared" si="125"/>
        <v>OK</v>
      </c>
      <c r="AX112" s="63" t="e">
        <f t="shared" si="126"/>
        <v>#DIV/0!</v>
      </c>
      <c r="AY112" s="63">
        <f t="shared" si="127"/>
        <v>173.5</v>
      </c>
      <c r="AZ112" s="63">
        <f t="shared" si="128"/>
        <v>372.33201581027674</v>
      </c>
      <c r="BA112" s="63">
        <f t="shared" si="143"/>
        <v>63.249999999999993</v>
      </c>
      <c r="BB112" s="63">
        <f t="shared" si="144"/>
        <v>235.5</v>
      </c>
      <c r="BC112" s="63" t="str">
        <f t="shared" si="145"/>
        <v>OK</v>
      </c>
      <c r="BD112" s="63">
        <f t="shared" si="129"/>
        <v>508.63855582042862</v>
      </c>
      <c r="BE112" s="63">
        <f t="shared" si="130"/>
        <v>280.76637499999998</v>
      </c>
      <c r="BF112" s="63">
        <f t="shared" si="131"/>
        <v>192.97537499999996</v>
      </c>
      <c r="BG112" s="63">
        <f t="shared" si="132"/>
        <v>273.59841317088518</v>
      </c>
      <c r="BH112" s="63">
        <f t="shared" si="133"/>
        <v>166.47324999999998</v>
      </c>
      <c r="BI112" s="63">
        <f t="shared" si="134"/>
        <v>166.47324999999998</v>
      </c>
      <c r="BJ112" s="63">
        <f t="shared" si="135"/>
        <v>166.47324999999998</v>
      </c>
      <c r="BK112" s="63" t="str">
        <f t="shared" si="136"/>
        <v>OK</v>
      </c>
      <c r="BL112" s="63">
        <f t="shared" si="137"/>
        <v>208.2</v>
      </c>
      <c r="BM112" s="63">
        <f t="shared" si="138"/>
        <v>347</v>
      </c>
      <c r="BN112" s="63">
        <f t="shared" si="139"/>
        <v>694</v>
      </c>
      <c r="BO112" s="63">
        <f t="shared" si="140"/>
        <v>1041</v>
      </c>
      <c r="BP112" s="63">
        <f t="shared" si="141"/>
        <v>43.895499999999991</v>
      </c>
      <c r="BQ112" s="63">
        <f t="shared" si="146"/>
        <v>417.99631252325759</v>
      </c>
      <c r="BR112" s="63" t="str">
        <f t="shared" si="147"/>
        <v>OK</v>
      </c>
      <c r="BW112" s="70">
        <f t="shared" si="122"/>
        <v>37.02600000000001</v>
      </c>
    </row>
    <row r="113" spans="4:104">
      <c r="D113" s="179" t="s">
        <v>90</v>
      </c>
      <c r="E113" s="179" t="s">
        <v>90</v>
      </c>
      <c r="F113" s="91" t="s">
        <v>15</v>
      </c>
      <c r="G113" s="78">
        <v>220</v>
      </c>
      <c r="H113" s="78">
        <v>450</v>
      </c>
      <c r="I113" s="92">
        <f t="shared" si="142"/>
        <v>97</v>
      </c>
      <c r="J113" s="93">
        <f t="shared" si="157"/>
        <v>353</v>
      </c>
      <c r="K113" s="94"/>
      <c r="L113" s="94"/>
      <c r="M113" s="94"/>
      <c r="N113" s="95">
        <f t="shared" si="112"/>
        <v>0</v>
      </c>
      <c r="O113" s="95">
        <f t="shared" si="158"/>
        <v>0</v>
      </c>
      <c r="P113" s="95">
        <f t="shared" si="159"/>
        <v>1</v>
      </c>
      <c r="Q113" s="96" t="str">
        <f t="shared" si="113"/>
        <v>Ok</v>
      </c>
      <c r="R113" s="97">
        <f t="shared" si="114"/>
        <v>0.77659999999999996</v>
      </c>
      <c r="S113" s="131">
        <f t="shared" si="123"/>
        <v>1E-3</v>
      </c>
      <c r="T113" s="99">
        <v>3</v>
      </c>
      <c r="U113" s="100">
        <v>22</v>
      </c>
      <c r="V113" s="101" t="str">
        <f t="shared" si="115"/>
        <v>+</v>
      </c>
      <c r="W113" s="99">
        <v>3</v>
      </c>
      <c r="X113" s="100">
        <v>22</v>
      </c>
      <c r="Y113" s="102">
        <f t="shared" si="160"/>
        <v>22.807962665061901</v>
      </c>
      <c r="Z113" s="103" t="str">
        <f t="shared" si="116"/>
        <v>Ok</v>
      </c>
      <c r="AA113" s="93">
        <f t="shared" si="148"/>
        <v>157.98139527665879</v>
      </c>
      <c r="AB113" s="93">
        <f t="shared" si="161"/>
        <v>258.3989793884802</v>
      </c>
      <c r="AC113" s="89" t="str">
        <f t="shared" si="149"/>
        <v>Ok</v>
      </c>
      <c r="AD113" s="98">
        <f t="shared" si="162"/>
        <v>2.3038346126325153E-2</v>
      </c>
      <c r="AE113" s="98">
        <f t="shared" si="117"/>
        <v>1.9281988961466403E-2</v>
      </c>
      <c r="AF113" s="104" t="str">
        <f t="shared" si="163"/>
        <v>No-Ok</v>
      </c>
      <c r="AG113" s="100">
        <v>10</v>
      </c>
      <c r="AH113" s="105">
        <v>2</v>
      </c>
      <c r="AI113" s="105">
        <v>200</v>
      </c>
      <c r="AJ113" s="104">
        <f t="shared" si="118"/>
        <v>7.8500000000000005</v>
      </c>
      <c r="AK113" s="60" t="str">
        <f t="shared" si="119"/>
        <v>OK</v>
      </c>
      <c r="AL113" s="109">
        <f t="shared" si="120"/>
        <v>300</v>
      </c>
      <c r="AT113" s="133" t="str">
        <f t="shared" si="121"/>
        <v>no need</v>
      </c>
      <c r="AV113" s="61">
        <f t="shared" si="124"/>
        <v>396.06599999999997</v>
      </c>
      <c r="AW113" s="61" t="str">
        <f t="shared" si="125"/>
        <v>OK</v>
      </c>
      <c r="AX113" s="63" t="e">
        <f t="shared" si="126"/>
        <v>#DIV/0!</v>
      </c>
      <c r="AY113" s="63">
        <f t="shared" si="127"/>
        <v>176.5</v>
      </c>
      <c r="AZ113" s="63">
        <f t="shared" si="128"/>
        <v>372.33201581027674</v>
      </c>
      <c r="BA113" s="63">
        <f t="shared" si="143"/>
        <v>63.249999999999993</v>
      </c>
      <c r="BB113" s="63">
        <f t="shared" si="144"/>
        <v>235.5</v>
      </c>
      <c r="BC113" s="63" t="str">
        <f t="shared" si="145"/>
        <v>OK</v>
      </c>
      <c r="BD113" s="63">
        <f t="shared" si="129"/>
        <v>517.4334588029144</v>
      </c>
      <c r="BE113" s="63">
        <f t="shared" si="130"/>
        <v>285.62112500000001</v>
      </c>
      <c r="BF113" s="63">
        <f t="shared" si="131"/>
        <v>196.31212499999998</v>
      </c>
      <c r="BG113" s="63">
        <f t="shared" si="132"/>
        <v>278.3292214677881</v>
      </c>
      <c r="BH113" s="63">
        <f t="shared" si="133"/>
        <v>169.35174999999998</v>
      </c>
      <c r="BI113" s="63">
        <f t="shared" si="134"/>
        <v>169.35174999999998</v>
      </c>
      <c r="BJ113" s="63">
        <f t="shared" si="135"/>
        <v>169.35174999999998</v>
      </c>
      <c r="BK113" s="63" t="str">
        <f t="shared" si="136"/>
        <v>OK</v>
      </c>
      <c r="BL113" s="63">
        <f t="shared" si="137"/>
        <v>211.79999999999998</v>
      </c>
      <c r="BM113" s="63">
        <f t="shared" si="138"/>
        <v>353</v>
      </c>
      <c r="BN113" s="63">
        <f t="shared" si="139"/>
        <v>706</v>
      </c>
      <c r="BO113" s="63">
        <f t="shared" si="140"/>
        <v>1059</v>
      </c>
      <c r="BP113" s="63">
        <f t="shared" si="141"/>
        <v>44.654499999999992</v>
      </c>
      <c r="BQ113" s="63">
        <f t="shared" si="146"/>
        <v>516.07959270692425</v>
      </c>
      <c r="BR113" s="63" t="str">
        <f t="shared" si="147"/>
        <v>OK</v>
      </c>
      <c r="BW113" s="70">
        <f t="shared" si="122"/>
        <v>37.02600000000001</v>
      </c>
    </row>
    <row r="114" spans="4:104">
      <c r="D114" s="180"/>
      <c r="E114" s="180"/>
      <c r="F114" s="106" t="s">
        <v>16</v>
      </c>
      <c r="G114" s="78">
        <v>220</v>
      </c>
      <c r="H114" s="78">
        <v>450</v>
      </c>
      <c r="I114" s="92">
        <f t="shared" si="142"/>
        <v>100</v>
      </c>
      <c r="J114" s="93">
        <f t="shared" si="157"/>
        <v>350</v>
      </c>
      <c r="K114" s="94"/>
      <c r="L114" s="94"/>
      <c r="M114" s="94"/>
      <c r="N114" s="95">
        <f t="shared" si="112"/>
        <v>0</v>
      </c>
      <c r="O114" s="95">
        <f t="shared" si="158"/>
        <v>0</v>
      </c>
      <c r="P114" s="95">
        <f t="shared" si="159"/>
        <v>1</v>
      </c>
      <c r="Q114" s="96" t="str">
        <f t="shared" si="113"/>
        <v>Ok</v>
      </c>
      <c r="R114" s="97">
        <f t="shared" si="114"/>
        <v>0.77</v>
      </c>
      <c r="S114" s="131">
        <f t="shared" si="123"/>
        <v>1E-3</v>
      </c>
      <c r="T114" s="99">
        <v>3</v>
      </c>
      <c r="U114" s="100">
        <v>25</v>
      </c>
      <c r="V114" s="101" t="str">
        <f t="shared" si="115"/>
        <v>+</v>
      </c>
      <c r="W114" s="99">
        <v>3</v>
      </c>
      <c r="X114" s="100">
        <v>25</v>
      </c>
      <c r="Y114" s="102">
        <f t="shared" si="160"/>
        <v>29.45243112740431</v>
      </c>
      <c r="Z114" s="103" t="str">
        <f t="shared" si="116"/>
        <v>Ok</v>
      </c>
      <c r="AA114" s="93">
        <f t="shared" si="148"/>
        <v>214.63361574030029</v>
      </c>
      <c r="AB114" s="93">
        <f t="shared" si="161"/>
        <v>314.38983440715214</v>
      </c>
      <c r="AC114" s="89" t="str">
        <f t="shared" si="149"/>
        <v>Ok</v>
      </c>
      <c r="AD114" s="98">
        <f t="shared" si="162"/>
        <v>2.9749930431721527E-2</v>
      </c>
      <c r="AE114" s="98">
        <f t="shared" si="117"/>
        <v>1.9281988961466403E-2</v>
      </c>
      <c r="AF114" s="104" t="str">
        <f t="shared" si="163"/>
        <v>No-Ok</v>
      </c>
      <c r="AG114" s="100">
        <v>10</v>
      </c>
      <c r="AH114" s="105">
        <v>2</v>
      </c>
      <c r="AI114" s="105">
        <v>200</v>
      </c>
      <c r="AJ114" s="104">
        <f t="shared" si="118"/>
        <v>7.8500000000000005</v>
      </c>
      <c r="AK114" s="60" t="str">
        <f t="shared" si="119"/>
        <v>OK</v>
      </c>
      <c r="AL114" s="109">
        <f t="shared" si="120"/>
        <v>300</v>
      </c>
      <c r="AT114" s="133" t="str">
        <f t="shared" si="121"/>
        <v>no need</v>
      </c>
      <c r="AV114" s="61">
        <f t="shared" si="124"/>
        <v>392.7</v>
      </c>
      <c r="AW114" s="61" t="str">
        <f t="shared" si="125"/>
        <v>OK</v>
      </c>
      <c r="AX114" s="63" t="e">
        <f t="shared" si="126"/>
        <v>#DIV/0!</v>
      </c>
      <c r="AY114" s="63">
        <f t="shared" si="127"/>
        <v>175</v>
      </c>
      <c r="AZ114" s="63">
        <f t="shared" si="128"/>
        <v>372.33201581027674</v>
      </c>
      <c r="BA114" s="63">
        <f t="shared" si="143"/>
        <v>63.249999999999993</v>
      </c>
      <c r="BB114" s="63">
        <f t="shared" si="144"/>
        <v>235.5</v>
      </c>
      <c r="BC114" s="63" t="str">
        <f t="shared" si="145"/>
        <v>OK</v>
      </c>
      <c r="BD114" s="63">
        <f t="shared" si="129"/>
        <v>513.03600731167148</v>
      </c>
      <c r="BE114" s="63">
        <f t="shared" si="130"/>
        <v>283.19375000000002</v>
      </c>
      <c r="BF114" s="63">
        <f t="shared" si="131"/>
        <v>194.64374999999995</v>
      </c>
      <c r="BG114" s="63">
        <f t="shared" si="132"/>
        <v>275.96381731933667</v>
      </c>
      <c r="BH114" s="63">
        <f t="shared" si="133"/>
        <v>167.91249999999999</v>
      </c>
      <c r="BI114" s="63">
        <f t="shared" si="134"/>
        <v>167.91249999999999</v>
      </c>
      <c r="BJ114" s="63">
        <f t="shared" si="135"/>
        <v>167.91249999999999</v>
      </c>
      <c r="BK114" s="63" t="str">
        <f t="shared" si="136"/>
        <v>OK</v>
      </c>
      <c r="BL114" s="63">
        <f t="shared" si="137"/>
        <v>210</v>
      </c>
      <c r="BM114" s="63">
        <f t="shared" si="138"/>
        <v>350</v>
      </c>
      <c r="BN114" s="63">
        <f t="shared" si="139"/>
        <v>700</v>
      </c>
      <c r="BO114" s="63">
        <f t="shared" si="140"/>
        <v>1050</v>
      </c>
      <c r="BP114" s="63">
        <f t="shared" si="141"/>
        <v>44.274999999999991</v>
      </c>
      <c r="BQ114" s="63">
        <f t="shared" si="146"/>
        <v>329.87761338302221</v>
      </c>
      <c r="BR114" s="63" t="str">
        <f t="shared" si="147"/>
        <v>OK</v>
      </c>
      <c r="BW114" s="70">
        <f t="shared" si="122"/>
        <v>37.02600000000001</v>
      </c>
    </row>
    <row r="115" spans="4:104">
      <c r="D115" s="181"/>
      <c r="E115" s="181"/>
      <c r="F115" s="91" t="s">
        <v>15</v>
      </c>
      <c r="G115" s="78">
        <v>220</v>
      </c>
      <c r="H115" s="78">
        <v>450</v>
      </c>
      <c r="I115" s="92">
        <f t="shared" si="142"/>
        <v>103</v>
      </c>
      <c r="J115" s="93">
        <f t="shared" si="157"/>
        <v>347</v>
      </c>
      <c r="K115" s="94"/>
      <c r="L115" s="94"/>
      <c r="M115" s="94"/>
      <c r="N115" s="95">
        <f t="shared" si="112"/>
        <v>0</v>
      </c>
      <c r="O115" s="95">
        <f t="shared" si="158"/>
        <v>0</v>
      </c>
      <c r="P115" s="95">
        <f t="shared" si="159"/>
        <v>1</v>
      </c>
      <c r="Q115" s="96" t="str">
        <f t="shared" si="113"/>
        <v>Ok</v>
      </c>
      <c r="R115" s="97">
        <f t="shared" si="114"/>
        <v>0.76340000000000008</v>
      </c>
      <c r="S115" s="131">
        <f t="shared" si="123"/>
        <v>1.0000000000000002E-3</v>
      </c>
      <c r="T115" s="99">
        <v>3</v>
      </c>
      <c r="U115" s="100">
        <v>28</v>
      </c>
      <c r="V115" s="101" t="str">
        <f t="shared" si="115"/>
        <v>+</v>
      </c>
      <c r="W115" s="99">
        <v>3</v>
      </c>
      <c r="X115" s="100">
        <v>28</v>
      </c>
      <c r="Y115" s="102">
        <f t="shared" si="160"/>
        <v>36.945129606215971</v>
      </c>
      <c r="Z115" s="103" t="str">
        <f t="shared" si="116"/>
        <v>Ok</v>
      </c>
      <c r="AA115" s="93">
        <f t="shared" si="148"/>
        <v>499.2764795332306</v>
      </c>
      <c r="AB115" s="93">
        <f t="shared" si="161"/>
        <v>234.77068278108396</v>
      </c>
      <c r="AC115" s="89" t="str">
        <f t="shared" si="149"/>
        <v>Ok</v>
      </c>
      <c r="AD115" s="98">
        <f t="shared" si="162"/>
        <v>3.7318312733551483E-2</v>
      </c>
      <c r="AE115" s="98">
        <f t="shared" si="117"/>
        <v>1.9281988961466403E-2</v>
      </c>
      <c r="AF115" s="104" t="str">
        <f t="shared" si="163"/>
        <v>No-Ok</v>
      </c>
      <c r="AG115" s="100">
        <v>10</v>
      </c>
      <c r="AH115" s="105">
        <v>2</v>
      </c>
      <c r="AI115" s="105">
        <v>200</v>
      </c>
      <c r="AJ115" s="104">
        <f t="shared" si="118"/>
        <v>7.8500000000000005</v>
      </c>
      <c r="AK115" s="60" t="str">
        <f t="shared" si="119"/>
        <v>OK</v>
      </c>
      <c r="AL115" s="109">
        <f t="shared" si="120"/>
        <v>300</v>
      </c>
      <c r="AT115" s="133" t="str">
        <f t="shared" si="121"/>
        <v>no need</v>
      </c>
      <c r="AV115" s="61">
        <f t="shared" si="124"/>
        <v>389.334</v>
      </c>
      <c r="AW115" s="61" t="str">
        <f t="shared" si="125"/>
        <v>OK</v>
      </c>
      <c r="AX115" s="63" t="e">
        <f t="shared" si="126"/>
        <v>#DIV/0!</v>
      </c>
      <c r="AY115" s="63">
        <f t="shared" si="127"/>
        <v>173.5</v>
      </c>
      <c r="AZ115" s="63">
        <f t="shared" si="128"/>
        <v>372.33201581027674</v>
      </c>
      <c r="BA115" s="63">
        <f t="shared" si="143"/>
        <v>63.249999999999993</v>
      </c>
      <c r="BB115" s="63">
        <f t="shared" si="144"/>
        <v>235.5</v>
      </c>
      <c r="BC115" s="63" t="str">
        <f t="shared" si="145"/>
        <v>OK</v>
      </c>
      <c r="BD115" s="63">
        <f t="shared" si="129"/>
        <v>508.63855582042862</v>
      </c>
      <c r="BE115" s="63">
        <f t="shared" si="130"/>
        <v>280.76637499999998</v>
      </c>
      <c r="BF115" s="63">
        <f t="shared" si="131"/>
        <v>192.97537499999996</v>
      </c>
      <c r="BG115" s="63">
        <f t="shared" si="132"/>
        <v>273.59841317088518</v>
      </c>
      <c r="BH115" s="63">
        <f t="shared" si="133"/>
        <v>166.47324999999998</v>
      </c>
      <c r="BI115" s="63">
        <f t="shared" si="134"/>
        <v>166.47324999999998</v>
      </c>
      <c r="BJ115" s="63">
        <f t="shared" si="135"/>
        <v>166.47324999999998</v>
      </c>
      <c r="BK115" s="63" t="str">
        <f t="shared" si="136"/>
        <v>OK</v>
      </c>
      <c r="BL115" s="63">
        <f t="shared" si="137"/>
        <v>208.2</v>
      </c>
      <c r="BM115" s="63">
        <f t="shared" si="138"/>
        <v>347</v>
      </c>
      <c r="BN115" s="63">
        <f t="shared" si="139"/>
        <v>694</v>
      </c>
      <c r="BO115" s="63">
        <f t="shared" si="140"/>
        <v>1041</v>
      </c>
      <c r="BP115" s="63">
        <f t="shared" si="141"/>
        <v>43.895499999999991</v>
      </c>
      <c r="BQ115" s="63">
        <f t="shared" si="146"/>
        <v>417.99631252325759</v>
      </c>
      <c r="BR115" s="63" t="str">
        <f t="shared" si="147"/>
        <v>OK</v>
      </c>
      <c r="BW115" s="70">
        <f t="shared" si="122"/>
        <v>37.02600000000001</v>
      </c>
    </row>
    <row r="116" spans="4:104" ht="12.75" customHeight="1">
      <c r="D116" s="176" t="s">
        <v>90</v>
      </c>
      <c r="E116" s="176" t="s">
        <v>90</v>
      </c>
      <c r="F116" s="67" t="s">
        <v>15</v>
      </c>
      <c r="G116" s="78">
        <v>220</v>
      </c>
      <c r="H116" s="78">
        <v>450</v>
      </c>
      <c r="I116" s="79">
        <f t="shared" si="142"/>
        <v>91.8</v>
      </c>
      <c r="J116" s="80">
        <f>H116-I116</f>
        <v>358.2</v>
      </c>
      <c r="K116" s="81"/>
      <c r="L116" s="81"/>
      <c r="M116" s="81"/>
      <c r="N116" s="82">
        <f t="shared" si="112"/>
        <v>0</v>
      </c>
      <c r="O116" s="82">
        <f>ROUND(1-SQRT(1-2*N116),3)</f>
        <v>0</v>
      </c>
      <c r="P116" s="82">
        <f>1-0.5*O116</f>
        <v>1</v>
      </c>
      <c r="Q116" s="83" t="str">
        <f t="shared" si="113"/>
        <v>Ok</v>
      </c>
      <c r="R116" s="84">
        <f t="shared" si="114"/>
        <v>0.78804000000000007</v>
      </c>
      <c r="S116" s="131">
        <f t="shared" si="123"/>
        <v>1.0000000000000002E-3</v>
      </c>
      <c r="T116" s="86">
        <v>3</v>
      </c>
      <c r="U116" s="77">
        <v>22</v>
      </c>
      <c r="V116" s="87" t="str">
        <f t="shared" si="115"/>
        <v>+</v>
      </c>
      <c r="W116" s="86">
        <v>2</v>
      </c>
      <c r="X116" s="77">
        <v>22</v>
      </c>
      <c r="Y116" s="88">
        <f>(T116*PI()*U116^2/4+W116*PI()*X116^2/4)/100</f>
        <v>19.006635554218249</v>
      </c>
      <c r="Z116" s="89" t="str">
        <f t="shared" si="116"/>
        <v>Ok</v>
      </c>
      <c r="AA116" s="90">
        <f t="shared" si="148"/>
        <v>292.93343264126815</v>
      </c>
      <c r="AB116" s="80">
        <f>($J$11*$H$4*G116*ABS(AA116)*(J116-0.5*ABS(AA116))+$H$6*(T117*PI()*U117^2/4)*(J116-I117))*10^-6</f>
        <v>188.78437744265727</v>
      </c>
      <c r="AC116" s="89" t="str">
        <f t="shared" si="149"/>
        <v>Ok</v>
      </c>
      <c r="AD116" s="85">
        <f>(Y116*100)/(G116*H116)</f>
        <v>1.9198621771937624E-2</v>
      </c>
      <c r="AE116" s="85">
        <f t="shared" si="117"/>
        <v>1.9281988961466403E-2</v>
      </c>
      <c r="AF116" s="60" t="str">
        <f>IF(AND(AD116&gt;0.1%,AD116&lt;AE116),"Ok","No-Ok")</f>
        <v>Ok</v>
      </c>
      <c r="AG116" s="77">
        <v>10</v>
      </c>
      <c r="AH116" s="76">
        <v>2</v>
      </c>
      <c r="AI116" s="76">
        <v>100</v>
      </c>
      <c r="AJ116" s="60">
        <f t="shared" si="118"/>
        <v>15.700000000000001</v>
      </c>
      <c r="AK116" s="60" t="str">
        <f t="shared" si="119"/>
        <v>OK</v>
      </c>
      <c r="AL116" s="109">
        <f t="shared" si="120"/>
        <v>300</v>
      </c>
      <c r="AT116" s="133" t="str">
        <f t="shared" si="121"/>
        <v>no need</v>
      </c>
      <c r="AV116" s="61">
        <f t="shared" si="124"/>
        <v>401.90039999999999</v>
      </c>
      <c r="AW116" s="61" t="str">
        <f t="shared" si="125"/>
        <v>OK</v>
      </c>
      <c r="AX116" s="63" t="e">
        <f t="shared" si="126"/>
        <v>#DIV/0!</v>
      </c>
      <c r="AY116" s="63">
        <f t="shared" si="127"/>
        <v>179.1</v>
      </c>
      <c r="AZ116" s="63">
        <f t="shared" si="128"/>
        <v>744.66403162055349</v>
      </c>
      <c r="BA116" s="63">
        <f t="shared" si="143"/>
        <v>63.249999999999993</v>
      </c>
      <c r="BB116" s="63">
        <f t="shared" si="144"/>
        <v>471</v>
      </c>
      <c r="BC116" s="63" t="str">
        <f t="shared" si="145"/>
        <v>OK</v>
      </c>
      <c r="BD116" s="63">
        <f t="shared" si="129"/>
        <v>371.27045166597185</v>
      </c>
      <c r="BE116" s="63">
        <f t="shared" si="130"/>
        <v>353.09564999999998</v>
      </c>
      <c r="BF116" s="63">
        <f t="shared" si="131"/>
        <v>262.47104999999993</v>
      </c>
      <c r="BG116" s="63">
        <f t="shared" si="132"/>
        <v>399.41528329169569</v>
      </c>
      <c r="BH116" s="63">
        <f t="shared" si="133"/>
        <v>298.38059999999996</v>
      </c>
      <c r="BI116" s="63">
        <f t="shared" si="134"/>
        <v>298.38059999999996</v>
      </c>
      <c r="BJ116" s="63">
        <f t="shared" si="135"/>
        <v>262.47104999999993</v>
      </c>
      <c r="BK116" s="63" t="str">
        <f t="shared" si="136"/>
        <v>OK</v>
      </c>
      <c r="BL116" s="63">
        <f t="shared" si="137"/>
        <v>214.92</v>
      </c>
      <c r="BM116" s="63">
        <f t="shared" si="138"/>
        <v>358.2</v>
      </c>
      <c r="BN116" s="63">
        <f t="shared" si="139"/>
        <v>716.4</v>
      </c>
      <c r="BO116" s="63">
        <f t="shared" si="140"/>
        <v>1074.5999999999999</v>
      </c>
      <c r="BP116" s="63">
        <f t="shared" si="141"/>
        <v>45.312299999999993</v>
      </c>
      <c r="BQ116" s="63">
        <f t="shared" si="146"/>
        <v>516.07959270692425</v>
      </c>
      <c r="BR116" s="63" t="str">
        <f t="shared" si="147"/>
        <v>OK</v>
      </c>
      <c r="BU116" s="70">
        <v>12</v>
      </c>
      <c r="BV116" s="70">
        <v>1</v>
      </c>
      <c r="BW116" s="70">
        <f t="shared" si="122"/>
        <v>37.02600000000001</v>
      </c>
      <c r="BX116" s="70" t="str">
        <f>IF(BW116&gt;AT116,"OK","NOT OK")</f>
        <v>NOT OK</v>
      </c>
      <c r="BY116" s="70">
        <f>G116</f>
        <v>220</v>
      </c>
      <c r="BZ116" s="70">
        <f>H116</f>
        <v>450</v>
      </c>
      <c r="CA116" s="70">
        <f>BY116/(2*BZ116+BY116)</f>
        <v>0.19642857142857142</v>
      </c>
      <c r="CB116" s="27">
        <f>O103*AJ116/10</f>
        <v>0.22450999999999999</v>
      </c>
      <c r="CE116" s="71">
        <f>CB116*CA116*BY116*BZ116/1000000</f>
        <v>4.3659176785714278E-3</v>
      </c>
      <c r="CF116" s="71"/>
      <c r="CG116" s="71"/>
      <c r="CH116" s="70">
        <f>T117*3.14*U117^2/4</f>
        <v>401.92</v>
      </c>
      <c r="CI116" s="71">
        <f>0.5*$H$6*CH116*BZ116/1000000</f>
        <v>39.337919999999997</v>
      </c>
      <c r="CJ116" s="70" t="str">
        <f>IF((CI116+CE116)&gt;AT116,"OK","NOT OK")</f>
        <v>NOT OK</v>
      </c>
      <c r="CK116" s="27">
        <f>BZ116</f>
        <v>450</v>
      </c>
      <c r="CL116" s="27">
        <f>BY116</f>
        <v>220</v>
      </c>
      <c r="CM116" s="74">
        <f>CK116/(2*CL116+CK116)</f>
        <v>0.5056179775280899</v>
      </c>
      <c r="CN116" s="74"/>
      <c r="CO116" s="27">
        <f>O103*AJ116/10</f>
        <v>0.22450999999999999</v>
      </c>
      <c r="CP116" s="74">
        <f>CO116*CM116*CK116*CL116/1000000</f>
        <v>1.1238112921348315E-2</v>
      </c>
      <c r="CQ116" s="27">
        <f>3.14*U117^2/4+3.14*U116^2/4+BV116*3.14*BU116^2/4</f>
        <v>693.93999999999994</v>
      </c>
      <c r="CT116" s="71">
        <f>0.5*$H$6*CQ116*CL116/1000000</f>
        <v>33.205028999999996</v>
      </c>
      <c r="CU116" s="71"/>
      <c r="CV116" s="70" t="str">
        <f>IF((CT116+CP116)&gt;U116,"OK","NOT OK")</f>
        <v>OK</v>
      </c>
      <c r="CW116" s="74">
        <f>MIN((CP116+CT116),(CE116+CI116))</f>
        <v>33.216267112921344</v>
      </c>
      <c r="CX116" s="71">
        <f>AB116</f>
        <v>188.78437744265727</v>
      </c>
      <c r="CY116" s="71">
        <f>(BG116+BO116*J116)/1000</f>
        <v>385.32113528329171</v>
      </c>
      <c r="CZ116" s="62">
        <f>CW116*SQRT(1-(K116/CX116)^1)</f>
        <v>33.216267112921344</v>
      </c>
    </row>
    <row r="117" spans="4:104">
      <c r="D117" s="177"/>
      <c r="E117" s="177"/>
      <c r="F117" s="68" t="s">
        <v>16</v>
      </c>
      <c r="G117" s="78">
        <v>220</v>
      </c>
      <c r="H117" s="78">
        <v>450</v>
      </c>
      <c r="I117" s="79">
        <f t="shared" si="142"/>
        <v>68</v>
      </c>
      <c r="J117" s="80">
        <f t="shared" ref="J117:J127" si="164">H117-I117</f>
        <v>382</v>
      </c>
      <c r="K117" s="81"/>
      <c r="L117" s="81"/>
      <c r="M117" s="81"/>
      <c r="N117" s="82">
        <f t="shared" si="112"/>
        <v>0</v>
      </c>
      <c r="O117" s="82">
        <f t="shared" ref="O117:O127" si="165">ROUND(1-SQRT(1-2*N117),3)</f>
        <v>0</v>
      </c>
      <c r="P117" s="82">
        <f t="shared" ref="P117:P127" si="166">1-0.5*O117</f>
        <v>1</v>
      </c>
      <c r="Q117" s="83" t="str">
        <f t="shared" si="113"/>
        <v>Ok</v>
      </c>
      <c r="R117" s="84">
        <f t="shared" si="114"/>
        <v>0.84040000000000004</v>
      </c>
      <c r="S117" s="131">
        <f t="shared" si="123"/>
        <v>1E-3</v>
      </c>
      <c r="T117" s="86">
        <v>2</v>
      </c>
      <c r="U117" s="77">
        <v>16</v>
      </c>
      <c r="V117" s="87" t="str">
        <f t="shared" si="115"/>
        <v>+</v>
      </c>
      <c r="W117" s="86">
        <v>0</v>
      </c>
      <c r="X117" s="77">
        <v>0</v>
      </c>
      <c r="Y117" s="88">
        <f t="shared" ref="Y117:Y127" si="167">(T117*PI()*U117^2/4+W117*PI()*X117^2/4)/100</f>
        <v>4.0212385965949355</v>
      </c>
      <c r="Z117" s="89" t="str">
        <f t="shared" si="116"/>
        <v>Ok</v>
      </c>
      <c r="AA117" s="80">
        <f t="shared" si="148"/>
        <v>-282.49345705447246</v>
      </c>
      <c r="AB117" s="80">
        <f t="shared" ref="AB117:AB127" si="168">($J$11*$H$4*G117*AA117*(J117-0.5*AA117)+$H$6*(T118*PI()*U118^2/4)*(J117-I118))*10^-6</f>
        <v>-81.434575247006478</v>
      </c>
      <c r="AC117" s="89" t="str">
        <f t="shared" si="149"/>
        <v>Not Ok</v>
      </c>
      <c r="AD117" s="85">
        <f t="shared" ref="AD117:AD127" si="169">(Y117*100)/(G117*H117)</f>
        <v>4.0618571682777133E-3</v>
      </c>
      <c r="AE117" s="85">
        <f t="shared" si="117"/>
        <v>1.9281988961466403E-2</v>
      </c>
      <c r="AF117" s="60" t="str">
        <f t="shared" ref="AF117:AF127" si="170">IF(AND(AD117&gt;0.1%,AD117&lt;AE117),"Ok","No-Ok")</f>
        <v>Ok</v>
      </c>
      <c r="AG117" s="77">
        <v>10</v>
      </c>
      <c r="AH117" s="76">
        <v>2</v>
      </c>
      <c r="AI117" s="76">
        <v>200</v>
      </c>
      <c r="AJ117" s="60">
        <f t="shared" si="118"/>
        <v>7.8500000000000005</v>
      </c>
      <c r="AK117" s="60" t="str">
        <f t="shared" si="119"/>
        <v>OK</v>
      </c>
      <c r="AL117" s="109">
        <f t="shared" si="120"/>
        <v>300</v>
      </c>
      <c r="AT117" s="133" t="str">
        <f t="shared" si="121"/>
        <v>no need</v>
      </c>
      <c r="AV117" s="61">
        <f t="shared" si="124"/>
        <v>428.60399999999998</v>
      </c>
      <c r="AW117" s="61" t="str">
        <f t="shared" si="125"/>
        <v>OK</v>
      </c>
      <c r="AX117" s="63" t="e">
        <f t="shared" si="126"/>
        <v>#DIV/0!</v>
      </c>
      <c r="AY117" s="63">
        <f t="shared" si="127"/>
        <v>191</v>
      </c>
      <c r="AZ117" s="63">
        <f t="shared" si="128"/>
        <v>372.33201581027674</v>
      </c>
      <c r="BA117" s="63">
        <f t="shared" si="143"/>
        <v>63.249999999999993</v>
      </c>
      <c r="BB117" s="63">
        <f t="shared" si="144"/>
        <v>235.5</v>
      </c>
      <c r="BC117" s="63" t="str">
        <f t="shared" si="145"/>
        <v>OK</v>
      </c>
      <c r="BD117" s="63">
        <f t="shared" si="129"/>
        <v>559.94215655159576</v>
      </c>
      <c r="BE117" s="63">
        <f t="shared" si="130"/>
        <v>309.08575000000002</v>
      </c>
      <c r="BF117" s="63">
        <f t="shared" si="131"/>
        <v>212.43974999999995</v>
      </c>
      <c r="BG117" s="63">
        <f t="shared" si="132"/>
        <v>301.19479490281884</v>
      </c>
      <c r="BH117" s="63">
        <f t="shared" si="133"/>
        <v>183.2645</v>
      </c>
      <c r="BI117" s="63">
        <f t="shared" si="134"/>
        <v>183.2645</v>
      </c>
      <c r="BJ117" s="63">
        <f t="shared" si="135"/>
        <v>183.2645</v>
      </c>
      <c r="BK117" s="63" t="str">
        <f t="shared" si="136"/>
        <v>OK</v>
      </c>
      <c r="BL117" s="63">
        <f t="shared" si="137"/>
        <v>229.2</v>
      </c>
      <c r="BM117" s="63">
        <f t="shared" si="138"/>
        <v>382</v>
      </c>
      <c r="BN117" s="63">
        <f t="shared" si="139"/>
        <v>764</v>
      </c>
      <c r="BO117" s="63">
        <f t="shared" si="140"/>
        <v>1146</v>
      </c>
      <c r="BP117" s="63">
        <f t="shared" si="141"/>
        <v>48.322999999999993</v>
      </c>
      <c r="BQ117" s="63">
        <f t="shared" si="146"/>
        <v>296.75647891364622</v>
      </c>
      <c r="BR117" s="63" t="str">
        <f t="shared" si="147"/>
        <v>OK</v>
      </c>
      <c r="BW117" s="70">
        <f t="shared" si="122"/>
        <v>37.02600000000001</v>
      </c>
    </row>
    <row r="118" spans="4:104">
      <c r="D118" s="178"/>
      <c r="E118" s="178"/>
      <c r="F118" s="67" t="s">
        <v>15</v>
      </c>
      <c r="G118" s="78">
        <v>220</v>
      </c>
      <c r="H118" s="78">
        <v>450</v>
      </c>
      <c r="I118" s="79">
        <f t="shared" si="142"/>
        <v>74</v>
      </c>
      <c r="J118" s="80">
        <f t="shared" si="164"/>
        <v>376</v>
      </c>
      <c r="K118" s="81"/>
      <c r="L118" s="81"/>
      <c r="M118" s="81"/>
      <c r="N118" s="82">
        <f t="shared" si="112"/>
        <v>0</v>
      </c>
      <c r="O118" s="82">
        <f t="shared" si="165"/>
        <v>0</v>
      </c>
      <c r="P118" s="82">
        <f t="shared" si="166"/>
        <v>1</v>
      </c>
      <c r="Q118" s="83" t="str">
        <f t="shared" si="113"/>
        <v>Ok</v>
      </c>
      <c r="R118" s="84">
        <f t="shared" si="114"/>
        <v>0.82719999999999994</v>
      </c>
      <c r="S118" s="131">
        <f t="shared" si="123"/>
        <v>9.999999999999998E-4</v>
      </c>
      <c r="T118" s="86">
        <v>3</v>
      </c>
      <c r="U118" s="77">
        <v>28</v>
      </c>
      <c r="V118" s="87" t="str">
        <f t="shared" si="115"/>
        <v>+</v>
      </c>
      <c r="W118" s="86">
        <v>0</v>
      </c>
      <c r="X118" s="77">
        <v>0</v>
      </c>
      <c r="Y118" s="88">
        <f t="shared" si="167"/>
        <v>18.472564803107986</v>
      </c>
      <c r="Z118" s="89" t="str">
        <f t="shared" si="116"/>
        <v>Ok</v>
      </c>
      <c r="AA118" s="80">
        <f t="shared" si="148"/>
        <v>0</v>
      </c>
      <c r="AB118" s="80">
        <f t="shared" si="168"/>
        <v>219.37094331930888</v>
      </c>
      <c r="AC118" s="89" t="str">
        <f t="shared" si="149"/>
        <v>Ok</v>
      </c>
      <c r="AD118" s="85">
        <f t="shared" si="169"/>
        <v>1.8659156366775741E-2</v>
      </c>
      <c r="AE118" s="85">
        <f t="shared" si="117"/>
        <v>1.9281988961466403E-2</v>
      </c>
      <c r="AF118" s="60" t="str">
        <f t="shared" si="170"/>
        <v>Ok</v>
      </c>
      <c r="AG118" s="77">
        <v>10</v>
      </c>
      <c r="AH118" s="76">
        <v>2</v>
      </c>
      <c r="AI118" s="76">
        <v>200</v>
      </c>
      <c r="AJ118" s="60">
        <f t="shared" si="118"/>
        <v>7.8500000000000005</v>
      </c>
      <c r="AK118" s="60" t="str">
        <f t="shared" si="119"/>
        <v>OK</v>
      </c>
      <c r="AL118" s="109">
        <f t="shared" si="120"/>
        <v>300</v>
      </c>
      <c r="AT118" s="133" t="str">
        <f t="shared" si="121"/>
        <v>no need</v>
      </c>
      <c r="AV118" s="61">
        <f t="shared" si="124"/>
        <v>421.87200000000001</v>
      </c>
      <c r="AW118" s="61" t="str">
        <f t="shared" si="125"/>
        <v>OK</v>
      </c>
      <c r="AX118" s="63" t="e">
        <f t="shared" si="126"/>
        <v>#DIV/0!</v>
      </c>
      <c r="AY118" s="63">
        <f t="shared" si="127"/>
        <v>188</v>
      </c>
      <c r="AZ118" s="63">
        <f t="shared" si="128"/>
        <v>372.33201581027674</v>
      </c>
      <c r="BA118" s="63">
        <f t="shared" si="143"/>
        <v>63.249999999999993</v>
      </c>
      <c r="BB118" s="63">
        <f t="shared" si="144"/>
        <v>235.5</v>
      </c>
      <c r="BC118" s="63" t="str">
        <f t="shared" si="145"/>
        <v>OK</v>
      </c>
      <c r="BD118" s="63">
        <f t="shared" si="129"/>
        <v>551.14725356910992</v>
      </c>
      <c r="BE118" s="63">
        <f t="shared" si="130"/>
        <v>304.23099999999999</v>
      </c>
      <c r="BF118" s="63">
        <f t="shared" si="131"/>
        <v>209.10299999999998</v>
      </c>
      <c r="BG118" s="63">
        <f t="shared" si="132"/>
        <v>296.46398660591598</v>
      </c>
      <c r="BH118" s="63">
        <f t="shared" si="133"/>
        <v>180.386</v>
      </c>
      <c r="BI118" s="63">
        <f t="shared" si="134"/>
        <v>180.386</v>
      </c>
      <c r="BJ118" s="63">
        <f t="shared" si="135"/>
        <v>180.386</v>
      </c>
      <c r="BK118" s="63" t="str">
        <f t="shared" si="136"/>
        <v>OK</v>
      </c>
      <c r="BL118" s="63">
        <f t="shared" si="137"/>
        <v>225.6</v>
      </c>
      <c r="BM118" s="63">
        <f t="shared" si="138"/>
        <v>376</v>
      </c>
      <c r="BN118" s="63">
        <f t="shared" si="139"/>
        <v>752</v>
      </c>
      <c r="BO118" s="63">
        <f t="shared" si="140"/>
        <v>1128</v>
      </c>
      <c r="BP118" s="63">
        <f t="shared" si="141"/>
        <v>47.563999999999993</v>
      </c>
      <c r="BQ118" s="63">
        <f t="shared" si="146"/>
        <v>77.321380583656236</v>
      </c>
      <c r="BR118" s="63" t="str">
        <f t="shared" si="147"/>
        <v>OK</v>
      </c>
      <c r="BW118" s="70">
        <f t="shared" si="122"/>
        <v>37.02600000000001</v>
      </c>
    </row>
    <row r="119" spans="4:104">
      <c r="D119" s="179" t="s">
        <v>90</v>
      </c>
      <c r="E119" s="179" t="s">
        <v>90</v>
      </c>
      <c r="F119" s="91" t="s">
        <v>15</v>
      </c>
      <c r="G119" s="78">
        <v>220</v>
      </c>
      <c r="H119" s="78">
        <v>450</v>
      </c>
      <c r="I119" s="92">
        <f t="shared" si="142"/>
        <v>103</v>
      </c>
      <c r="J119" s="93">
        <f t="shared" si="164"/>
        <v>347</v>
      </c>
      <c r="K119" s="94"/>
      <c r="L119" s="94"/>
      <c r="M119" s="94"/>
      <c r="N119" s="95">
        <f t="shared" si="112"/>
        <v>0</v>
      </c>
      <c r="O119" s="95">
        <f t="shared" si="165"/>
        <v>0</v>
      </c>
      <c r="P119" s="95">
        <f t="shared" si="166"/>
        <v>1</v>
      </c>
      <c r="Q119" s="96" t="str">
        <f t="shared" si="113"/>
        <v>Ok</v>
      </c>
      <c r="R119" s="97">
        <f t="shared" si="114"/>
        <v>0.76340000000000008</v>
      </c>
      <c r="S119" s="131">
        <f t="shared" si="123"/>
        <v>1.0000000000000002E-3</v>
      </c>
      <c r="T119" s="99">
        <v>3</v>
      </c>
      <c r="U119" s="100">
        <v>28</v>
      </c>
      <c r="V119" s="101" t="str">
        <f t="shared" si="115"/>
        <v>+</v>
      </c>
      <c r="W119" s="99">
        <v>3</v>
      </c>
      <c r="X119" s="100">
        <v>28</v>
      </c>
      <c r="Y119" s="102">
        <f t="shared" si="167"/>
        <v>36.945129606215971</v>
      </c>
      <c r="Z119" s="103" t="str">
        <f t="shared" si="116"/>
        <v>Ok</v>
      </c>
      <c r="AA119" s="93">
        <f t="shared" si="148"/>
        <v>499.2764795332306</v>
      </c>
      <c r="AB119" s="93">
        <f t="shared" si="168"/>
        <v>232.19110220366545</v>
      </c>
      <c r="AC119" s="89" t="str">
        <f t="shared" si="149"/>
        <v>Ok</v>
      </c>
      <c r="AD119" s="98">
        <f t="shared" si="169"/>
        <v>3.7318312733551483E-2</v>
      </c>
      <c r="AE119" s="98">
        <f t="shared" si="117"/>
        <v>1.9281988961466403E-2</v>
      </c>
      <c r="AF119" s="104" t="str">
        <f t="shared" si="170"/>
        <v>No-Ok</v>
      </c>
      <c r="AG119" s="100">
        <v>10</v>
      </c>
      <c r="AH119" s="105">
        <v>2</v>
      </c>
      <c r="AI119" s="105">
        <v>200</v>
      </c>
      <c r="AJ119" s="104">
        <f t="shared" si="118"/>
        <v>7.8500000000000005</v>
      </c>
      <c r="AK119" s="60" t="str">
        <f t="shared" si="119"/>
        <v>OK</v>
      </c>
      <c r="AL119" s="109">
        <f t="shared" si="120"/>
        <v>300</v>
      </c>
      <c r="AT119" s="133" t="str">
        <f t="shared" si="121"/>
        <v>no need</v>
      </c>
      <c r="AV119" s="61">
        <f t="shared" si="124"/>
        <v>389.334</v>
      </c>
      <c r="AW119" s="61" t="str">
        <f t="shared" si="125"/>
        <v>OK</v>
      </c>
      <c r="AX119" s="63" t="e">
        <f t="shared" si="126"/>
        <v>#DIV/0!</v>
      </c>
      <c r="AY119" s="63">
        <f t="shared" si="127"/>
        <v>173.5</v>
      </c>
      <c r="AZ119" s="63">
        <f t="shared" si="128"/>
        <v>372.33201581027674</v>
      </c>
      <c r="BA119" s="63">
        <f t="shared" si="143"/>
        <v>63.249999999999993</v>
      </c>
      <c r="BB119" s="63">
        <f t="shared" si="144"/>
        <v>235.5</v>
      </c>
      <c r="BC119" s="63" t="str">
        <f t="shared" si="145"/>
        <v>OK</v>
      </c>
      <c r="BD119" s="63">
        <f t="shared" si="129"/>
        <v>508.63855582042862</v>
      </c>
      <c r="BE119" s="63">
        <f t="shared" si="130"/>
        <v>280.76637499999998</v>
      </c>
      <c r="BF119" s="63">
        <f t="shared" si="131"/>
        <v>192.97537499999996</v>
      </c>
      <c r="BG119" s="63">
        <f t="shared" si="132"/>
        <v>273.59841317088518</v>
      </c>
      <c r="BH119" s="63">
        <f t="shared" si="133"/>
        <v>166.47324999999998</v>
      </c>
      <c r="BI119" s="63">
        <f t="shared" si="134"/>
        <v>166.47324999999998</v>
      </c>
      <c r="BJ119" s="63">
        <f t="shared" si="135"/>
        <v>166.47324999999998</v>
      </c>
      <c r="BK119" s="63" t="str">
        <f t="shared" si="136"/>
        <v>OK</v>
      </c>
      <c r="BL119" s="63">
        <f t="shared" si="137"/>
        <v>208.2</v>
      </c>
      <c r="BM119" s="63">
        <f t="shared" si="138"/>
        <v>347</v>
      </c>
      <c r="BN119" s="63">
        <f t="shared" si="139"/>
        <v>694</v>
      </c>
      <c r="BO119" s="63">
        <f t="shared" si="140"/>
        <v>1041</v>
      </c>
      <c r="BP119" s="63">
        <f t="shared" si="141"/>
        <v>43.895499999999991</v>
      </c>
      <c r="BQ119" s="63">
        <f t="shared" si="146"/>
        <v>288.57056692767077</v>
      </c>
      <c r="BR119" s="63" t="str">
        <f t="shared" si="147"/>
        <v>OK</v>
      </c>
      <c r="BW119" s="70">
        <f t="shared" si="122"/>
        <v>37.02600000000001</v>
      </c>
    </row>
    <row r="120" spans="4:104">
      <c r="D120" s="180"/>
      <c r="E120" s="180"/>
      <c r="F120" s="106" t="s">
        <v>16</v>
      </c>
      <c r="G120" s="78">
        <v>220</v>
      </c>
      <c r="H120" s="78">
        <v>450</v>
      </c>
      <c r="I120" s="92">
        <f t="shared" si="142"/>
        <v>97</v>
      </c>
      <c r="J120" s="93">
        <f t="shared" si="164"/>
        <v>353</v>
      </c>
      <c r="K120" s="94"/>
      <c r="L120" s="94"/>
      <c r="M120" s="94"/>
      <c r="N120" s="95">
        <f t="shared" si="112"/>
        <v>0</v>
      </c>
      <c r="O120" s="95">
        <f t="shared" si="165"/>
        <v>0</v>
      </c>
      <c r="P120" s="95">
        <f t="shared" si="166"/>
        <v>1</v>
      </c>
      <c r="Q120" s="96" t="str">
        <f t="shared" si="113"/>
        <v>Ok</v>
      </c>
      <c r="R120" s="97">
        <f t="shared" si="114"/>
        <v>0.77659999999999996</v>
      </c>
      <c r="S120" s="131">
        <f t="shared" si="123"/>
        <v>1E-3</v>
      </c>
      <c r="T120" s="99">
        <v>3</v>
      </c>
      <c r="U120" s="100">
        <v>22</v>
      </c>
      <c r="V120" s="101" t="str">
        <f t="shared" si="115"/>
        <v>+</v>
      </c>
      <c r="W120" s="99">
        <v>3</v>
      </c>
      <c r="X120" s="100">
        <v>22</v>
      </c>
      <c r="Y120" s="102">
        <f t="shared" si="167"/>
        <v>22.807962665061901</v>
      </c>
      <c r="Z120" s="103" t="str">
        <f t="shared" si="116"/>
        <v>Ok</v>
      </c>
      <c r="AA120" s="93">
        <f t="shared" si="148"/>
        <v>222.92418458863807</v>
      </c>
      <c r="AB120" s="93">
        <f t="shared" si="168"/>
        <v>246.815216009041</v>
      </c>
      <c r="AC120" s="89" t="str">
        <f t="shared" si="149"/>
        <v>Ok</v>
      </c>
      <c r="AD120" s="98">
        <f t="shared" si="169"/>
        <v>2.3038346126325153E-2</v>
      </c>
      <c r="AE120" s="98">
        <f t="shared" si="117"/>
        <v>1.9281988961466403E-2</v>
      </c>
      <c r="AF120" s="104" t="str">
        <f t="shared" si="170"/>
        <v>No-Ok</v>
      </c>
      <c r="AG120" s="100">
        <v>10</v>
      </c>
      <c r="AH120" s="105">
        <v>2</v>
      </c>
      <c r="AI120" s="105">
        <v>200</v>
      </c>
      <c r="AJ120" s="104">
        <f t="shared" si="118"/>
        <v>7.8500000000000005</v>
      </c>
      <c r="AK120" s="60" t="str">
        <f t="shared" si="119"/>
        <v>OK</v>
      </c>
      <c r="AL120" s="109">
        <f t="shared" si="120"/>
        <v>300</v>
      </c>
      <c r="AT120" s="133" t="str">
        <f t="shared" si="121"/>
        <v>no need</v>
      </c>
      <c r="AV120" s="61">
        <f t="shared" si="124"/>
        <v>396.06599999999997</v>
      </c>
      <c r="AW120" s="61" t="str">
        <f t="shared" si="125"/>
        <v>OK</v>
      </c>
      <c r="AX120" s="63" t="e">
        <f t="shared" si="126"/>
        <v>#DIV/0!</v>
      </c>
      <c r="AY120" s="63">
        <f t="shared" si="127"/>
        <v>176.5</v>
      </c>
      <c r="AZ120" s="63">
        <f t="shared" si="128"/>
        <v>372.33201581027674</v>
      </c>
      <c r="BA120" s="63">
        <f t="shared" si="143"/>
        <v>63.249999999999993</v>
      </c>
      <c r="BB120" s="63">
        <f t="shared" si="144"/>
        <v>235.5</v>
      </c>
      <c r="BC120" s="63" t="str">
        <f t="shared" si="145"/>
        <v>OK</v>
      </c>
      <c r="BD120" s="63">
        <f t="shared" si="129"/>
        <v>517.4334588029144</v>
      </c>
      <c r="BE120" s="63">
        <f t="shared" si="130"/>
        <v>285.62112500000001</v>
      </c>
      <c r="BF120" s="63">
        <f t="shared" si="131"/>
        <v>196.31212499999998</v>
      </c>
      <c r="BG120" s="63">
        <f t="shared" si="132"/>
        <v>278.3292214677881</v>
      </c>
      <c r="BH120" s="63">
        <f t="shared" si="133"/>
        <v>169.35174999999998</v>
      </c>
      <c r="BI120" s="63">
        <f t="shared" si="134"/>
        <v>169.35174999999998</v>
      </c>
      <c r="BJ120" s="63">
        <f t="shared" si="135"/>
        <v>169.35174999999998</v>
      </c>
      <c r="BK120" s="63" t="str">
        <f t="shared" si="136"/>
        <v>OK</v>
      </c>
      <c r="BL120" s="63">
        <f t="shared" si="137"/>
        <v>211.79999999999998</v>
      </c>
      <c r="BM120" s="63">
        <f t="shared" si="138"/>
        <v>353</v>
      </c>
      <c r="BN120" s="63">
        <f t="shared" si="139"/>
        <v>706</v>
      </c>
      <c r="BO120" s="63">
        <f t="shared" si="140"/>
        <v>1059</v>
      </c>
      <c r="BP120" s="63">
        <f t="shared" si="141"/>
        <v>44.654499999999992</v>
      </c>
      <c r="BQ120" s="63">
        <f t="shared" si="146"/>
        <v>516.07959270692425</v>
      </c>
      <c r="BR120" s="63" t="str">
        <f t="shared" si="147"/>
        <v>OK</v>
      </c>
      <c r="BW120" s="70">
        <f t="shared" si="122"/>
        <v>37.02600000000001</v>
      </c>
    </row>
    <row r="121" spans="4:104">
      <c r="D121" s="181"/>
      <c r="E121" s="181"/>
      <c r="F121" s="91" t="s">
        <v>15</v>
      </c>
      <c r="G121" s="78">
        <v>220</v>
      </c>
      <c r="H121" s="78">
        <v>450</v>
      </c>
      <c r="I121" s="92">
        <f t="shared" si="142"/>
        <v>97</v>
      </c>
      <c r="J121" s="93">
        <f t="shared" si="164"/>
        <v>353</v>
      </c>
      <c r="K121" s="94"/>
      <c r="L121" s="94"/>
      <c r="M121" s="94"/>
      <c r="N121" s="95">
        <f t="shared" si="112"/>
        <v>0</v>
      </c>
      <c r="O121" s="95">
        <f t="shared" si="165"/>
        <v>0</v>
      </c>
      <c r="P121" s="95">
        <f t="shared" si="166"/>
        <v>1</v>
      </c>
      <c r="Q121" s="96" t="str">
        <f t="shared" si="113"/>
        <v>Ok</v>
      </c>
      <c r="R121" s="97">
        <f t="shared" si="114"/>
        <v>0.77659999999999996</v>
      </c>
      <c r="S121" s="131">
        <f t="shared" si="123"/>
        <v>1E-3</v>
      </c>
      <c r="T121" s="99">
        <v>3</v>
      </c>
      <c r="U121" s="100">
        <v>22</v>
      </c>
      <c r="V121" s="101" t="str">
        <f t="shared" si="115"/>
        <v>+</v>
      </c>
      <c r="W121" s="99">
        <v>3</v>
      </c>
      <c r="X121" s="100">
        <v>22</v>
      </c>
      <c r="Y121" s="102">
        <f t="shared" si="167"/>
        <v>22.807962665061901</v>
      </c>
      <c r="Z121" s="103" t="str">
        <f t="shared" si="116"/>
        <v>Ok</v>
      </c>
      <c r="AA121" s="93">
        <f t="shared" si="148"/>
        <v>222.92418458863807</v>
      </c>
      <c r="AB121" s="93">
        <f t="shared" si="168"/>
        <v>246.815216009041</v>
      </c>
      <c r="AC121" s="89" t="str">
        <f t="shared" si="149"/>
        <v>Ok</v>
      </c>
      <c r="AD121" s="98">
        <f t="shared" si="169"/>
        <v>2.3038346126325153E-2</v>
      </c>
      <c r="AE121" s="98">
        <f t="shared" si="117"/>
        <v>1.9281988961466403E-2</v>
      </c>
      <c r="AF121" s="104" t="str">
        <f t="shared" si="170"/>
        <v>No-Ok</v>
      </c>
      <c r="AG121" s="100">
        <v>10</v>
      </c>
      <c r="AH121" s="105">
        <v>2</v>
      </c>
      <c r="AI121" s="105">
        <v>200</v>
      </c>
      <c r="AJ121" s="104">
        <f t="shared" si="118"/>
        <v>7.8500000000000005</v>
      </c>
      <c r="AK121" s="60" t="str">
        <f t="shared" si="119"/>
        <v>OK</v>
      </c>
      <c r="AL121" s="109">
        <f t="shared" si="120"/>
        <v>300</v>
      </c>
      <c r="AT121" s="133" t="str">
        <f t="shared" si="121"/>
        <v>no need</v>
      </c>
      <c r="AV121" s="61">
        <f t="shared" si="124"/>
        <v>396.06599999999997</v>
      </c>
      <c r="AW121" s="61" t="str">
        <f t="shared" si="125"/>
        <v>OK</v>
      </c>
      <c r="AX121" s="63" t="e">
        <f t="shared" si="126"/>
        <v>#DIV/0!</v>
      </c>
      <c r="AY121" s="63">
        <f t="shared" si="127"/>
        <v>176.5</v>
      </c>
      <c r="AZ121" s="63">
        <f t="shared" si="128"/>
        <v>372.33201581027674</v>
      </c>
      <c r="BA121" s="63">
        <f t="shared" si="143"/>
        <v>63.249999999999993</v>
      </c>
      <c r="BB121" s="63">
        <f t="shared" si="144"/>
        <v>235.5</v>
      </c>
      <c r="BC121" s="63" t="str">
        <f t="shared" si="145"/>
        <v>OK</v>
      </c>
      <c r="BD121" s="63">
        <f t="shared" si="129"/>
        <v>517.4334588029144</v>
      </c>
      <c r="BE121" s="63">
        <f t="shared" si="130"/>
        <v>285.62112500000001</v>
      </c>
      <c r="BF121" s="63">
        <f t="shared" si="131"/>
        <v>196.31212499999998</v>
      </c>
      <c r="BG121" s="63">
        <f t="shared" si="132"/>
        <v>278.3292214677881</v>
      </c>
      <c r="BH121" s="63">
        <f t="shared" si="133"/>
        <v>169.35174999999998</v>
      </c>
      <c r="BI121" s="63">
        <f t="shared" si="134"/>
        <v>169.35174999999998</v>
      </c>
      <c r="BJ121" s="63">
        <f t="shared" si="135"/>
        <v>169.35174999999998</v>
      </c>
      <c r="BK121" s="63" t="str">
        <f t="shared" si="136"/>
        <v>OK</v>
      </c>
      <c r="BL121" s="63">
        <f t="shared" si="137"/>
        <v>211.79999999999998</v>
      </c>
      <c r="BM121" s="63">
        <f t="shared" si="138"/>
        <v>353</v>
      </c>
      <c r="BN121" s="63">
        <f t="shared" si="139"/>
        <v>706</v>
      </c>
      <c r="BO121" s="63">
        <f t="shared" si="140"/>
        <v>1059</v>
      </c>
      <c r="BP121" s="63">
        <f t="shared" si="141"/>
        <v>44.654499999999992</v>
      </c>
      <c r="BQ121" s="63">
        <f t="shared" si="146"/>
        <v>329.87761338302221</v>
      </c>
      <c r="BR121" s="63" t="str">
        <f t="shared" si="147"/>
        <v>OK</v>
      </c>
      <c r="BW121" s="70">
        <f t="shared" si="122"/>
        <v>37.02600000000001</v>
      </c>
    </row>
    <row r="122" spans="4:104">
      <c r="D122" s="176" t="s">
        <v>90</v>
      </c>
      <c r="E122" s="176" t="s">
        <v>90</v>
      </c>
      <c r="F122" s="67" t="s">
        <v>15</v>
      </c>
      <c r="G122" s="78">
        <v>220</v>
      </c>
      <c r="H122" s="78">
        <v>450</v>
      </c>
      <c r="I122" s="79">
        <f t="shared" si="142"/>
        <v>97</v>
      </c>
      <c r="J122" s="80">
        <f t="shared" si="164"/>
        <v>353</v>
      </c>
      <c r="K122" s="81"/>
      <c r="L122" s="81"/>
      <c r="M122" s="81"/>
      <c r="N122" s="82">
        <f t="shared" si="112"/>
        <v>0</v>
      </c>
      <c r="O122" s="82">
        <f t="shared" si="165"/>
        <v>0</v>
      </c>
      <c r="P122" s="82">
        <f t="shared" si="166"/>
        <v>1</v>
      </c>
      <c r="Q122" s="83" t="str">
        <f t="shared" si="113"/>
        <v>Ok</v>
      </c>
      <c r="R122" s="84">
        <f t="shared" si="114"/>
        <v>0.77659999999999996</v>
      </c>
      <c r="S122" s="131">
        <f t="shared" si="123"/>
        <v>1E-3</v>
      </c>
      <c r="T122" s="86">
        <v>3</v>
      </c>
      <c r="U122" s="77">
        <v>22</v>
      </c>
      <c r="V122" s="87" t="str">
        <f t="shared" si="115"/>
        <v>+</v>
      </c>
      <c r="W122" s="86">
        <v>3</v>
      </c>
      <c r="X122" s="77">
        <v>22</v>
      </c>
      <c r="Y122" s="88">
        <f t="shared" si="167"/>
        <v>22.807962665061901</v>
      </c>
      <c r="Z122" s="89" t="str">
        <f t="shared" si="116"/>
        <v>Ok</v>
      </c>
      <c r="AA122" s="80">
        <f t="shared" si="148"/>
        <v>157.98139527665879</v>
      </c>
      <c r="AB122" s="80">
        <f t="shared" si="168"/>
        <v>258.3989793884802</v>
      </c>
      <c r="AC122" s="89" t="str">
        <f t="shared" si="149"/>
        <v>Ok</v>
      </c>
      <c r="AD122" s="85">
        <f t="shared" si="169"/>
        <v>2.3038346126325153E-2</v>
      </c>
      <c r="AE122" s="85">
        <f t="shared" si="117"/>
        <v>1.9281988961466403E-2</v>
      </c>
      <c r="AF122" s="60" t="str">
        <f t="shared" si="170"/>
        <v>No-Ok</v>
      </c>
      <c r="AG122" s="77">
        <v>10</v>
      </c>
      <c r="AH122" s="76">
        <v>2</v>
      </c>
      <c r="AI122" s="76">
        <v>200</v>
      </c>
      <c r="AJ122" s="60">
        <f t="shared" si="118"/>
        <v>7.8500000000000005</v>
      </c>
      <c r="AK122" s="60" t="str">
        <f t="shared" si="119"/>
        <v>OK</v>
      </c>
      <c r="AL122" s="109">
        <f t="shared" si="120"/>
        <v>300</v>
      </c>
      <c r="AT122" s="133" t="str">
        <f t="shared" si="121"/>
        <v>no need</v>
      </c>
      <c r="AV122" s="61">
        <f t="shared" si="124"/>
        <v>396.06599999999997</v>
      </c>
      <c r="AW122" s="61" t="str">
        <f t="shared" si="125"/>
        <v>OK</v>
      </c>
      <c r="AX122" s="63" t="e">
        <f t="shared" si="126"/>
        <v>#DIV/0!</v>
      </c>
      <c r="AY122" s="63">
        <f t="shared" si="127"/>
        <v>176.5</v>
      </c>
      <c r="AZ122" s="63">
        <f t="shared" si="128"/>
        <v>372.33201581027674</v>
      </c>
      <c r="BA122" s="63">
        <f t="shared" si="143"/>
        <v>63.249999999999993</v>
      </c>
      <c r="BB122" s="63">
        <f t="shared" si="144"/>
        <v>235.5</v>
      </c>
      <c r="BC122" s="63" t="str">
        <f t="shared" si="145"/>
        <v>OK</v>
      </c>
      <c r="BD122" s="63">
        <f t="shared" si="129"/>
        <v>517.4334588029144</v>
      </c>
      <c r="BE122" s="63">
        <f t="shared" si="130"/>
        <v>285.62112500000001</v>
      </c>
      <c r="BF122" s="63">
        <f t="shared" si="131"/>
        <v>196.31212499999998</v>
      </c>
      <c r="BG122" s="63">
        <f t="shared" si="132"/>
        <v>278.3292214677881</v>
      </c>
      <c r="BH122" s="63">
        <f t="shared" si="133"/>
        <v>169.35174999999998</v>
      </c>
      <c r="BI122" s="63">
        <f t="shared" si="134"/>
        <v>169.35174999999998</v>
      </c>
      <c r="BJ122" s="63">
        <f t="shared" si="135"/>
        <v>169.35174999999998</v>
      </c>
      <c r="BK122" s="63" t="str">
        <f t="shared" si="136"/>
        <v>OK</v>
      </c>
      <c r="BL122" s="63">
        <f t="shared" si="137"/>
        <v>211.79999999999998</v>
      </c>
      <c r="BM122" s="63">
        <f t="shared" si="138"/>
        <v>353</v>
      </c>
      <c r="BN122" s="63">
        <f t="shared" si="139"/>
        <v>706</v>
      </c>
      <c r="BO122" s="63">
        <f t="shared" si="140"/>
        <v>1059</v>
      </c>
      <c r="BP122" s="63">
        <f t="shared" si="141"/>
        <v>44.654499999999992</v>
      </c>
      <c r="BQ122" s="63">
        <f t="shared" si="146"/>
        <v>329.87761338302221</v>
      </c>
      <c r="BR122" s="63" t="str">
        <f t="shared" si="147"/>
        <v>OK</v>
      </c>
      <c r="BW122" s="70">
        <f t="shared" si="122"/>
        <v>37.02600000000001</v>
      </c>
    </row>
    <row r="123" spans="4:104">
      <c r="D123" s="177"/>
      <c r="E123" s="177"/>
      <c r="F123" s="68" t="s">
        <v>16</v>
      </c>
      <c r="G123" s="78">
        <v>220</v>
      </c>
      <c r="H123" s="78">
        <v>450</v>
      </c>
      <c r="I123" s="79">
        <f t="shared" si="142"/>
        <v>100</v>
      </c>
      <c r="J123" s="80">
        <f t="shared" si="164"/>
        <v>350</v>
      </c>
      <c r="K123" s="81"/>
      <c r="L123" s="81"/>
      <c r="M123" s="81"/>
      <c r="N123" s="82">
        <f t="shared" si="112"/>
        <v>0</v>
      </c>
      <c r="O123" s="82">
        <f t="shared" si="165"/>
        <v>0</v>
      </c>
      <c r="P123" s="82">
        <f t="shared" si="166"/>
        <v>1</v>
      </c>
      <c r="Q123" s="83" t="str">
        <f t="shared" si="113"/>
        <v>Ok</v>
      </c>
      <c r="R123" s="84">
        <f t="shared" si="114"/>
        <v>0.77</v>
      </c>
      <c r="S123" s="131">
        <f t="shared" si="123"/>
        <v>1E-3</v>
      </c>
      <c r="T123" s="86">
        <v>3</v>
      </c>
      <c r="U123" s="77">
        <v>25</v>
      </c>
      <c r="V123" s="87" t="str">
        <f t="shared" si="115"/>
        <v>+</v>
      </c>
      <c r="W123" s="86">
        <v>3</v>
      </c>
      <c r="X123" s="77">
        <v>25</v>
      </c>
      <c r="Y123" s="88">
        <f t="shared" si="167"/>
        <v>29.45243112740431</v>
      </c>
      <c r="Z123" s="89" t="str">
        <f t="shared" si="116"/>
        <v>Ok</v>
      </c>
      <c r="AA123" s="80">
        <f t="shared" si="148"/>
        <v>214.63361574030029</v>
      </c>
      <c r="AB123" s="80">
        <f t="shared" si="168"/>
        <v>314.38983440715214</v>
      </c>
      <c r="AC123" s="89" t="str">
        <f t="shared" si="149"/>
        <v>Ok</v>
      </c>
      <c r="AD123" s="85">
        <f t="shared" si="169"/>
        <v>2.9749930431721527E-2</v>
      </c>
      <c r="AE123" s="85">
        <f t="shared" si="117"/>
        <v>1.9281988961466403E-2</v>
      </c>
      <c r="AF123" s="60" t="str">
        <f t="shared" si="170"/>
        <v>No-Ok</v>
      </c>
      <c r="AG123" s="77">
        <v>10</v>
      </c>
      <c r="AH123" s="76">
        <v>2</v>
      </c>
      <c r="AI123" s="76">
        <v>200</v>
      </c>
      <c r="AJ123" s="60">
        <f t="shared" si="118"/>
        <v>7.8500000000000005</v>
      </c>
      <c r="AK123" s="60" t="str">
        <f t="shared" si="119"/>
        <v>OK</v>
      </c>
      <c r="AL123" s="109">
        <f t="shared" si="120"/>
        <v>300</v>
      </c>
      <c r="AT123" s="133" t="str">
        <f t="shared" si="121"/>
        <v>no need</v>
      </c>
      <c r="AV123" s="61">
        <f t="shared" si="124"/>
        <v>392.7</v>
      </c>
      <c r="AW123" s="61" t="str">
        <f t="shared" si="125"/>
        <v>OK</v>
      </c>
      <c r="AX123" s="63" t="e">
        <f t="shared" si="126"/>
        <v>#DIV/0!</v>
      </c>
      <c r="AY123" s="63">
        <f t="shared" si="127"/>
        <v>175</v>
      </c>
      <c r="AZ123" s="63">
        <f t="shared" si="128"/>
        <v>372.33201581027674</v>
      </c>
      <c r="BA123" s="63">
        <f t="shared" si="143"/>
        <v>63.249999999999993</v>
      </c>
      <c r="BB123" s="63">
        <f t="shared" si="144"/>
        <v>235.5</v>
      </c>
      <c r="BC123" s="63" t="str">
        <f t="shared" si="145"/>
        <v>OK</v>
      </c>
      <c r="BD123" s="63">
        <f t="shared" si="129"/>
        <v>513.03600731167148</v>
      </c>
      <c r="BE123" s="63">
        <f t="shared" si="130"/>
        <v>283.19375000000002</v>
      </c>
      <c r="BF123" s="63">
        <f t="shared" si="131"/>
        <v>194.64374999999995</v>
      </c>
      <c r="BG123" s="63">
        <f t="shared" si="132"/>
        <v>275.96381731933667</v>
      </c>
      <c r="BH123" s="63">
        <f t="shared" si="133"/>
        <v>167.91249999999999</v>
      </c>
      <c r="BI123" s="63">
        <f t="shared" si="134"/>
        <v>167.91249999999999</v>
      </c>
      <c r="BJ123" s="63">
        <f t="shared" si="135"/>
        <v>167.91249999999999</v>
      </c>
      <c r="BK123" s="63" t="str">
        <f t="shared" si="136"/>
        <v>OK</v>
      </c>
      <c r="BL123" s="63">
        <f t="shared" si="137"/>
        <v>210</v>
      </c>
      <c r="BM123" s="63">
        <f t="shared" si="138"/>
        <v>350</v>
      </c>
      <c r="BN123" s="63">
        <f t="shared" si="139"/>
        <v>700</v>
      </c>
      <c r="BO123" s="63">
        <f t="shared" si="140"/>
        <v>1050</v>
      </c>
      <c r="BP123" s="63">
        <f t="shared" si="141"/>
        <v>44.274999999999991</v>
      </c>
      <c r="BQ123" s="63">
        <f t="shared" si="146"/>
        <v>329.87761338302221</v>
      </c>
      <c r="BR123" s="63" t="str">
        <f t="shared" si="147"/>
        <v>OK</v>
      </c>
      <c r="BW123" s="70">
        <f t="shared" si="122"/>
        <v>37.02600000000001</v>
      </c>
    </row>
    <row r="124" spans="4:104">
      <c r="D124" s="178"/>
      <c r="E124" s="178"/>
      <c r="F124" s="67" t="s">
        <v>15</v>
      </c>
      <c r="G124" s="78">
        <v>220</v>
      </c>
      <c r="H124" s="78">
        <v>450</v>
      </c>
      <c r="I124" s="79">
        <f t="shared" si="142"/>
        <v>103</v>
      </c>
      <c r="J124" s="80">
        <f t="shared" si="164"/>
        <v>347</v>
      </c>
      <c r="K124" s="81"/>
      <c r="L124" s="81"/>
      <c r="M124" s="81"/>
      <c r="N124" s="82">
        <f t="shared" si="112"/>
        <v>0</v>
      </c>
      <c r="O124" s="82">
        <f t="shared" si="165"/>
        <v>0</v>
      </c>
      <c r="P124" s="82">
        <f t="shared" si="166"/>
        <v>1</v>
      </c>
      <c r="Q124" s="83" t="str">
        <f t="shared" si="113"/>
        <v>Ok</v>
      </c>
      <c r="R124" s="84">
        <f t="shared" si="114"/>
        <v>0.76340000000000008</v>
      </c>
      <c r="S124" s="131">
        <f t="shared" si="123"/>
        <v>1.0000000000000002E-3</v>
      </c>
      <c r="T124" s="86">
        <v>3</v>
      </c>
      <c r="U124" s="77">
        <v>28</v>
      </c>
      <c r="V124" s="87" t="str">
        <f t="shared" si="115"/>
        <v>+</v>
      </c>
      <c r="W124" s="86">
        <v>3</v>
      </c>
      <c r="X124" s="77">
        <v>28</v>
      </c>
      <c r="Y124" s="88">
        <f t="shared" si="167"/>
        <v>36.945129606215971</v>
      </c>
      <c r="Z124" s="89" t="str">
        <f t="shared" si="116"/>
        <v>Ok</v>
      </c>
      <c r="AA124" s="80">
        <f t="shared" si="148"/>
        <v>499.2764795332306</v>
      </c>
      <c r="AB124" s="80">
        <f t="shared" si="168"/>
        <v>232.19110220366545</v>
      </c>
      <c r="AC124" s="89" t="str">
        <f t="shared" si="149"/>
        <v>Ok</v>
      </c>
      <c r="AD124" s="85">
        <f t="shared" si="169"/>
        <v>3.7318312733551483E-2</v>
      </c>
      <c r="AE124" s="85">
        <f t="shared" si="117"/>
        <v>1.9281988961466403E-2</v>
      </c>
      <c r="AF124" s="60" t="str">
        <f t="shared" si="170"/>
        <v>No-Ok</v>
      </c>
      <c r="AG124" s="77">
        <v>10</v>
      </c>
      <c r="AH124" s="76">
        <v>2</v>
      </c>
      <c r="AI124" s="76">
        <v>200</v>
      </c>
      <c r="AJ124" s="60">
        <f t="shared" si="118"/>
        <v>7.8500000000000005</v>
      </c>
      <c r="AK124" s="60" t="str">
        <f t="shared" si="119"/>
        <v>OK</v>
      </c>
      <c r="AL124" s="109">
        <f t="shared" si="120"/>
        <v>300</v>
      </c>
      <c r="AT124" s="133" t="str">
        <f t="shared" si="121"/>
        <v>no need</v>
      </c>
      <c r="AV124" s="61">
        <f t="shared" si="124"/>
        <v>389.334</v>
      </c>
      <c r="AW124" s="61" t="str">
        <f t="shared" si="125"/>
        <v>OK</v>
      </c>
      <c r="AX124" s="63" t="e">
        <f t="shared" si="126"/>
        <v>#DIV/0!</v>
      </c>
      <c r="AY124" s="63">
        <f t="shared" si="127"/>
        <v>173.5</v>
      </c>
      <c r="AZ124" s="63">
        <f t="shared" si="128"/>
        <v>372.33201581027674</v>
      </c>
      <c r="BA124" s="63">
        <f t="shared" si="143"/>
        <v>63.249999999999993</v>
      </c>
      <c r="BB124" s="63">
        <f t="shared" si="144"/>
        <v>235.5</v>
      </c>
      <c r="BC124" s="63" t="str">
        <f t="shared" si="145"/>
        <v>OK</v>
      </c>
      <c r="BD124" s="63">
        <f t="shared" si="129"/>
        <v>508.63855582042862</v>
      </c>
      <c r="BE124" s="63">
        <f t="shared" si="130"/>
        <v>280.76637499999998</v>
      </c>
      <c r="BF124" s="63">
        <f t="shared" si="131"/>
        <v>192.97537499999996</v>
      </c>
      <c r="BG124" s="63">
        <f t="shared" si="132"/>
        <v>273.59841317088518</v>
      </c>
      <c r="BH124" s="63">
        <f t="shared" si="133"/>
        <v>166.47324999999998</v>
      </c>
      <c r="BI124" s="63">
        <f t="shared" si="134"/>
        <v>166.47324999999998</v>
      </c>
      <c r="BJ124" s="63">
        <f t="shared" si="135"/>
        <v>166.47324999999998</v>
      </c>
      <c r="BK124" s="63" t="str">
        <f t="shared" si="136"/>
        <v>OK</v>
      </c>
      <c r="BL124" s="63">
        <f t="shared" si="137"/>
        <v>208.2</v>
      </c>
      <c r="BM124" s="63">
        <f t="shared" si="138"/>
        <v>347</v>
      </c>
      <c r="BN124" s="63">
        <f t="shared" si="139"/>
        <v>694</v>
      </c>
      <c r="BO124" s="63">
        <f t="shared" si="140"/>
        <v>1041</v>
      </c>
      <c r="BP124" s="63">
        <f t="shared" si="141"/>
        <v>43.895499999999991</v>
      </c>
      <c r="BQ124" s="63">
        <f t="shared" si="146"/>
        <v>417.99631252325759</v>
      </c>
      <c r="BR124" s="63" t="str">
        <f t="shared" si="147"/>
        <v>OK</v>
      </c>
      <c r="BW124" s="70">
        <f t="shared" si="122"/>
        <v>37.02600000000001</v>
      </c>
    </row>
    <row r="125" spans="4:104">
      <c r="D125" s="179" t="s">
        <v>90</v>
      </c>
      <c r="E125" s="179" t="s">
        <v>90</v>
      </c>
      <c r="F125" s="91" t="s">
        <v>15</v>
      </c>
      <c r="G125" s="78">
        <v>220</v>
      </c>
      <c r="H125" s="78">
        <v>450</v>
      </c>
      <c r="I125" s="92">
        <f t="shared" si="142"/>
        <v>97</v>
      </c>
      <c r="J125" s="93">
        <f t="shared" si="164"/>
        <v>353</v>
      </c>
      <c r="K125" s="94"/>
      <c r="L125" s="94"/>
      <c r="M125" s="94"/>
      <c r="N125" s="95">
        <f t="shared" si="112"/>
        <v>0</v>
      </c>
      <c r="O125" s="95">
        <f t="shared" si="165"/>
        <v>0</v>
      </c>
      <c r="P125" s="95">
        <f t="shared" si="166"/>
        <v>1</v>
      </c>
      <c r="Q125" s="96" t="str">
        <f t="shared" si="113"/>
        <v>Ok</v>
      </c>
      <c r="R125" s="97">
        <f t="shared" si="114"/>
        <v>0.77659999999999996</v>
      </c>
      <c r="S125" s="131">
        <f t="shared" si="123"/>
        <v>1E-3</v>
      </c>
      <c r="T125" s="99">
        <v>3</v>
      </c>
      <c r="U125" s="100">
        <v>22</v>
      </c>
      <c r="V125" s="101" t="str">
        <f t="shared" si="115"/>
        <v>+</v>
      </c>
      <c r="W125" s="99">
        <v>3</v>
      </c>
      <c r="X125" s="100">
        <v>22</v>
      </c>
      <c r="Y125" s="102">
        <f t="shared" si="167"/>
        <v>22.807962665061901</v>
      </c>
      <c r="Z125" s="103" t="str">
        <f t="shared" si="116"/>
        <v>Ok</v>
      </c>
      <c r="AA125" s="93">
        <f t="shared" si="148"/>
        <v>157.98139527665879</v>
      </c>
      <c r="AB125" s="93">
        <f t="shared" si="168"/>
        <v>258.3989793884802</v>
      </c>
      <c r="AC125" s="89" t="str">
        <f t="shared" si="149"/>
        <v>Ok</v>
      </c>
      <c r="AD125" s="98">
        <f t="shared" si="169"/>
        <v>2.3038346126325153E-2</v>
      </c>
      <c r="AE125" s="98">
        <f t="shared" si="117"/>
        <v>1.9281988961466403E-2</v>
      </c>
      <c r="AF125" s="104" t="str">
        <f t="shared" si="170"/>
        <v>No-Ok</v>
      </c>
      <c r="AG125" s="100">
        <v>10</v>
      </c>
      <c r="AH125" s="105">
        <v>2</v>
      </c>
      <c r="AI125" s="105">
        <v>200</v>
      </c>
      <c r="AJ125" s="104">
        <f t="shared" si="118"/>
        <v>7.8500000000000005</v>
      </c>
      <c r="AK125" s="60" t="str">
        <f t="shared" si="119"/>
        <v>OK</v>
      </c>
      <c r="AL125" s="109">
        <f t="shared" si="120"/>
        <v>300</v>
      </c>
      <c r="AT125" s="133" t="str">
        <f t="shared" si="121"/>
        <v>no need</v>
      </c>
      <c r="AV125" s="61">
        <f t="shared" si="124"/>
        <v>396.06599999999997</v>
      </c>
      <c r="AW125" s="61" t="str">
        <f t="shared" si="125"/>
        <v>OK</v>
      </c>
      <c r="AX125" s="63" t="e">
        <f t="shared" si="126"/>
        <v>#DIV/0!</v>
      </c>
      <c r="AY125" s="63">
        <f t="shared" si="127"/>
        <v>176.5</v>
      </c>
      <c r="AZ125" s="63">
        <f t="shared" si="128"/>
        <v>372.33201581027674</v>
      </c>
      <c r="BA125" s="63">
        <f t="shared" si="143"/>
        <v>63.249999999999993</v>
      </c>
      <c r="BB125" s="63">
        <f t="shared" si="144"/>
        <v>235.5</v>
      </c>
      <c r="BC125" s="63" t="str">
        <f t="shared" si="145"/>
        <v>OK</v>
      </c>
      <c r="BD125" s="63">
        <f t="shared" si="129"/>
        <v>517.4334588029144</v>
      </c>
      <c r="BE125" s="63">
        <f t="shared" si="130"/>
        <v>285.62112500000001</v>
      </c>
      <c r="BF125" s="63">
        <f t="shared" si="131"/>
        <v>196.31212499999998</v>
      </c>
      <c r="BG125" s="63">
        <f t="shared" si="132"/>
        <v>278.3292214677881</v>
      </c>
      <c r="BH125" s="63">
        <f t="shared" si="133"/>
        <v>169.35174999999998</v>
      </c>
      <c r="BI125" s="63">
        <f t="shared" si="134"/>
        <v>169.35174999999998</v>
      </c>
      <c r="BJ125" s="63">
        <f t="shared" si="135"/>
        <v>169.35174999999998</v>
      </c>
      <c r="BK125" s="63" t="str">
        <f t="shared" si="136"/>
        <v>OK</v>
      </c>
      <c r="BL125" s="63">
        <f t="shared" si="137"/>
        <v>211.79999999999998</v>
      </c>
      <c r="BM125" s="63">
        <f t="shared" si="138"/>
        <v>353</v>
      </c>
      <c r="BN125" s="63">
        <f t="shared" si="139"/>
        <v>706</v>
      </c>
      <c r="BO125" s="63">
        <f t="shared" si="140"/>
        <v>1059</v>
      </c>
      <c r="BP125" s="63">
        <f t="shared" si="141"/>
        <v>44.654499999999992</v>
      </c>
      <c r="BQ125" s="63">
        <f t="shared" si="146"/>
        <v>516.07959270692425</v>
      </c>
      <c r="BR125" s="63" t="str">
        <f t="shared" si="147"/>
        <v>OK</v>
      </c>
      <c r="BW125" s="70">
        <f t="shared" si="122"/>
        <v>37.02600000000001</v>
      </c>
    </row>
    <row r="126" spans="4:104">
      <c r="D126" s="180"/>
      <c r="E126" s="180"/>
      <c r="F126" s="106" t="s">
        <v>16</v>
      </c>
      <c r="G126" s="78">
        <v>220</v>
      </c>
      <c r="H126" s="78">
        <v>450</v>
      </c>
      <c r="I126" s="92">
        <f t="shared" si="142"/>
        <v>100</v>
      </c>
      <c r="J126" s="93">
        <f t="shared" si="164"/>
        <v>350</v>
      </c>
      <c r="K126" s="94"/>
      <c r="L126" s="94"/>
      <c r="M126" s="94"/>
      <c r="N126" s="95">
        <f t="shared" si="112"/>
        <v>0</v>
      </c>
      <c r="O126" s="95">
        <f t="shared" si="165"/>
        <v>0</v>
      </c>
      <c r="P126" s="95">
        <f t="shared" si="166"/>
        <v>1</v>
      </c>
      <c r="Q126" s="96" t="str">
        <f t="shared" si="113"/>
        <v>Ok</v>
      </c>
      <c r="R126" s="97">
        <f t="shared" si="114"/>
        <v>0.77</v>
      </c>
      <c r="S126" s="131">
        <f t="shared" si="123"/>
        <v>1E-3</v>
      </c>
      <c r="T126" s="99">
        <v>3</v>
      </c>
      <c r="U126" s="100">
        <v>25</v>
      </c>
      <c r="V126" s="101" t="str">
        <f t="shared" si="115"/>
        <v>+</v>
      </c>
      <c r="W126" s="99">
        <v>3</v>
      </c>
      <c r="X126" s="100">
        <v>25</v>
      </c>
      <c r="Y126" s="102">
        <f t="shared" si="167"/>
        <v>29.45243112740431</v>
      </c>
      <c r="Z126" s="103" t="str">
        <f t="shared" si="116"/>
        <v>Ok</v>
      </c>
      <c r="AA126" s="93">
        <f t="shared" si="148"/>
        <v>214.63361574030029</v>
      </c>
      <c r="AB126" s="93">
        <f t="shared" si="168"/>
        <v>314.38983440715214</v>
      </c>
      <c r="AC126" s="89" t="str">
        <f t="shared" si="149"/>
        <v>Ok</v>
      </c>
      <c r="AD126" s="98">
        <f t="shared" si="169"/>
        <v>2.9749930431721527E-2</v>
      </c>
      <c r="AE126" s="98">
        <f t="shared" si="117"/>
        <v>1.9281988961466403E-2</v>
      </c>
      <c r="AF126" s="104" t="str">
        <f t="shared" si="170"/>
        <v>No-Ok</v>
      </c>
      <c r="AG126" s="100">
        <v>10</v>
      </c>
      <c r="AH126" s="105">
        <v>2</v>
      </c>
      <c r="AI126" s="105">
        <v>200</v>
      </c>
      <c r="AJ126" s="104">
        <f t="shared" si="118"/>
        <v>7.8500000000000005</v>
      </c>
      <c r="AK126" s="60" t="str">
        <f t="shared" si="119"/>
        <v>OK</v>
      </c>
      <c r="AL126" s="109">
        <f t="shared" si="120"/>
        <v>300</v>
      </c>
      <c r="AT126" s="133" t="str">
        <f t="shared" si="121"/>
        <v>no need</v>
      </c>
      <c r="AV126" s="61">
        <f t="shared" si="124"/>
        <v>392.7</v>
      </c>
      <c r="AW126" s="61" t="str">
        <f t="shared" si="125"/>
        <v>OK</v>
      </c>
      <c r="AX126" s="63" t="e">
        <f t="shared" si="126"/>
        <v>#DIV/0!</v>
      </c>
      <c r="AY126" s="63">
        <f t="shared" si="127"/>
        <v>175</v>
      </c>
      <c r="AZ126" s="63">
        <f t="shared" si="128"/>
        <v>372.33201581027674</v>
      </c>
      <c r="BA126" s="63">
        <f t="shared" si="143"/>
        <v>63.249999999999993</v>
      </c>
      <c r="BB126" s="63">
        <f t="shared" si="144"/>
        <v>235.5</v>
      </c>
      <c r="BC126" s="63" t="str">
        <f t="shared" si="145"/>
        <v>OK</v>
      </c>
      <c r="BD126" s="63">
        <f t="shared" si="129"/>
        <v>513.03600731167148</v>
      </c>
      <c r="BE126" s="63">
        <f t="shared" si="130"/>
        <v>283.19375000000002</v>
      </c>
      <c r="BF126" s="63">
        <f t="shared" si="131"/>
        <v>194.64374999999995</v>
      </c>
      <c r="BG126" s="63">
        <f t="shared" si="132"/>
        <v>275.96381731933667</v>
      </c>
      <c r="BH126" s="63">
        <f t="shared" si="133"/>
        <v>167.91249999999999</v>
      </c>
      <c r="BI126" s="63">
        <f t="shared" si="134"/>
        <v>167.91249999999999</v>
      </c>
      <c r="BJ126" s="63">
        <f t="shared" si="135"/>
        <v>167.91249999999999</v>
      </c>
      <c r="BK126" s="63" t="str">
        <f t="shared" si="136"/>
        <v>OK</v>
      </c>
      <c r="BL126" s="63">
        <f t="shared" si="137"/>
        <v>210</v>
      </c>
      <c r="BM126" s="63">
        <f t="shared" si="138"/>
        <v>350</v>
      </c>
      <c r="BN126" s="63">
        <f t="shared" si="139"/>
        <v>700</v>
      </c>
      <c r="BO126" s="63">
        <f t="shared" si="140"/>
        <v>1050</v>
      </c>
      <c r="BP126" s="63">
        <f t="shared" si="141"/>
        <v>44.274999999999991</v>
      </c>
      <c r="BQ126" s="63">
        <f t="shared" si="146"/>
        <v>329.87761338302221</v>
      </c>
      <c r="BR126" s="63" t="str">
        <f t="shared" si="147"/>
        <v>OK</v>
      </c>
      <c r="BW126" s="70">
        <f t="shared" si="122"/>
        <v>37.02600000000001</v>
      </c>
    </row>
    <row r="127" spans="4:104">
      <c r="D127" s="181"/>
      <c r="E127" s="181"/>
      <c r="F127" s="91" t="s">
        <v>15</v>
      </c>
      <c r="G127" s="78">
        <v>220</v>
      </c>
      <c r="H127" s="78">
        <v>450</v>
      </c>
      <c r="I127" s="92">
        <f t="shared" si="142"/>
        <v>103</v>
      </c>
      <c r="J127" s="93">
        <f t="shared" si="164"/>
        <v>347</v>
      </c>
      <c r="K127" s="94"/>
      <c r="L127" s="94"/>
      <c r="M127" s="94"/>
      <c r="N127" s="95">
        <f t="shared" si="112"/>
        <v>0</v>
      </c>
      <c r="O127" s="95">
        <f t="shared" si="165"/>
        <v>0</v>
      </c>
      <c r="P127" s="95">
        <f t="shared" si="166"/>
        <v>1</v>
      </c>
      <c r="Q127" s="96" t="str">
        <f t="shared" si="113"/>
        <v>Ok</v>
      </c>
      <c r="R127" s="97">
        <f t="shared" si="114"/>
        <v>0.76340000000000008</v>
      </c>
      <c r="S127" s="131">
        <f t="shared" si="123"/>
        <v>1.0000000000000002E-3</v>
      </c>
      <c r="T127" s="99">
        <v>3</v>
      </c>
      <c r="U127" s="100">
        <v>28</v>
      </c>
      <c r="V127" s="101" t="str">
        <f t="shared" si="115"/>
        <v>+</v>
      </c>
      <c r="W127" s="99">
        <v>3</v>
      </c>
      <c r="X127" s="100">
        <v>28</v>
      </c>
      <c r="Y127" s="102">
        <f t="shared" si="167"/>
        <v>36.945129606215971</v>
      </c>
      <c r="Z127" s="103" t="str">
        <f t="shared" si="116"/>
        <v>Ok</v>
      </c>
      <c r="AA127" s="93">
        <f t="shared" si="148"/>
        <v>499.2764795332306</v>
      </c>
      <c r="AB127" s="93">
        <f t="shared" si="168"/>
        <v>234.77068278108396</v>
      </c>
      <c r="AC127" s="89" t="str">
        <f t="shared" si="149"/>
        <v>Ok</v>
      </c>
      <c r="AD127" s="98">
        <f t="shared" si="169"/>
        <v>3.7318312733551483E-2</v>
      </c>
      <c r="AE127" s="98">
        <f t="shared" si="117"/>
        <v>1.9281988961466403E-2</v>
      </c>
      <c r="AF127" s="104" t="str">
        <f t="shared" si="170"/>
        <v>No-Ok</v>
      </c>
      <c r="AG127" s="100">
        <v>10</v>
      </c>
      <c r="AH127" s="105">
        <v>2</v>
      </c>
      <c r="AI127" s="105">
        <v>200</v>
      </c>
      <c r="AJ127" s="104">
        <f t="shared" si="118"/>
        <v>7.8500000000000005</v>
      </c>
      <c r="AK127" s="60" t="str">
        <f t="shared" si="119"/>
        <v>OK</v>
      </c>
      <c r="AL127" s="109">
        <f t="shared" si="120"/>
        <v>300</v>
      </c>
      <c r="AT127" s="133" t="str">
        <f t="shared" si="121"/>
        <v>no need</v>
      </c>
      <c r="AV127" s="61">
        <f t="shared" si="124"/>
        <v>389.334</v>
      </c>
      <c r="AW127" s="61" t="str">
        <f t="shared" si="125"/>
        <v>OK</v>
      </c>
      <c r="AX127" s="63" t="e">
        <f t="shared" si="126"/>
        <v>#DIV/0!</v>
      </c>
      <c r="AY127" s="63">
        <f t="shared" si="127"/>
        <v>173.5</v>
      </c>
      <c r="AZ127" s="63">
        <f t="shared" si="128"/>
        <v>372.33201581027674</v>
      </c>
      <c r="BA127" s="63">
        <f t="shared" si="143"/>
        <v>63.249999999999993</v>
      </c>
      <c r="BB127" s="63">
        <f t="shared" si="144"/>
        <v>235.5</v>
      </c>
      <c r="BC127" s="63" t="str">
        <f t="shared" si="145"/>
        <v>OK</v>
      </c>
      <c r="BD127" s="63">
        <f t="shared" si="129"/>
        <v>508.63855582042862</v>
      </c>
      <c r="BE127" s="63">
        <f t="shared" si="130"/>
        <v>280.76637499999998</v>
      </c>
      <c r="BF127" s="63">
        <f t="shared" si="131"/>
        <v>192.97537499999996</v>
      </c>
      <c r="BG127" s="63">
        <f t="shared" si="132"/>
        <v>273.59841317088518</v>
      </c>
      <c r="BH127" s="63">
        <f t="shared" si="133"/>
        <v>166.47324999999998</v>
      </c>
      <c r="BI127" s="63">
        <f t="shared" si="134"/>
        <v>166.47324999999998</v>
      </c>
      <c r="BJ127" s="63">
        <f t="shared" si="135"/>
        <v>166.47324999999998</v>
      </c>
      <c r="BK127" s="63" t="str">
        <f t="shared" si="136"/>
        <v>OK</v>
      </c>
      <c r="BL127" s="63">
        <f t="shared" si="137"/>
        <v>208.2</v>
      </c>
      <c r="BM127" s="63">
        <f t="shared" si="138"/>
        <v>347</v>
      </c>
      <c r="BN127" s="63">
        <f t="shared" si="139"/>
        <v>694</v>
      </c>
      <c r="BO127" s="63">
        <f t="shared" si="140"/>
        <v>1041</v>
      </c>
      <c r="BP127" s="63">
        <f t="shared" si="141"/>
        <v>43.895499999999991</v>
      </c>
      <c r="BQ127" s="63">
        <f t="shared" si="146"/>
        <v>417.99631252325759</v>
      </c>
      <c r="BR127" s="63" t="str">
        <f t="shared" si="147"/>
        <v>OK</v>
      </c>
      <c r="BW127" s="70">
        <f t="shared" si="122"/>
        <v>37.02600000000001</v>
      </c>
    </row>
    <row r="128" spans="4:104" ht="12.75" customHeight="1">
      <c r="D128" s="176" t="s">
        <v>90</v>
      </c>
      <c r="E128" s="176" t="s">
        <v>90</v>
      </c>
      <c r="F128" s="67" t="s">
        <v>15</v>
      </c>
      <c r="G128" s="78">
        <v>220</v>
      </c>
      <c r="H128" s="78">
        <v>450</v>
      </c>
      <c r="I128" s="79">
        <f t="shared" si="142"/>
        <v>91.8</v>
      </c>
      <c r="J128" s="80">
        <f>H128-I128</f>
        <v>358.2</v>
      </c>
      <c r="K128" s="81"/>
      <c r="L128" s="81"/>
      <c r="M128" s="81"/>
      <c r="N128" s="82">
        <f t="shared" si="112"/>
        <v>0</v>
      </c>
      <c r="O128" s="82">
        <f>ROUND(1-SQRT(1-2*N128),3)</f>
        <v>0</v>
      </c>
      <c r="P128" s="82">
        <f>1-0.5*O128</f>
        <v>1</v>
      </c>
      <c r="Q128" s="83" t="str">
        <f t="shared" si="113"/>
        <v>Ok</v>
      </c>
      <c r="R128" s="84">
        <f t="shared" si="114"/>
        <v>0.78804000000000007</v>
      </c>
      <c r="S128" s="131">
        <f t="shared" si="123"/>
        <v>1.0000000000000002E-3</v>
      </c>
      <c r="T128" s="86">
        <v>3</v>
      </c>
      <c r="U128" s="77">
        <v>22</v>
      </c>
      <c r="V128" s="87" t="str">
        <f t="shared" si="115"/>
        <v>+</v>
      </c>
      <c r="W128" s="86">
        <v>2</v>
      </c>
      <c r="X128" s="77">
        <v>22</v>
      </c>
      <c r="Y128" s="88">
        <f>(T128*PI()*U128^2/4+W128*PI()*X128^2/4)/100</f>
        <v>19.006635554218249</v>
      </c>
      <c r="Z128" s="89" t="str">
        <f t="shared" si="116"/>
        <v>Ok</v>
      </c>
      <c r="AA128" s="90">
        <f t="shared" si="148"/>
        <v>292.93343264126815</v>
      </c>
      <c r="AB128" s="80">
        <f>($J$11*$H$4*G128*ABS(AA128)*(J128-0.5*ABS(AA128))+$H$6*(T129*PI()*U129^2/4)*(J128-I129))*10^-6</f>
        <v>188.78437744265727</v>
      </c>
      <c r="AC128" s="89" t="str">
        <f t="shared" si="149"/>
        <v>Ok</v>
      </c>
      <c r="AD128" s="85">
        <f>(Y128*100)/(G128*H128)</f>
        <v>1.9198621771937624E-2</v>
      </c>
      <c r="AE128" s="85">
        <f t="shared" si="117"/>
        <v>1.9281988961466403E-2</v>
      </c>
      <c r="AF128" s="60" t="str">
        <f>IF(AND(AD128&gt;0.1%,AD128&lt;AE128),"Ok","No-Ok")</f>
        <v>Ok</v>
      </c>
      <c r="AG128" s="77">
        <v>10</v>
      </c>
      <c r="AH128" s="76">
        <v>2</v>
      </c>
      <c r="AI128" s="76">
        <v>100</v>
      </c>
      <c r="AJ128" s="60">
        <f t="shared" si="118"/>
        <v>15.700000000000001</v>
      </c>
      <c r="AK128" s="60" t="str">
        <f t="shared" si="119"/>
        <v>OK</v>
      </c>
      <c r="AL128" s="109">
        <f t="shared" si="120"/>
        <v>300</v>
      </c>
      <c r="AT128" s="133" t="str">
        <f t="shared" si="121"/>
        <v>no need</v>
      </c>
      <c r="AV128" s="61">
        <f t="shared" si="124"/>
        <v>401.90039999999999</v>
      </c>
      <c r="AW128" s="61" t="str">
        <f t="shared" si="125"/>
        <v>OK</v>
      </c>
      <c r="AX128" s="63" t="e">
        <f t="shared" si="126"/>
        <v>#DIV/0!</v>
      </c>
      <c r="AY128" s="63">
        <f t="shared" si="127"/>
        <v>179.1</v>
      </c>
      <c r="AZ128" s="63">
        <f t="shared" si="128"/>
        <v>744.66403162055349</v>
      </c>
      <c r="BA128" s="63">
        <f t="shared" si="143"/>
        <v>63.249999999999993</v>
      </c>
      <c r="BB128" s="63">
        <f t="shared" si="144"/>
        <v>471</v>
      </c>
      <c r="BC128" s="63" t="str">
        <f t="shared" si="145"/>
        <v>OK</v>
      </c>
      <c r="BD128" s="63">
        <f t="shared" si="129"/>
        <v>371.27045166597185</v>
      </c>
      <c r="BE128" s="63">
        <f t="shared" si="130"/>
        <v>353.09564999999998</v>
      </c>
      <c r="BF128" s="63">
        <f t="shared" si="131"/>
        <v>262.47104999999993</v>
      </c>
      <c r="BG128" s="63">
        <f t="shared" si="132"/>
        <v>399.41528329169569</v>
      </c>
      <c r="BH128" s="63">
        <f t="shared" si="133"/>
        <v>298.38059999999996</v>
      </c>
      <c r="BI128" s="63">
        <f t="shared" si="134"/>
        <v>298.38059999999996</v>
      </c>
      <c r="BJ128" s="63">
        <f t="shared" si="135"/>
        <v>262.47104999999993</v>
      </c>
      <c r="BK128" s="63" t="str">
        <f t="shared" si="136"/>
        <v>OK</v>
      </c>
      <c r="BL128" s="63">
        <f t="shared" si="137"/>
        <v>214.92</v>
      </c>
      <c r="BM128" s="63">
        <f t="shared" si="138"/>
        <v>358.2</v>
      </c>
      <c r="BN128" s="63">
        <f t="shared" si="139"/>
        <v>716.4</v>
      </c>
      <c r="BO128" s="63">
        <f t="shared" si="140"/>
        <v>1074.5999999999999</v>
      </c>
      <c r="BP128" s="63">
        <f t="shared" si="141"/>
        <v>45.312299999999993</v>
      </c>
      <c r="BQ128" s="63">
        <f t="shared" si="146"/>
        <v>516.07959270692425</v>
      </c>
      <c r="BR128" s="63" t="str">
        <f t="shared" si="147"/>
        <v>OK</v>
      </c>
      <c r="BU128" s="70">
        <v>12</v>
      </c>
      <c r="BV128" s="70">
        <v>1</v>
      </c>
      <c r="BW128" s="70">
        <f t="shared" si="122"/>
        <v>37.02600000000001</v>
      </c>
      <c r="BX128" s="70" t="str">
        <f>IF(BW128&gt;AT128,"OK","NOT OK")</f>
        <v>NOT OK</v>
      </c>
      <c r="BY128" s="70">
        <f>G128</f>
        <v>220</v>
      </c>
      <c r="BZ128" s="70">
        <f>H128</f>
        <v>450</v>
      </c>
      <c r="CA128" s="70">
        <f>BY128/(2*BZ128+BY128)</f>
        <v>0.19642857142857142</v>
      </c>
      <c r="CB128" s="27">
        <f>O115*AJ128/10</f>
        <v>0</v>
      </c>
      <c r="CE128" s="71">
        <f>CB128*CA128*BY128*BZ128/1000000</f>
        <v>0</v>
      </c>
      <c r="CF128" s="71"/>
      <c r="CG128" s="71"/>
      <c r="CH128" s="70">
        <f>T129*3.14*U129^2/4</f>
        <v>401.92</v>
      </c>
      <c r="CI128" s="71">
        <f>0.5*$H$6*CH128*BZ128/1000000</f>
        <v>39.337919999999997</v>
      </c>
      <c r="CJ128" s="70" t="str">
        <f>IF((CI128+CE128)&gt;AT128,"OK","NOT OK")</f>
        <v>NOT OK</v>
      </c>
      <c r="CK128" s="27">
        <f>BZ128</f>
        <v>450</v>
      </c>
      <c r="CL128" s="27">
        <f>BY128</f>
        <v>220</v>
      </c>
      <c r="CM128" s="74">
        <f>CK128/(2*CL128+CK128)</f>
        <v>0.5056179775280899</v>
      </c>
      <c r="CN128" s="74"/>
      <c r="CO128" s="27">
        <f>O115*AJ128/10</f>
        <v>0</v>
      </c>
      <c r="CP128" s="74">
        <f>CO128*CM128*CK128*CL128/1000000</f>
        <v>0</v>
      </c>
      <c r="CQ128" s="27">
        <f>3.14*U129^2/4+3.14*U128^2/4+BV128*3.14*BU128^2/4</f>
        <v>693.93999999999994</v>
      </c>
      <c r="CT128" s="71">
        <f>0.5*$H$6*CQ128*CL128/1000000</f>
        <v>33.205028999999996</v>
      </c>
      <c r="CU128" s="71"/>
      <c r="CV128" s="70" t="str">
        <f>IF((CT128+CP128)&gt;U128,"OK","NOT OK")</f>
        <v>OK</v>
      </c>
      <c r="CW128" s="74">
        <f>MIN((CP128+CT128),(CE128+CI128))</f>
        <v>33.205028999999996</v>
      </c>
      <c r="CX128" s="71">
        <f>AB128</f>
        <v>188.78437744265727</v>
      </c>
      <c r="CY128" s="71">
        <f>(BG128+BO128*J128)/1000</f>
        <v>385.32113528329171</v>
      </c>
      <c r="CZ128" s="62">
        <f>CW128*SQRT(1-(K128/CX128)^1)</f>
        <v>33.205028999999996</v>
      </c>
    </row>
    <row r="129" spans="4:104">
      <c r="D129" s="177"/>
      <c r="E129" s="177"/>
      <c r="F129" s="68" t="s">
        <v>16</v>
      </c>
      <c r="G129" s="78">
        <v>220</v>
      </c>
      <c r="H129" s="78">
        <v>450</v>
      </c>
      <c r="I129" s="79">
        <f t="shared" si="142"/>
        <v>68</v>
      </c>
      <c r="J129" s="80">
        <f t="shared" ref="J129:J139" si="171">H129-I129</f>
        <v>382</v>
      </c>
      <c r="K129" s="81"/>
      <c r="L129" s="81"/>
      <c r="M129" s="81"/>
      <c r="N129" s="82">
        <f t="shared" si="112"/>
        <v>0</v>
      </c>
      <c r="O129" s="82">
        <f t="shared" ref="O129:O139" si="172">ROUND(1-SQRT(1-2*N129),3)</f>
        <v>0</v>
      </c>
      <c r="P129" s="82">
        <f t="shared" ref="P129:P139" si="173">1-0.5*O129</f>
        <v>1</v>
      </c>
      <c r="Q129" s="83" t="str">
        <f t="shared" si="113"/>
        <v>Ok</v>
      </c>
      <c r="R129" s="84">
        <f t="shared" si="114"/>
        <v>0.84040000000000004</v>
      </c>
      <c r="S129" s="131">
        <f t="shared" si="123"/>
        <v>1E-3</v>
      </c>
      <c r="T129" s="86">
        <v>2</v>
      </c>
      <c r="U129" s="77">
        <v>16</v>
      </c>
      <c r="V129" s="87" t="str">
        <f t="shared" si="115"/>
        <v>+</v>
      </c>
      <c r="W129" s="86">
        <v>0</v>
      </c>
      <c r="X129" s="77">
        <v>0</v>
      </c>
      <c r="Y129" s="88">
        <f t="shared" ref="Y129:Y139" si="174">(T129*PI()*U129^2/4+W129*PI()*X129^2/4)/100</f>
        <v>4.0212385965949355</v>
      </c>
      <c r="Z129" s="89" t="str">
        <f t="shared" si="116"/>
        <v>Ok</v>
      </c>
      <c r="AA129" s="80">
        <f t="shared" si="148"/>
        <v>-282.49345705447246</v>
      </c>
      <c r="AB129" s="80">
        <f t="shared" ref="AB129:AB139" si="175">($J$11*$H$4*G129*AA129*(J129-0.5*AA129)+$H$6*(T130*PI()*U130^2/4)*(J129-I130))*10^-6</f>
        <v>-81.434575247006478</v>
      </c>
      <c r="AC129" s="89" t="str">
        <f t="shared" si="149"/>
        <v>Not Ok</v>
      </c>
      <c r="AD129" s="85">
        <f t="shared" ref="AD129:AD139" si="176">(Y129*100)/(G129*H129)</f>
        <v>4.0618571682777133E-3</v>
      </c>
      <c r="AE129" s="85">
        <f t="shared" si="117"/>
        <v>1.9281988961466403E-2</v>
      </c>
      <c r="AF129" s="60" t="str">
        <f t="shared" ref="AF129:AF139" si="177">IF(AND(AD129&gt;0.1%,AD129&lt;AE129),"Ok","No-Ok")</f>
        <v>Ok</v>
      </c>
      <c r="AG129" s="77">
        <v>10</v>
      </c>
      <c r="AH129" s="76">
        <v>2</v>
      </c>
      <c r="AI129" s="76">
        <v>200</v>
      </c>
      <c r="AJ129" s="60">
        <f t="shared" si="118"/>
        <v>7.8500000000000005</v>
      </c>
      <c r="AK129" s="60" t="str">
        <f t="shared" si="119"/>
        <v>OK</v>
      </c>
      <c r="AL129" s="109">
        <f t="shared" si="120"/>
        <v>300</v>
      </c>
      <c r="AT129" s="133" t="str">
        <f t="shared" si="121"/>
        <v>no need</v>
      </c>
      <c r="AV129" s="61">
        <f t="shared" si="124"/>
        <v>428.60399999999998</v>
      </c>
      <c r="AW129" s="61" t="str">
        <f t="shared" si="125"/>
        <v>OK</v>
      </c>
      <c r="AX129" s="63" t="e">
        <f t="shared" si="126"/>
        <v>#DIV/0!</v>
      </c>
      <c r="AY129" s="63">
        <f t="shared" si="127"/>
        <v>191</v>
      </c>
      <c r="AZ129" s="63">
        <f t="shared" si="128"/>
        <v>372.33201581027674</v>
      </c>
      <c r="BA129" s="63">
        <f t="shared" si="143"/>
        <v>63.249999999999993</v>
      </c>
      <c r="BB129" s="63">
        <f t="shared" si="144"/>
        <v>235.5</v>
      </c>
      <c r="BC129" s="63" t="str">
        <f t="shared" si="145"/>
        <v>OK</v>
      </c>
      <c r="BD129" s="63">
        <f t="shared" si="129"/>
        <v>559.94215655159576</v>
      </c>
      <c r="BE129" s="63">
        <f t="shared" si="130"/>
        <v>309.08575000000002</v>
      </c>
      <c r="BF129" s="63">
        <f t="shared" si="131"/>
        <v>212.43974999999995</v>
      </c>
      <c r="BG129" s="63">
        <f t="shared" si="132"/>
        <v>301.19479490281884</v>
      </c>
      <c r="BH129" s="63">
        <f t="shared" si="133"/>
        <v>183.2645</v>
      </c>
      <c r="BI129" s="63">
        <f t="shared" si="134"/>
        <v>183.2645</v>
      </c>
      <c r="BJ129" s="63">
        <f t="shared" si="135"/>
        <v>183.2645</v>
      </c>
      <c r="BK129" s="63" t="str">
        <f t="shared" si="136"/>
        <v>OK</v>
      </c>
      <c r="BL129" s="63">
        <f t="shared" si="137"/>
        <v>229.2</v>
      </c>
      <c r="BM129" s="63">
        <f t="shared" si="138"/>
        <v>382</v>
      </c>
      <c r="BN129" s="63">
        <f t="shared" si="139"/>
        <v>764</v>
      </c>
      <c r="BO129" s="63">
        <f t="shared" si="140"/>
        <v>1146</v>
      </c>
      <c r="BP129" s="63">
        <f t="shared" si="141"/>
        <v>48.322999999999993</v>
      </c>
      <c r="BQ129" s="63">
        <f t="shared" si="146"/>
        <v>296.75647891364622</v>
      </c>
      <c r="BR129" s="63" t="str">
        <f t="shared" si="147"/>
        <v>OK</v>
      </c>
      <c r="BW129" s="70">
        <f t="shared" si="122"/>
        <v>37.02600000000001</v>
      </c>
    </row>
    <row r="130" spans="4:104">
      <c r="D130" s="178"/>
      <c r="E130" s="178"/>
      <c r="F130" s="67" t="s">
        <v>15</v>
      </c>
      <c r="G130" s="78">
        <v>220</v>
      </c>
      <c r="H130" s="78">
        <v>450</v>
      </c>
      <c r="I130" s="79">
        <f t="shared" si="142"/>
        <v>74</v>
      </c>
      <c r="J130" s="80">
        <f t="shared" si="171"/>
        <v>376</v>
      </c>
      <c r="K130" s="81"/>
      <c r="L130" s="81"/>
      <c r="M130" s="81"/>
      <c r="N130" s="82">
        <f t="shared" si="112"/>
        <v>0</v>
      </c>
      <c r="O130" s="82">
        <f t="shared" si="172"/>
        <v>0</v>
      </c>
      <c r="P130" s="82">
        <f t="shared" si="173"/>
        <v>1</v>
      </c>
      <c r="Q130" s="83" t="str">
        <f t="shared" si="113"/>
        <v>Ok</v>
      </c>
      <c r="R130" s="84">
        <f t="shared" si="114"/>
        <v>0.82719999999999994</v>
      </c>
      <c r="S130" s="131">
        <f t="shared" si="123"/>
        <v>9.999999999999998E-4</v>
      </c>
      <c r="T130" s="86">
        <v>3</v>
      </c>
      <c r="U130" s="77">
        <v>28</v>
      </c>
      <c r="V130" s="87" t="str">
        <f t="shared" si="115"/>
        <v>+</v>
      </c>
      <c r="W130" s="86">
        <v>0</v>
      </c>
      <c r="X130" s="77">
        <v>0</v>
      </c>
      <c r="Y130" s="88">
        <f t="shared" si="174"/>
        <v>18.472564803107986</v>
      </c>
      <c r="Z130" s="89" t="str">
        <f t="shared" si="116"/>
        <v>Ok</v>
      </c>
      <c r="AA130" s="80">
        <f t="shared" si="148"/>
        <v>0</v>
      </c>
      <c r="AB130" s="80">
        <f t="shared" si="175"/>
        <v>219.37094331930888</v>
      </c>
      <c r="AC130" s="89" t="str">
        <f t="shared" si="149"/>
        <v>Ok</v>
      </c>
      <c r="AD130" s="85">
        <f t="shared" si="176"/>
        <v>1.8659156366775741E-2</v>
      </c>
      <c r="AE130" s="85">
        <f t="shared" si="117"/>
        <v>1.9281988961466403E-2</v>
      </c>
      <c r="AF130" s="60" t="str">
        <f t="shared" si="177"/>
        <v>Ok</v>
      </c>
      <c r="AG130" s="77">
        <v>10</v>
      </c>
      <c r="AH130" s="76">
        <v>2</v>
      </c>
      <c r="AI130" s="76">
        <v>200</v>
      </c>
      <c r="AJ130" s="60">
        <f t="shared" si="118"/>
        <v>7.8500000000000005</v>
      </c>
      <c r="AK130" s="60" t="str">
        <f t="shared" si="119"/>
        <v>OK</v>
      </c>
      <c r="AL130" s="109">
        <f t="shared" si="120"/>
        <v>300</v>
      </c>
      <c r="AT130" s="133" t="str">
        <f t="shared" si="121"/>
        <v>no need</v>
      </c>
      <c r="AV130" s="61">
        <f t="shared" si="124"/>
        <v>421.87200000000001</v>
      </c>
      <c r="AW130" s="61" t="str">
        <f t="shared" si="125"/>
        <v>OK</v>
      </c>
      <c r="AX130" s="63" t="e">
        <f t="shared" si="126"/>
        <v>#DIV/0!</v>
      </c>
      <c r="AY130" s="63">
        <f t="shared" si="127"/>
        <v>188</v>
      </c>
      <c r="AZ130" s="63">
        <f t="shared" si="128"/>
        <v>372.33201581027674</v>
      </c>
      <c r="BA130" s="63">
        <f t="shared" si="143"/>
        <v>63.249999999999993</v>
      </c>
      <c r="BB130" s="63">
        <f t="shared" si="144"/>
        <v>235.5</v>
      </c>
      <c r="BC130" s="63" t="str">
        <f t="shared" si="145"/>
        <v>OK</v>
      </c>
      <c r="BD130" s="63">
        <f t="shared" si="129"/>
        <v>551.14725356910992</v>
      </c>
      <c r="BE130" s="63">
        <f t="shared" si="130"/>
        <v>304.23099999999999</v>
      </c>
      <c r="BF130" s="63">
        <f t="shared" si="131"/>
        <v>209.10299999999998</v>
      </c>
      <c r="BG130" s="63">
        <f t="shared" si="132"/>
        <v>296.46398660591598</v>
      </c>
      <c r="BH130" s="63">
        <f t="shared" si="133"/>
        <v>180.386</v>
      </c>
      <c r="BI130" s="63">
        <f t="shared" si="134"/>
        <v>180.386</v>
      </c>
      <c r="BJ130" s="63">
        <f t="shared" si="135"/>
        <v>180.386</v>
      </c>
      <c r="BK130" s="63" t="str">
        <f t="shared" si="136"/>
        <v>OK</v>
      </c>
      <c r="BL130" s="63">
        <f t="shared" si="137"/>
        <v>225.6</v>
      </c>
      <c r="BM130" s="63">
        <f t="shared" si="138"/>
        <v>376</v>
      </c>
      <c r="BN130" s="63">
        <f t="shared" si="139"/>
        <v>752</v>
      </c>
      <c r="BO130" s="63">
        <f t="shared" si="140"/>
        <v>1128</v>
      </c>
      <c r="BP130" s="63">
        <f t="shared" si="141"/>
        <v>47.563999999999993</v>
      </c>
      <c r="BQ130" s="63">
        <f t="shared" si="146"/>
        <v>77.321380583656236</v>
      </c>
      <c r="BR130" s="63" t="str">
        <f t="shared" si="147"/>
        <v>OK</v>
      </c>
      <c r="BW130" s="70">
        <f t="shared" si="122"/>
        <v>37.02600000000001</v>
      </c>
    </row>
    <row r="131" spans="4:104">
      <c r="D131" s="179" t="s">
        <v>90</v>
      </c>
      <c r="E131" s="179" t="s">
        <v>90</v>
      </c>
      <c r="F131" s="91" t="s">
        <v>15</v>
      </c>
      <c r="G131" s="78">
        <v>220</v>
      </c>
      <c r="H131" s="78">
        <v>450</v>
      </c>
      <c r="I131" s="92">
        <f t="shared" si="142"/>
        <v>103</v>
      </c>
      <c r="J131" s="93">
        <f t="shared" si="171"/>
        <v>347</v>
      </c>
      <c r="K131" s="94"/>
      <c r="L131" s="94"/>
      <c r="M131" s="94"/>
      <c r="N131" s="95">
        <f t="shared" si="112"/>
        <v>0</v>
      </c>
      <c r="O131" s="95">
        <f t="shared" si="172"/>
        <v>0</v>
      </c>
      <c r="P131" s="95">
        <f t="shared" si="173"/>
        <v>1</v>
      </c>
      <c r="Q131" s="96" t="str">
        <f t="shared" si="113"/>
        <v>Ok</v>
      </c>
      <c r="R131" s="97">
        <f t="shared" si="114"/>
        <v>0.76340000000000008</v>
      </c>
      <c r="S131" s="131">
        <f t="shared" si="123"/>
        <v>1.0000000000000002E-3</v>
      </c>
      <c r="T131" s="99">
        <v>3</v>
      </c>
      <c r="U131" s="100">
        <v>28</v>
      </c>
      <c r="V131" s="101" t="str">
        <f t="shared" si="115"/>
        <v>+</v>
      </c>
      <c r="W131" s="99">
        <v>3</v>
      </c>
      <c r="X131" s="100">
        <v>28</v>
      </c>
      <c r="Y131" s="102">
        <f t="shared" si="174"/>
        <v>36.945129606215971</v>
      </c>
      <c r="Z131" s="103" t="str">
        <f t="shared" si="116"/>
        <v>Ok</v>
      </c>
      <c r="AA131" s="93">
        <f t="shared" si="148"/>
        <v>499.2764795332306</v>
      </c>
      <c r="AB131" s="93">
        <f t="shared" si="175"/>
        <v>232.19110220366545</v>
      </c>
      <c r="AC131" s="89" t="str">
        <f t="shared" si="149"/>
        <v>Ok</v>
      </c>
      <c r="AD131" s="98">
        <f t="shared" si="176"/>
        <v>3.7318312733551483E-2</v>
      </c>
      <c r="AE131" s="98">
        <f t="shared" si="117"/>
        <v>1.9281988961466403E-2</v>
      </c>
      <c r="AF131" s="104" t="str">
        <f t="shared" si="177"/>
        <v>No-Ok</v>
      </c>
      <c r="AG131" s="100">
        <v>10</v>
      </c>
      <c r="AH131" s="105">
        <v>2</v>
      </c>
      <c r="AI131" s="105">
        <v>200</v>
      </c>
      <c r="AJ131" s="104">
        <f t="shared" si="118"/>
        <v>7.8500000000000005</v>
      </c>
      <c r="AK131" s="60" t="str">
        <f t="shared" si="119"/>
        <v>OK</v>
      </c>
      <c r="AL131" s="109">
        <f t="shared" si="120"/>
        <v>300</v>
      </c>
      <c r="AT131" s="133" t="str">
        <f t="shared" si="121"/>
        <v>no need</v>
      </c>
      <c r="AV131" s="61">
        <f t="shared" si="124"/>
        <v>389.334</v>
      </c>
      <c r="AW131" s="61" t="str">
        <f t="shared" si="125"/>
        <v>OK</v>
      </c>
      <c r="AX131" s="63" t="e">
        <f t="shared" si="126"/>
        <v>#DIV/0!</v>
      </c>
      <c r="AY131" s="63">
        <f t="shared" si="127"/>
        <v>173.5</v>
      </c>
      <c r="AZ131" s="63">
        <f t="shared" si="128"/>
        <v>372.33201581027674</v>
      </c>
      <c r="BA131" s="63">
        <f t="shared" si="143"/>
        <v>63.249999999999993</v>
      </c>
      <c r="BB131" s="63">
        <f t="shared" si="144"/>
        <v>235.5</v>
      </c>
      <c r="BC131" s="63" t="str">
        <f t="shared" si="145"/>
        <v>OK</v>
      </c>
      <c r="BD131" s="63">
        <f t="shared" si="129"/>
        <v>508.63855582042862</v>
      </c>
      <c r="BE131" s="63">
        <f t="shared" si="130"/>
        <v>280.76637499999998</v>
      </c>
      <c r="BF131" s="63">
        <f t="shared" si="131"/>
        <v>192.97537499999996</v>
      </c>
      <c r="BG131" s="63">
        <f t="shared" si="132"/>
        <v>273.59841317088518</v>
      </c>
      <c r="BH131" s="63">
        <f t="shared" si="133"/>
        <v>166.47324999999998</v>
      </c>
      <c r="BI131" s="63">
        <f t="shared" si="134"/>
        <v>166.47324999999998</v>
      </c>
      <c r="BJ131" s="63">
        <f t="shared" si="135"/>
        <v>166.47324999999998</v>
      </c>
      <c r="BK131" s="63" t="str">
        <f t="shared" si="136"/>
        <v>OK</v>
      </c>
      <c r="BL131" s="63">
        <f t="shared" si="137"/>
        <v>208.2</v>
      </c>
      <c r="BM131" s="63">
        <f t="shared" si="138"/>
        <v>347</v>
      </c>
      <c r="BN131" s="63">
        <f t="shared" si="139"/>
        <v>694</v>
      </c>
      <c r="BO131" s="63">
        <f t="shared" si="140"/>
        <v>1041</v>
      </c>
      <c r="BP131" s="63">
        <f t="shared" si="141"/>
        <v>43.895499999999991</v>
      </c>
      <c r="BQ131" s="63">
        <f t="shared" si="146"/>
        <v>288.57056692767077</v>
      </c>
      <c r="BR131" s="63" t="str">
        <f t="shared" si="147"/>
        <v>OK</v>
      </c>
      <c r="BW131" s="70">
        <f t="shared" si="122"/>
        <v>37.02600000000001</v>
      </c>
    </row>
    <row r="132" spans="4:104">
      <c r="D132" s="180"/>
      <c r="E132" s="180"/>
      <c r="F132" s="106" t="s">
        <v>16</v>
      </c>
      <c r="G132" s="78">
        <v>220</v>
      </c>
      <c r="H132" s="78">
        <v>450</v>
      </c>
      <c r="I132" s="92">
        <f t="shared" si="142"/>
        <v>97</v>
      </c>
      <c r="J132" s="93">
        <f t="shared" si="171"/>
        <v>353</v>
      </c>
      <c r="K132" s="94"/>
      <c r="L132" s="94"/>
      <c r="M132" s="94"/>
      <c r="N132" s="95">
        <f t="shared" si="112"/>
        <v>0</v>
      </c>
      <c r="O132" s="95">
        <f t="shared" si="172"/>
        <v>0</v>
      </c>
      <c r="P132" s="95">
        <f t="shared" si="173"/>
        <v>1</v>
      </c>
      <c r="Q132" s="96" t="str">
        <f t="shared" si="113"/>
        <v>Ok</v>
      </c>
      <c r="R132" s="97">
        <f t="shared" si="114"/>
        <v>0.77659999999999996</v>
      </c>
      <c r="S132" s="131">
        <f t="shared" si="123"/>
        <v>1E-3</v>
      </c>
      <c r="T132" s="99">
        <v>3</v>
      </c>
      <c r="U132" s="100">
        <v>22</v>
      </c>
      <c r="V132" s="101" t="str">
        <f t="shared" si="115"/>
        <v>+</v>
      </c>
      <c r="W132" s="99">
        <v>3</v>
      </c>
      <c r="X132" s="100">
        <v>22</v>
      </c>
      <c r="Y132" s="102">
        <f t="shared" si="174"/>
        <v>22.807962665061901</v>
      </c>
      <c r="Z132" s="103" t="str">
        <f t="shared" si="116"/>
        <v>Ok</v>
      </c>
      <c r="AA132" s="93">
        <f t="shared" si="148"/>
        <v>222.92418458863807</v>
      </c>
      <c r="AB132" s="93">
        <f t="shared" si="175"/>
        <v>246.815216009041</v>
      </c>
      <c r="AC132" s="89" t="str">
        <f t="shared" si="149"/>
        <v>Ok</v>
      </c>
      <c r="AD132" s="98">
        <f t="shared" si="176"/>
        <v>2.3038346126325153E-2</v>
      </c>
      <c r="AE132" s="98">
        <f t="shared" si="117"/>
        <v>1.9281988961466403E-2</v>
      </c>
      <c r="AF132" s="104" t="str">
        <f t="shared" si="177"/>
        <v>No-Ok</v>
      </c>
      <c r="AG132" s="100">
        <v>10</v>
      </c>
      <c r="AH132" s="105">
        <v>2</v>
      </c>
      <c r="AI132" s="105">
        <v>200</v>
      </c>
      <c r="AJ132" s="104">
        <f t="shared" si="118"/>
        <v>7.8500000000000005</v>
      </c>
      <c r="AK132" s="60" t="str">
        <f t="shared" si="119"/>
        <v>OK</v>
      </c>
      <c r="AL132" s="109">
        <f t="shared" si="120"/>
        <v>300</v>
      </c>
      <c r="AT132" s="133" t="str">
        <f t="shared" si="121"/>
        <v>no need</v>
      </c>
      <c r="AV132" s="61">
        <f t="shared" si="124"/>
        <v>396.06599999999997</v>
      </c>
      <c r="AW132" s="61" t="str">
        <f t="shared" si="125"/>
        <v>OK</v>
      </c>
      <c r="AX132" s="63" t="e">
        <f t="shared" si="126"/>
        <v>#DIV/0!</v>
      </c>
      <c r="AY132" s="63">
        <f t="shared" si="127"/>
        <v>176.5</v>
      </c>
      <c r="AZ132" s="63">
        <f t="shared" si="128"/>
        <v>372.33201581027674</v>
      </c>
      <c r="BA132" s="63">
        <f t="shared" si="143"/>
        <v>63.249999999999993</v>
      </c>
      <c r="BB132" s="63">
        <f t="shared" si="144"/>
        <v>235.5</v>
      </c>
      <c r="BC132" s="63" t="str">
        <f t="shared" si="145"/>
        <v>OK</v>
      </c>
      <c r="BD132" s="63">
        <f t="shared" si="129"/>
        <v>517.4334588029144</v>
      </c>
      <c r="BE132" s="63">
        <f t="shared" si="130"/>
        <v>285.62112500000001</v>
      </c>
      <c r="BF132" s="63">
        <f t="shared" si="131"/>
        <v>196.31212499999998</v>
      </c>
      <c r="BG132" s="63">
        <f t="shared" si="132"/>
        <v>278.3292214677881</v>
      </c>
      <c r="BH132" s="63">
        <f t="shared" si="133"/>
        <v>169.35174999999998</v>
      </c>
      <c r="BI132" s="63">
        <f t="shared" si="134"/>
        <v>169.35174999999998</v>
      </c>
      <c r="BJ132" s="63">
        <f t="shared" si="135"/>
        <v>169.35174999999998</v>
      </c>
      <c r="BK132" s="63" t="str">
        <f t="shared" si="136"/>
        <v>OK</v>
      </c>
      <c r="BL132" s="63">
        <f t="shared" si="137"/>
        <v>211.79999999999998</v>
      </c>
      <c r="BM132" s="63">
        <f t="shared" si="138"/>
        <v>353</v>
      </c>
      <c r="BN132" s="63">
        <f t="shared" si="139"/>
        <v>706</v>
      </c>
      <c r="BO132" s="63">
        <f t="shared" si="140"/>
        <v>1059</v>
      </c>
      <c r="BP132" s="63">
        <f t="shared" si="141"/>
        <v>44.654499999999992</v>
      </c>
      <c r="BQ132" s="63">
        <f t="shared" si="146"/>
        <v>516.07959270692425</v>
      </c>
      <c r="BR132" s="63" t="str">
        <f t="shared" si="147"/>
        <v>OK</v>
      </c>
      <c r="BW132" s="70">
        <f t="shared" si="122"/>
        <v>37.02600000000001</v>
      </c>
    </row>
    <row r="133" spans="4:104">
      <c r="D133" s="181"/>
      <c r="E133" s="181"/>
      <c r="F133" s="91" t="s">
        <v>15</v>
      </c>
      <c r="G133" s="78">
        <v>220</v>
      </c>
      <c r="H133" s="78">
        <v>450</v>
      </c>
      <c r="I133" s="92">
        <f t="shared" si="142"/>
        <v>97</v>
      </c>
      <c r="J133" s="93">
        <f t="shared" si="171"/>
        <v>353</v>
      </c>
      <c r="K133" s="94"/>
      <c r="L133" s="94"/>
      <c r="M133" s="94"/>
      <c r="N133" s="95">
        <f t="shared" si="112"/>
        <v>0</v>
      </c>
      <c r="O133" s="95">
        <f t="shared" si="172"/>
        <v>0</v>
      </c>
      <c r="P133" s="95">
        <f t="shared" si="173"/>
        <v>1</v>
      </c>
      <c r="Q133" s="96" t="str">
        <f t="shared" si="113"/>
        <v>Ok</v>
      </c>
      <c r="R133" s="97">
        <f t="shared" si="114"/>
        <v>0.77659999999999996</v>
      </c>
      <c r="S133" s="131">
        <f t="shared" si="123"/>
        <v>1E-3</v>
      </c>
      <c r="T133" s="99">
        <v>3</v>
      </c>
      <c r="U133" s="100">
        <v>22</v>
      </c>
      <c r="V133" s="101" t="str">
        <f t="shared" si="115"/>
        <v>+</v>
      </c>
      <c r="W133" s="99">
        <v>3</v>
      </c>
      <c r="X133" s="100">
        <v>22</v>
      </c>
      <c r="Y133" s="102">
        <f t="shared" si="174"/>
        <v>22.807962665061901</v>
      </c>
      <c r="Z133" s="103" t="str">
        <f t="shared" si="116"/>
        <v>Ok</v>
      </c>
      <c r="AA133" s="93">
        <f t="shared" si="148"/>
        <v>222.92418458863807</v>
      </c>
      <c r="AB133" s="93">
        <f t="shared" si="175"/>
        <v>246.815216009041</v>
      </c>
      <c r="AC133" s="89" t="str">
        <f t="shared" si="149"/>
        <v>Ok</v>
      </c>
      <c r="AD133" s="98">
        <f t="shared" si="176"/>
        <v>2.3038346126325153E-2</v>
      </c>
      <c r="AE133" s="98">
        <f t="shared" si="117"/>
        <v>1.9281988961466403E-2</v>
      </c>
      <c r="AF133" s="104" t="str">
        <f t="shared" si="177"/>
        <v>No-Ok</v>
      </c>
      <c r="AG133" s="100">
        <v>10</v>
      </c>
      <c r="AH133" s="105">
        <v>2</v>
      </c>
      <c r="AI133" s="105">
        <v>200</v>
      </c>
      <c r="AJ133" s="104">
        <f t="shared" si="118"/>
        <v>7.8500000000000005</v>
      </c>
      <c r="AK133" s="60" t="str">
        <f t="shared" si="119"/>
        <v>OK</v>
      </c>
      <c r="AL133" s="109">
        <f t="shared" si="120"/>
        <v>300</v>
      </c>
      <c r="AT133" s="133" t="str">
        <f t="shared" si="121"/>
        <v>no need</v>
      </c>
      <c r="AV133" s="61">
        <f t="shared" si="124"/>
        <v>396.06599999999997</v>
      </c>
      <c r="AW133" s="61" t="str">
        <f t="shared" si="125"/>
        <v>OK</v>
      </c>
      <c r="AX133" s="63" t="e">
        <f t="shared" si="126"/>
        <v>#DIV/0!</v>
      </c>
      <c r="AY133" s="63">
        <f t="shared" si="127"/>
        <v>176.5</v>
      </c>
      <c r="AZ133" s="63">
        <f t="shared" si="128"/>
        <v>372.33201581027674</v>
      </c>
      <c r="BA133" s="63">
        <f t="shared" si="143"/>
        <v>63.249999999999993</v>
      </c>
      <c r="BB133" s="63">
        <f t="shared" si="144"/>
        <v>235.5</v>
      </c>
      <c r="BC133" s="63" t="str">
        <f t="shared" si="145"/>
        <v>OK</v>
      </c>
      <c r="BD133" s="63">
        <f t="shared" si="129"/>
        <v>517.4334588029144</v>
      </c>
      <c r="BE133" s="63">
        <f t="shared" si="130"/>
        <v>285.62112500000001</v>
      </c>
      <c r="BF133" s="63">
        <f t="shared" si="131"/>
        <v>196.31212499999998</v>
      </c>
      <c r="BG133" s="63">
        <f t="shared" si="132"/>
        <v>278.3292214677881</v>
      </c>
      <c r="BH133" s="63">
        <f t="shared" si="133"/>
        <v>169.35174999999998</v>
      </c>
      <c r="BI133" s="63">
        <f t="shared" si="134"/>
        <v>169.35174999999998</v>
      </c>
      <c r="BJ133" s="63">
        <f t="shared" si="135"/>
        <v>169.35174999999998</v>
      </c>
      <c r="BK133" s="63" t="str">
        <f t="shared" si="136"/>
        <v>OK</v>
      </c>
      <c r="BL133" s="63">
        <f t="shared" si="137"/>
        <v>211.79999999999998</v>
      </c>
      <c r="BM133" s="63">
        <f t="shared" si="138"/>
        <v>353</v>
      </c>
      <c r="BN133" s="63">
        <f t="shared" si="139"/>
        <v>706</v>
      </c>
      <c r="BO133" s="63">
        <f t="shared" si="140"/>
        <v>1059</v>
      </c>
      <c r="BP133" s="63">
        <f t="shared" si="141"/>
        <v>44.654499999999992</v>
      </c>
      <c r="BQ133" s="63">
        <f t="shared" si="146"/>
        <v>329.87761338302221</v>
      </c>
      <c r="BR133" s="63" t="str">
        <f t="shared" si="147"/>
        <v>OK</v>
      </c>
      <c r="BW133" s="70">
        <f t="shared" si="122"/>
        <v>37.02600000000001</v>
      </c>
    </row>
    <row r="134" spans="4:104">
      <c r="D134" s="176" t="s">
        <v>90</v>
      </c>
      <c r="E134" s="176" t="s">
        <v>90</v>
      </c>
      <c r="F134" s="67" t="s">
        <v>15</v>
      </c>
      <c r="G134" s="78">
        <v>220</v>
      </c>
      <c r="H134" s="78">
        <v>450</v>
      </c>
      <c r="I134" s="79">
        <f t="shared" si="142"/>
        <v>97</v>
      </c>
      <c r="J134" s="80">
        <f t="shared" si="171"/>
        <v>353</v>
      </c>
      <c r="K134" s="81"/>
      <c r="L134" s="81"/>
      <c r="M134" s="81"/>
      <c r="N134" s="82">
        <f t="shared" si="112"/>
        <v>0</v>
      </c>
      <c r="O134" s="82">
        <f t="shared" si="172"/>
        <v>0</v>
      </c>
      <c r="P134" s="82">
        <f t="shared" si="173"/>
        <v>1</v>
      </c>
      <c r="Q134" s="83" t="str">
        <f t="shared" si="113"/>
        <v>Ok</v>
      </c>
      <c r="R134" s="84">
        <f t="shared" si="114"/>
        <v>0.77659999999999996</v>
      </c>
      <c r="S134" s="131">
        <f t="shared" si="123"/>
        <v>1E-3</v>
      </c>
      <c r="T134" s="86">
        <v>3</v>
      </c>
      <c r="U134" s="77">
        <v>22</v>
      </c>
      <c r="V134" s="87" t="str">
        <f t="shared" si="115"/>
        <v>+</v>
      </c>
      <c r="W134" s="86">
        <v>3</v>
      </c>
      <c r="X134" s="77">
        <v>22</v>
      </c>
      <c r="Y134" s="88">
        <f t="shared" si="174"/>
        <v>22.807962665061901</v>
      </c>
      <c r="Z134" s="89" t="str">
        <f t="shared" si="116"/>
        <v>Ok</v>
      </c>
      <c r="AA134" s="80">
        <f t="shared" si="148"/>
        <v>157.98139527665879</v>
      </c>
      <c r="AB134" s="80">
        <f t="shared" si="175"/>
        <v>258.3989793884802</v>
      </c>
      <c r="AC134" s="89" t="str">
        <f t="shared" si="149"/>
        <v>Ok</v>
      </c>
      <c r="AD134" s="85">
        <f t="shared" si="176"/>
        <v>2.3038346126325153E-2</v>
      </c>
      <c r="AE134" s="85">
        <f t="shared" si="117"/>
        <v>1.9281988961466403E-2</v>
      </c>
      <c r="AF134" s="60" t="str">
        <f t="shared" si="177"/>
        <v>No-Ok</v>
      </c>
      <c r="AG134" s="77">
        <v>10</v>
      </c>
      <c r="AH134" s="76">
        <v>2</v>
      </c>
      <c r="AI134" s="76">
        <v>200</v>
      </c>
      <c r="AJ134" s="60">
        <f t="shared" si="118"/>
        <v>7.8500000000000005</v>
      </c>
      <c r="AK134" s="60" t="str">
        <f t="shared" si="119"/>
        <v>OK</v>
      </c>
      <c r="AL134" s="109">
        <f t="shared" si="120"/>
        <v>300</v>
      </c>
      <c r="AT134" s="133" t="str">
        <f t="shared" si="121"/>
        <v>no need</v>
      </c>
      <c r="AV134" s="61">
        <f t="shared" si="124"/>
        <v>396.06599999999997</v>
      </c>
      <c r="AW134" s="61" t="str">
        <f t="shared" si="125"/>
        <v>OK</v>
      </c>
      <c r="AX134" s="63" t="e">
        <f t="shared" si="126"/>
        <v>#DIV/0!</v>
      </c>
      <c r="AY134" s="63">
        <f t="shared" si="127"/>
        <v>176.5</v>
      </c>
      <c r="AZ134" s="63">
        <f t="shared" si="128"/>
        <v>372.33201581027674</v>
      </c>
      <c r="BA134" s="63">
        <f t="shared" si="143"/>
        <v>63.249999999999993</v>
      </c>
      <c r="BB134" s="63">
        <f t="shared" si="144"/>
        <v>235.5</v>
      </c>
      <c r="BC134" s="63" t="str">
        <f t="shared" si="145"/>
        <v>OK</v>
      </c>
      <c r="BD134" s="63">
        <f t="shared" si="129"/>
        <v>517.4334588029144</v>
      </c>
      <c r="BE134" s="63">
        <f t="shared" si="130"/>
        <v>285.62112500000001</v>
      </c>
      <c r="BF134" s="63">
        <f t="shared" si="131"/>
        <v>196.31212499999998</v>
      </c>
      <c r="BG134" s="63">
        <f t="shared" si="132"/>
        <v>278.3292214677881</v>
      </c>
      <c r="BH134" s="63">
        <f t="shared" si="133"/>
        <v>169.35174999999998</v>
      </c>
      <c r="BI134" s="63">
        <f t="shared" si="134"/>
        <v>169.35174999999998</v>
      </c>
      <c r="BJ134" s="63">
        <f t="shared" si="135"/>
        <v>169.35174999999998</v>
      </c>
      <c r="BK134" s="63" t="str">
        <f t="shared" si="136"/>
        <v>OK</v>
      </c>
      <c r="BL134" s="63">
        <f t="shared" si="137"/>
        <v>211.79999999999998</v>
      </c>
      <c r="BM134" s="63">
        <f t="shared" si="138"/>
        <v>353</v>
      </c>
      <c r="BN134" s="63">
        <f t="shared" si="139"/>
        <v>706</v>
      </c>
      <c r="BO134" s="63">
        <f t="shared" si="140"/>
        <v>1059</v>
      </c>
      <c r="BP134" s="63">
        <f t="shared" si="141"/>
        <v>44.654499999999992</v>
      </c>
      <c r="BQ134" s="63">
        <f t="shared" si="146"/>
        <v>329.87761338302221</v>
      </c>
      <c r="BR134" s="63" t="str">
        <f t="shared" si="147"/>
        <v>OK</v>
      </c>
      <c r="BW134" s="70">
        <f t="shared" si="122"/>
        <v>37.02600000000001</v>
      </c>
    </row>
    <row r="135" spans="4:104">
      <c r="D135" s="177"/>
      <c r="E135" s="177"/>
      <c r="F135" s="68" t="s">
        <v>16</v>
      </c>
      <c r="G135" s="78">
        <v>220</v>
      </c>
      <c r="H135" s="78">
        <v>450</v>
      </c>
      <c r="I135" s="79">
        <f t="shared" si="142"/>
        <v>100</v>
      </c>
      <c r="J135" s="80">
        <f t="shared" si="171"/>
        <v>350</v>
      </c>
      <c r="K135" s="81"/>
      <c r="L135" s="81"/>
      <c r="M135" s="81"/>
      <c r="N135" s="82">
        <f t="shared" si="112"/>
        <v>0</v>
      </c>
      <c r="O135" s="82">
        <f t="shared" si="172"/>
        <v>0</v>
      </c>
      <c r="P135" s="82">
        <f t="shared" si="173"/>
        <v>1</v>
      </c>
      <c r="Q135" s="83" t="str">
        <f t="shared" si="113"/>
        <v>Ok</v>
      </c>
      <c r="R135" s="84">
        <f t="shared" si="114"/>
        <v>0.77</v>
      </c>
      <c r="S135" s="131">
        <f t="shared" si="123"/>
        <v>1E-3</v>
      </c>
      <c r="T135" s="86">
        <v>3</v>
      </c>
      <c r="U135" s="77">
        <v>25</v>
      </c>
      <c r="V135" s="87" t="str">
        <f t="shared" si="115"/>
        <v>+</v>
      </c>
      <c r="W135" s="86">
        <v>3</v>
      </c>
      <c r="X135" s="77">
        <v>25</v>
      </c>
      <c r="Y135" s="88">
        <f t="shared" si="174"/>
        <v>29.45243112740431</v>
      </c>
      <c r="Z135" s="89" t="str">
        <f t="shared" si="116"/>
        <v>Ok</v>
      </c>
      <c r="AA135" s="80">
        <f t="shared" si="148"/>
        <v>214.63361574030029</v>
      </c>
      <c r="AB135" s="80">
        <f t="shared" si="175"/>
        <v>314.38983440715214</v>
      </c>
      <c r="AC135" s="89" t="str">
        <f t="shared" si="149"/>
        <v>Ok</v>
      </c>
      <c r="AD135" s="85">
        <f t="shared" si="176"/>
        <v>2.9749930431721527E-2</v>
      </c>
      <c r="AE135" s="85">
        <f t="shared" si="117"/>
        <v>1.9281988961466403E-2</v>
      </c>
      <c r="AF135" s="60" t="str">
        <f t="shared" si="177"/>
        <v>No-Ok</v>
      </c>
      <c r="AG135" s="77">
        <v>10</v>
      </c>
      <c r="AH135" s="76">
        <v>2</v>
      </c>
      <c r="AI135" s="76">
        <v>200</v>
      </c>
      <c r="AJ135" s="60">
        <f t="shared" si="118"/>
        <v>7.8500000000000005</v>
      </c>
      <c r="AK135" s="60" t="str">
        <f t="shared" si="119"/>
        <v>OK</v>
      </c>
      <c r="AL135" s="109">
        <f t="shared" si="120"/>
        <v>300</v>
      </c>
      <c r="AT135" s="133" t="str">
        <f t="shared" si="121"/>
        <v>no need</v>
      </c>
      <c r="AV135" s="61">
        <f t="shared" si="124"/>
        <v>392.7</v>
      </c>
      <c r="AW135" s="61" t="str">
        <f t="shared" si="125"/>
        <v>OK</v>
      </c>
      <c r="AX135" s="63" t="e">
        <f t="shared" si="126"/>
        <v>#DIV/0!</v>
      </c>
      <c r="AY135" s="63">
        <f t="shared" si="127"/>
        <v>175</v>
      </c>
      <c r="AZ135" s="63">
        <f t="shared" si="128"/>
        <v>372.33201581027674</v>
      </c>
      <c r="BA135" s="63">
        <f t="shared" si="143"/>
        <v>63.249999999999993</v>
      </c>
      <c r="BB135" s="63">
        <f t="shared" si="144"/>
        <v>235.5</v>
      </c>
      <c r="BC135" s="63" t="str">
        <f t="shared" si="145"/>
        <v>OK</v>
      </c>
      <c r="BD135" s="63">
        <f t="shared" si="129"/>
        <v>513.03600731167148</v>
      </c>
      <c r="BE135" s="63">
        <f t="shared" si="130"/>
        <v>283.19375000000002</v>
      </c>
      <c r="BF135" s="63">
        <f t="shared" si="131"/>
        <v>194.64374999999995</v>
      </c>
      <c r="BG135" s="63">
        <f t="shared" si="132"/>
        <v>275.96381731933667</v>
      </c>
      <c r="BH135" s="63">
        <f t="shared" si="133"/>
        <v>167.91249999999999</v>
      </c>
      <c r="BI135" s="63">
        <f t="shared" si="134"/>
        <v>167.91249999999999</v>
      </c>
      <c r="BJ135" s="63">
        <f t="shared" si="135"/>
        <v>167.91249999999999</v>
      </c>
      <c r="BK135" s="63" t="str">
        <f t="shared" si="136"/>
        <v>OK</v>
      </c>
      <c r="BL135" s="63">
        <f t="shared" si="137"/>
        <v>210</v>
      </c>
      <c r="BM135" s="63">
        <f t="shared" si="138"/>
        <v>350</v>
      </c>
      <c r="BN135" s="63">
        <f t="shared" si="139"/>
        <v>700</v>
      </c>
      <c r="BO135" s="63">
        <f t="shared" si="140"/>
        <v>1050</v>
      </c>
      <c r="BP135" s="63">
        <f t="shared" si="141"/>
        <v>44.274999999999991</v>
      </c>
      <c r="BQ135" s="63">
        <f t="shared" si="146"/>
        <v>329.87761338302221</v>
      </c>
      <c r="BR135" s="63" t="str">
        <f t="shared" si="147"/>
        <v>OK</v>
      </c>
      <c r="BW135" s="70">
        <f t="shared" si="122"/>
        <v>37.02600000000001</v>
      </c>
    </row>
    <row r="136" spans="4:104">
      <c r="D136" s="178"/>
      <c r="E136" s="178"/>
      <c r="F136" s="67" t="s">
        <v>15</v>
      </c>
      <c r="G136" s="78">
        <v>220</v>
      </c>
      <c r="H136" s="78">
        <v>450</v>
      </c>
      <c r="I136" s="79">
        <f t="shared" si="142"/>
        <v>103</v>
      </c>
      <c r="J136" s="80">
        <f t="shared" si="171"/>
        <v>347</v>
      </c>
      <c r="K136" s="81"/>
      <c r="L136" s="81"/>
      <c r="M136" s="81"/>
      <c r="N136" s="82">
        <f t="shared" si="112"/>
        <v>0</v>
      </c>
      <c r="O136" s="82">
        <f t="shared" si="172"/>
        <v>0</v>
      </c>
      <c r="P136" s="82">
        <f t="shared" si="173"/>
        <v>1</v>
      </c>
      <c r="Q136" s="83" t="str">
        <f t="shared" si="113"/>
        <v>Ok</v>
      </c>
      <c r="R136" s="84">
        <f t="shared" si="114"/>
        <v>0.76340000000000008</v>
      </c>
      <c r="S136" s="131">
        <f t="shared" si="123"/>
        <v>1.0000000000000002E-3</v>
      </c>
      <c r="T136" s="86">
        <v>3</v>
      </c>
      <c r="U136" s="77">
        <v>28</v>
      </c>
      <c r="V136" s="87" t="str">
        <f t="shared" si="115"/>
        <v>+</v>
      </c>
      <c r="W136" s="86">
        <v>3</v>
      </c>
      <c r="X136" s="77">
        <v>28</v>
      </c>
      <c r="Y136" s="88">
        <f t="shared" si="174"/>
        <v>36.945129606215971</v>
      </c>
      <c r="Z136" s="89" t="str">
        <f t="shared" si="116"/>
        <v>Ok</v>
      </c>
      <c r="AA136" s="80">
        <f t="shared" si="148"/>
        <v>499.2764795332306</v>
      </c>
      <c r="AB136" s="80">
        <f t="shared" si="175"/>
        <v>232.19110220366545</v>
      </c>
      <c r="AC136" s="89" t="str">
        <f t="shared" si="149"/>
        <v>Ok</v>
      </c>
      <c r="AD136" s="85">
        <f t="shared" si="176"/>
        <v>3.7318312733551483E-2</v>
      </c>
      <c r="AE136" s="85">
        <f t="shared" si="117"/>
        <v>1.9281988961466403E-2</v>
      </c>
      <c r="AF136" s="60" t="str">
        <f t="shared" si="177"/>
        <v>No-Ok</v>
      </c>
      <c r="AG136" s="77">
        <v>10</v>
      </c>
      <c r="AH136" s="76">
        <v>2</v>
      </c>
      <c r="AI136" s="76">
        <v>200</v>
      </c>
      <c r="AJ136" s="60">
        <f t="shared" si="118"/>
        <v>7.8500000000000005</v>
      </c>
      <c r="AK136" s="60" t="str">
        <f t="shared" si="119"/>
        <v>OK</v>
      </c>
      <c r="AL136" s="109">
        <f t="shared" si="120"/>
        <v>300</v>
      </c>
      <c r="AT136" s="133" t="str">
        <f t="shared" si="121"/>
        <v>no need</v>
      </c>
      <c r="AV136" s="61">
        <f t="shared" si="124"/>
        <v>389.334</v>
      </c>
      <c r="AW136" s="61" t="str">
        <f t="shared" si="125"/>
        <v>OK</v>
      </c>
      <c r="AX136" s="63" t="e">
        <f t="shared" si="126"/>
        <v>#DIV/0!</v>
      </c>
      <c r="AY136" s="63">
        <f t="shared" si="127"/>
        <v>173.5</v>
      </c>
      <c r="AZ136" s="63">
        <f t="shared" si="128"/>
        <v>372.33201581027674</v>
      </c>
      <c r="BA136" s="63">
        <f t="shared" si="143"/>
        <v>63.249999999999993</v>
      </c>
      <c r="BB136" s="63">
        <f t="shared" si="144"/>
        <v>235.5</v>
      </c>
      <c r="BC136" s="63" t="str">
        <f t="shared" si="145"/>
        <v>OK</v>
      </c>
      <c r="BD136" s="63">
        <f t="shared" si="129"/>
        <v>508.63855582042862</v>
      </c>
      <c r="BE136" s="63">
        <f t="shared" si="130"/>
        <v>280.76637499999998</v>
      </c>
      <c r="BF136" s="63">
        <f t="shared" si="131"/>
        <v>192.97537499999996</v>
      </c>
      <c r="BG136" s="63">
        <f t="shared" si="132"/>
        <v>273.59841317088518</v>
      </c>
      <c r="BH136" s="63">
        <f t="shared" si="133"/>
        <v>166.47324999999998</v>
      </c>
      <c r="BI136" s="63">
        <f t="shared" si="134"/>
        <v>166.47324999999998</v>
      </c>
      <c r="BJ136" s="63">
        <f t="shared" si="135"/>
        <v>166.47324999999998</v>
      </c>
      <c r="BK136" s="63" t="str">
        <f t="shared" si="136"/>
        <v>OK</v>
      </c>
      <c r="BL136" s="63">
        <f t="shared" si="137"/>
        <v>208.2</v>
      </c>
      <c r="BM136" s="63">
        <f t="shared" si="138"/>
        <v>347</v>
      </c>
      <c r="BN136" s="63">
        <f t="shared" si="139"/>
        <v>694</v>
      </c>
      <c r="BO136" s="63">
        <f t="shared" si="140"/>
        <v>1041</v>
      </c>
      <c r="BP136" s="63">
        <f t="shared" si="141"/>
        <v>43.895499999999991</v>
      </c>
      <c r="BQ136" s="63">
        <f t="shared" si="146"/>
        <v>417.99631252325759</v>
      </c>
      <c r="BR136" s="63" t="str">
        <f t="shared" si="147"/>
        <v>OK</v>
      </c>
      <c r="BW136" s="70">
        <f t="shared" si="122"/>
        <v>37.02600000000001</v>
      </c>
    </row>
    <row r="137" spans="4:104">
      <c r="D137" s="179" t="s">
        <v>90</v>
      </c>
      <c r="E137" s="179" t="s">
        <v>90</v>
      </c>
      <c r="F137" s="91" t="s">
        <v>15</v>
      </c>
      <c r="G137" s="78">
        <v>220</v>
      </c>
      <c r="H137" s="78">
        <v>450</v>
      </c>
      <c r="I137" s="92">
        <f t="shared" si="142"/>
        <v>97</v>
      </c>
      <c r="J137" s="93">
        <f t="shared" si="171"/>
        <v>353</v>
      </c>
      <c r="K137" s="94"/>
      <c r="L137" s="94"/>
      <c r="M137" s="94"/>
      <c r="N137" s="95">
        <f t="shared" si="112"/>
        <v>0</v>
      </c>
      <c r="O137" s="95">
        <f t="shared" si="172"/>
        <v>0</v>
      </c>
      <c r="P137" s="95">
        <f t="shared" si="173"/>
        <v>1</v>
      </c>
      <c r="Q137" s="96" t="str">
        <f t="shared" si="113"/>
        <v>Ok</v>
      </c>
      <c r="R137" s="97">
        <f t="shared" si="114"/>
        <v>0.77659999999999996</v>
      </c>
      <c r="S137" s="131">
        <f t="shared" si="123"/>
        <v>1E-3</v>
      </c>
      <c r="T137" s="99">
        <v>3</v>
      </c>
      <c r="U137" s="100">
        <v>22</v>
      </c>
      <c r="V137" s="101" t="str">
        <f t="shared" si="115"/>
        <v>+</v>
      </c>
      <c r="W137" s="99">
        <v>3</v>
      </c>
      <c r="X137" s="100">
        <v>22</v>
      </c>
      <c r="Y137" s="102">
        <f t="shared" si="174"/>
        <v>22.807962665061901</v>
      </c>
      <c r="Z137" s="103" t="str">
        <f t="shared" si="116"/>
        <v>Ok</v>
      </c>
      <c r="AA137" s="93">
        <f t="shared" si="148"/>
        <v>157.98139527665879</v>
      </c>
      <c r="AB137" s="93">
        <f t="shared" si="175"/>
        <v>258.3989793884802</v>
      </c>
      <c r="AC137" s="89" t="str">
        <f t="shared" si="149"/>
        <v>Ok</v>
      </c>
      <c r="AD137" s="98">
        <f t="shared" si="176"/>
        <v>2.3038346126325153E-2</v>
      </c>
      <c r="AE137" s="98">
        <f t="shared" si="117"/>
        <v>1.9281988961466403E-2</v>
      </c>
      <c r="AF137" s="104" t="str">
        <f t="shared" si="177"/>
        <v>No-Ok</v>
      </c>
      <c r="AG137" s="100">
        <v>10</v>
      </c>
      <c r="AH137" s="105">
        <v>2</v>
      </c>
      <c r="AI137" s="105">
        <v>200</v>
      </c>
      <c r="AJ137" s="104">
        <f t="shared" si="118"/>
        <v>7.8500000000000005</v>
      </c>
      <c r="AK137" s="60" t="str">
        <f t="shared" si="119"/>
        <v>OK</v>
      </c>
      <c r="AL137" s="109">
        <f t="shared" si="120"/>
        <v>300</v>
      </c>
      <c r="AT137" s="133" t="str">
        <f t="shared" si="121"/>
        <v>no need</v>
      </c>
      <c r="AV137" s="61">
        <f t="shared" si="124"/>
        <v>396.06599999999997</v>
      </c>
      <c r="AW137" s="61" t="str">
        <f t="shared" si="125"/>
        <v>OK</v>
      </c>
      <c r="AX137" s="63" t="e">
        <f t="shared" si="126"/>
        <v>#DIV/0!</v>
      </c>
      <c r="AY137" s="63">
        <f t="shared" si="127"/>
        <v>176.5</v>
      </c>
      <c r="AZ137" s="63">
        <f t="shared" si="128"/>
        <v>372.33201581027674</v>
      </c>
      <c r="BA137" s="63">
        <f t="shared" si="143"/>
        <v>63.249999999999993</v>
      </c>
      <c r="BB137" s="63">
        <f t="shared" si="144"/>
        <v>235.5</v>
      </c>
      <c r="BC137" s="63" t="str">
        <f t="shared" si="145"/>
        <v>OK</v>
      </c>
      <c r="BD137" s="63">
        <f t="shared" si="129"/>
        <v>517.4334588029144</v>
      </c>
      <c r="BE137" s="63">
        <f t="shared" si="130"/>
        <v>285.62112500000001</v>
      </c>
      <c r="BF137" s="63">
        <f t="shared" si="131"/>
        <v>196.31212499999998</v>
      </c>
      <c r="BG137" s="63">
        <f t="shared" si="132"/>
        <v>278.3292214677881</v>
      </c>
      <c r="BH137" s="63">
        <f t="shared" si="133"/>
        <v>169.35174999999998</v>
      </c>
      <c r="BI137" s="63">
        <f t="shared" si="134"/>
        <v>169.35174999999998</v>
      </c>
      <c r="BJ137" s="63">
        <f t="shared" si="135"/>
        <v>169.35174999999998</v>
      </c>
      <c r="BK137" s="63" t="str">
        <f t="shared" si="136"/>
        <v>OK</v>
      </c>
      <c r="BL137" s="63">
        <f t="shared" si="137"/>
        <v>211.79999999999998</v>
      </c>
      <c r="BM137" s="63">
        <f t="shared" si="138"/>
        <v>353</v>
      </c>
      <c r="BN137" s="63">
        <f t="shared" si="139"/>
        <v>706</v>
      </c>
      <c r="BO137" s="63">
        <f t="shared" si="140"/>
        <v>1059</v>
      </c>
      <c r="BP137" s="63">
        <f t="shared" si="141"/>
        <v>44.654499999999992</v>
      </c>
      <c r="BQ137" s="63">
        <f t="shared" si="146"/>
        <v>516.07959270692425</v>
      </c>
      <c r="BR137" s="63" t="str">
        <f t="shared" si="147"/>
        <v>OK</v>
      </c>
      <c r="BW137" s="70">
        <f t="shared" si="122"/>
        <v>37.02600000000001</v>
      </c>
    </row>
    <row r="138" spans="4:104">
      <c r="D138" s="180"/>
      <c r="E138" s="180"/>
      <c r="F138" s="106" t="s">
        <v>16</v>
      </c>
      <c r="G138" s="78">
        <v>220</v>
      </c>
      <c r="H138" s="78">
        <v>450</v>
      </c>
      <c r="I138" s="92">
        <f t="shared" si="142"/>
        <v>100</v>
      </c>
      <c r="J138" s="93">
        <f t="shared" si="171"/>
        <v>350</v>
      </c>
      <c r="K138" s="94"/>
      <c r="L138" s="94"/>
      <c r="M138" s="94"/>
      <c r="N138" s="95">
        <f t="shared" si="112"/>
        <v>0</v>
      </c>
      <c r="O138" s="95">
        <f t="shared" si="172"/>
        <v>0</v>
      </c>
      <c r="P138" s="95">
        <f t="shared" si="173"/>
        <v>1</v>
      </c>
      <c r="Q138" s="96" t="str">
        <f t="shared" si="113"/>
        <v>Ok</v>
      </c>
      <c r="R138" s="97">
        <f t="shared" si="114"/>
        <v>0.77</v>
      </c>
      <c r="S138" s="131">
        <f t="shared" si="123"/>
        <v>1E-3</v>
      </c>
      <c r="T138" s="99">
        <v>3</v>
      </c>
      <c r="U138" s="100">
        <v>25</v>
      </c>
      <c r="V138" s="101" t="str">
        <f t="shared" si="115"/>
        <v>+</v>
      </c>
      <c r="W138" s="99">
        <v>3</v>
      </c>
      <c r="X138" s="100">
        <v>25</v>
      </c>
      <c r="Y138" s="102">
        <f t="shared" si="174"/>
        <v>29.45243112740431</v>
      </c>
      <c r="Z138" s="103" t="str">
        <f t="shared" si="116"/>
        <v>Ok</v>
      </c>
      <c r="AA138" s="93">
        <f t="shared" si="148"/>
        <v>214.63361574030029</v>
      </c>
      <c r="AB138" s="93">
        <f t="shared" si="175"/>
        <v>314.38983440715214</v>
      </c>
      <c r="AC138" s="89" t="str">
        <f t="shared" si="149"/>
        <v>Ok</v>
      </c>
      <c r="AD138" s="98">
        <f t="shared" si="176"/>
        <v>2.9749930431721527E-2</v>
      </c>
      <c r="AE138" s="98">
        <f t="shared" si="117"/>
        <v>1.9281988961466403E-2</v>
      </c>
      <c r="AF138" s="104" t="str">
        <f t="shared" si="177"/>
        <v>No-Ok</v>
      </c>
      <c r="AG138" s="100">
        <v>10</v>
      </c>
      <c r="AH138" s="105">
        <v>2</v>
      </c>
      <c r="AI138" s="105">
        <v>200</v>
      </c>
      <c r="AJ138" s="104">
        <f t="shared" si="118"/>
        <v>7.8500000000000005</v>
      </c>
      <c r="AK138" s="60" t="str">
        <f t="shared" si="119"/>
        <v>OK</v>
      </c>
      <c r="AL138" s="109">
        <f t="shared" si="120"/>
        <v>300</v>
      </c>
      <c r="AT138" s="133" t="str">
        <f t="shared" si="121"/>
        <v>no need</v>
      </c>
      <c r="AV138" s="61">
        <f t="shared" si="124"/>
        <v>392.7</v>
      </c>
      <c r="AW138" s="61" t="str">
        <f t="shared" si="125"/>
        <v>OK</v>
      </c>
      <c r="AX138" s="63" t="e">
        <f t="shared" si="126"/>
        <v>#DIV/0!</v>
      </c>
      <c r="AY138" s="63">
        <f t="shared" si="127"/>
        <v>175</v>
      </c>
      <c r="AZ138" s="63">
        <f t="shared" si="128"/>
        <v>372.33201581027674</v>
      </c>
      <c r="BA138" s="63">
        <f t="shared" si="143"/>
        <v>63.249999999999993</v>
      </c>
      <c r="BB138" s="63">
        <f t="shared" si="144"/>
        <v>235.5</v>
      </c>
      <c r="BC138" s="63" t="str">
        <f t="shared" si="145"/>
        <v>OK</v>
      </c>
      <c r="BD138" s="63">
        <f t="shared" si="129"/>
        <v>513.03600731167148</v>
      </c>
      <c r="BE138" s="63">
        <f t="shared" si="130"/>
        <v>283.19375000000002</v>
      </c>
      <c r="BF138" s="63">
        <f t="shared" si="131"/>
        <v>194.64374999999995</v>
      </c>
      <c r="BG138" s="63">
        <f t="shared" si="132"/>
        <v>275.96381731933667</v>
      </c>
      <c r="BH138" s="63">
        <f t="shared" si="133"/>
        <v>167.91249999999999</v>
      </c>
      <c r="BI138" s="63">
        <f t="shared" si="134"/>
        <v>167.91249999999999</v>
      </c>
      <c r="BJ138" s="63">
        <f t="shared" si="135"/>
        <v>167.91249999999999</v>
      </c>
      <c r="BK138" s="63" t="str">
        <f t="shared" si="136"/>
        <v>OK</v>
      </c>
      <c r="BL138" s="63">
        <f t="shared" si="137"/>
        <v>210</v>
      </c>
      <c r="BM138" s="63">
        <f t="shared" si="138"/>
        <v>350</v>
      </c>
      <c r="BN138" s="63">
        <f t="shared" si="139"/>
        <v>700</v>
      </c>
      <c r="BO138" s="63">
        <f t="shared" si="140"/>
        <v>1050</v>
      </c>
      <c r="BP138" s="63">
        <f t="shared" si="141"/>
        <v>44.274999999999991</v>
      </c>
      <c r="BQ138" s="63">
        <f t="shared" si="146"/>
        <v>329.87761338302221</v>
      </c>
      <c r="BR138" s="63" t="str">
        <f t="shared" si="147"/>
        <v>OK</v>
      </c>
      <c r="BW138" s="70">
        <f t="shared" si="122"/>
        <v>37.02600000000001</v>
      </c>
    </row>
    <row r="139" spans="4:104">
      <c r="D139" s="181"/>
      <c r="E139" s="181"/>
      <c r="F139" s="91" t="s">
        <v>15</v>
      </c>
      <c r="G139" s="78">
        <v>220</v>
      </c>
      <c r="H139" s="78">
        <v>450</v>
      </c>
      <c r="I139" s="92">
        <f t="shared" si="142"/>
        <v>103</v>
      </c>
      <c r="J139" s="93">
        <f t="shared" si="171"/>
        <v>347</v>
      </c>
      <c r="K139" s="94"/>
      <c r="L139" s="94"/>
      <c r="M139" s="94"/>
      <c r="N139" s="95">
        <f t="shared" si="112"/>
        <v>0</v>
      </c>
      <c r="O139" s="95">
        <f t="shared" si="172"/>
        <v>0</v>
      </c>
      <c r="P139" s="95">
        <f t="shared" si="173"/>
        <v>1</v>
      </c>
      <c r="Q139" s="96" t="str">
        <f t="shared" si="113"/>
        <v>Ok</v>
      </c>
      <c r="R139" s="97">
        <f t="shared" si="114"/>
        <v>0.76340000000000008</v>
      </c>
      <c r="S139" s="131">
        <f t="shared" si="123"/>
        <v>1.0000000000000002E-3</v>
      </c>
      <c r="T139" s="99">
        <v>3</v>
      </c>
      <c r="U139" s="100">
        <v>28</v>
      </c>
      <c r="V139" s="101" t="str">
        <f t="shared" si="115"/>
        <v>+</v>
      </c>
      <c r="W139" s="99">
        <v>3</v>
      </c>
      <c r="X139" s="100">
        <v>28</v>
      </c>
      <c r="Y139" s="102">
        <f t="shared" si="174"/>
        <v>36.945129606215971</v>
      </c>
      <c r="Z139" s="103" t="str">
        <f t="shared" si="116"/>
        <v>Ok</v>
      </c>
      <c r="AA139" s="93">
        <f t="shared" si="148"/>
        <v>499.2764795332306</v>
      </c>
      <c r="AB139" s="93">
        <f t="shared" si="175"/>
        <v>234.77068278108396</v>
      </c>
      <c r="AC139" s="89" t="str">
        <f t="shared" si="149"/>
        <v>Ok</v>
      </c>
      <c r="AD139" s="98">
        <f t="shared" si="176"/>
        <v>3.7318312733551483E-2</v>
      </c>
      <c r="AE139" s="98">
        <f t="shared" si="117"/>
        <v>1.9281988961466403E-2</v>
      </c>
      <c r="AF139" s="104" t="str">
        <f t="shared" si="177"/>
        <v>No-Ok</v>
      </c>
      <c r="AG139" s="100">
        <v>10</v>
      </c>
      <c r="AH139" s="105">
        <v>2</v>
      </c>
      <c r="AI139" s="105">
        <v>200</v>
      </c>
      <c r="AJ139" s="104">
        <f t="shared" si="118"/>
        <v>7.8500000000000005</v>
      </c>
      <c r="AK139" s="60" t="str">
        <f t="shared" si="119"/>
        <v>OK</v>
      </c>
      <c r="AL139" s="109">
        <f t="shared" si="120"/>
        <v>300</v>
      </c>
      <c r="AT139" s="133" t="str">
        <f t="shared" si="121"/>
        <v>no need</v>
      </c>
      <c r="AV139" s="61">
        <f t="shared" si="124"/>
        <v>389.334</v>
      </c>
      <c r="AW139" s="61" t="str">
        <f t="shared" si="125"/>
        <v>OK</v>
      </c>
      <c r="AX139" s="63" t="e">
        <f t="shared" si="126"/>
        <v>#DIV/0!</v>
      </c>
      <c r="AY139" s="63">
        <f t="shared" si="127"/>
        <v>173.5</v>
      </c>
      <c r="AZ139" s="63">
        <f t="shared" si="128"/>
        <v>372.33201581027674</v>
      </c>
      <c r="BA139" s="63">
        <f t="shared" si="143"/>
        <v>63.249999999999993</v>
      </c>
      <c r="BB139" s="63">
        <f t="shared" si="144"/>
        <v>235.5</v>
      </c>
      <c r="BC139" s="63" t="str">
        <f t="shared" si="145"/>
        <v>OK</v>
      </c>
      <c r="BD139" s="63">
        <f t="shared" si="129"/>
        <v>508.63855582042862</v>
      </c>
      <c r="BE139" s="63">
        <f t="shared" si="130"/>
        <v>280.76637499999998</v>
      </c>
      <c r="BF139" s="63">
        <f t="shared" si="131"/>
        <v>192.97537499999996</v>
      </c>
      <c r="BG139" s="63">
        <f t="shared" si="132"/>
        <v>273.59841317088518</v>
      </c>
      <c r="BH139" s="63">
        <f t="shared" si="133"/>
        <v>166.47324999999998</v>
      </c>
      <c r="BI139" s="63">
        <f t="shared" si="134"/>
        <v>166.47324999999998</v>
      </c>
      <c r="BJ139" s="63">
        <f t="shared" si="135"/>
        <v>166.47324999999998</v>
      </c>
      <c r="BK139" s="63" t="str">
        <f t="shared" si="136"/>
        <v>OK</v>
      </c>
      <c r="BL139" s="63">
        <f t="shared" si="137"/>
        <v>208.2</v>
      </c>
      <c r="BM139" s="63">
        <f t="shared" si="138"/>
        <v>347</v>
      </c>
      <c r="BN139" s="63">
        <f t="shared" si="139"/>
        <v>694</v>
      </c>
      <c r="BO139" s="63">
        <f t="shared" si="140"/>
        <v>1041</v>
      </c>
      <c r="BP139" s="63">
        <f t="shared" si="141"/>
        <v>43.895499999999991</v>
      </c>
      <c r="BQ139" s="63">
        <f t="shared" si="146"/>
        <v>417.99631252325759</v>
      </c>
      <c r="BR139" s="63" t="str">
        <f t="shared" si="147"/>
        <v>OK</v>
      </c>
      <c r="BW139" s="70">
        <f t="shared" si="122"/>
        <v>37.02600000000001</v>
      </c>
    </row>
    <row r="140" spans="4:104" ht="12.75" customHeight="1">
      <c r="D140" s="176" t="s">
        <v>90</v>
      </c>
      <c r="E140" s="176" t="s">
        <v>90</v>
      </c>
      <c r="F140" s="67" t="s">
        <v>15</v>
      </c>
      <c r="G140" s="78">
        <v>220</v>
      </c>
      <c r="H140" s="78">
        <v>450</v>
      </c>
      <c r="I140" s="79">
        <f t="shared" si="142"/>
        <v>91.8</v>
      </c>
      <c r="J140" s="80">
        <f>H140-I140</f>
        <v>358.2</v>
      </c>
      <c r="K140" s="81"/>
      <c r="L140" s="81"/>
      <c r="M140" s="81"/>
      <c r="N140" s="82">
        <f t="shared" si="112"/>
        <v>0</v>
      </c>
      <c r="O140" s="82">
        <f>ROUND(1-SQRT(1-2*N140),3)</f>
        <v>0</v>
      </c>
      <c r="P140" s="82">
        <f>1-0.5*O140</f>
        <v>1</v>
      </c>
      <c r="Q140" s="83" t="str">
        <f t="shared" si="113"/>
        <v>Ok</v>
      </c>
      <c r="R140" s="84">
        <f t="shared" si="114"/>
        <v>0.78804000000000007</v>
      </c>
      <c r="S140" s="131">
        <f t="shared" si="123"/>
        <v>1.0000000000000002E-3</v>
      </c>
      <c r="T140" s="86">
        <v>3</v>
      </c>
      <c r="U140" s="77">
        <v>22</v>
      </c>
      <c r="V140" s="87" t="str">
        <f t="shared" si="115"/>
        <v>+</v>
      </c>
      <c r="W140" s="86">
        <v>2</v>
      </c>
      <c r="X140" s="77">
        <v>22</v>
      </c>
      <c r="Y140" s="88">
        <f>(T140*PI()*U140^2/4+W140*PI()*X140^2/4)/100</f>
        <v>19.006635554218249</v>
      </c>
      <c r="Z140" s="89" t="str">
        <f t="shared" si="116"/>
        <v>Ok</v>
      </c>
      <c r="AA140" s="90">
        <f t="shared" si="148"/>
        <v>292.93343264126815</v>
      </c>
      <c r="AB140" s="80">
        <f>($J$11*$H$4*G140*ABS(AA140)*(J140-0.5*ABS(AA140))+$H$6*(T141*PI()*U141^2/4)*(J140-I141))*10^-6</f>
        <v>188.78437744265727</v>
      </c>
      <c r="AC140" s="89" t="str">
        <f t="shared" si="149"/>
        <v>Ok</v>
      </c>
      <c r="AD140" s="85">
        <f>(Y140*100)/(G140*H140)</f>
        <v>1.9198621771937624E-2</v>
      </c>
      <c r="AE140" s="85">
        <f t="shared" si="117"/>
        <v>1.9281988961466403E-2</v>
      </c>
      <c r="AF140" s="60" t="str">
        <f>IF(AND(AD140&gt;0.1%,AD140&lt;AE140),"Ok","No-Ok")</f>
        <v>Ok</v>
      </c>
      <c r="AG140" s="77">
        <v>10</v>
      </c>
      <c r="AH140" s="76">
        <v>2</v>
      </c>
      <c r="AI140" s="76">
        <v>100</v>
      </c>
      <c r="AJ140" s="60">
        <f t="shared" si="118"/>
        <v>15.700000000000001</v>
      </c>
      <c r="AK140" s="60" t="str">
        <f t="shared" si="119"/>
        <v>OK</v>
      </c>
      <c r="AL140" s="109">
        <f t="shared" si="120"/>
        <v>300</v>
      </c>
      <c r="AT140" s="133" t="str">
        <f t="shared" si="121"/>
        <v>no need</v>
      </c>
      <c r="AV140" s="61">
        <f t="shared" si="124"/>
        <v>401.90039999999999</v>
      </c>
      <c r="AW140" s="61" t="str">
        <f t="shared" si="125"/>
        <v>OK</v>
      </c>
      <c r="AX140" s="63" t="e">
        <f t="shared" si="126"/>
        <v>#DIV/0!</v>
      </c>
      <c r="AY140" s="63">
        <f t="shared" si="127"/>
        <v>179.1</v>
      </c>
      <c r="AZ140" s="63">
        <f t="shared" si="128"/>
        <v>744.66403162055349</v>
      </c>
      <c r="BA140" s="63">
        <f t="shared" si="143"/>
        <v>63.249999999999993</v>
      </c>
      <c r="BB140" s="63">
        <f t="shared" si="144"/>
        <v>471</v>
      </c>
      <c r="BC140" s="63" t="str">
        <f t="shared" si="145"/>
        <v>OK</v>
      </c>
      <c r="BD140" s="63">
        <f t="shared" si="129"/>
        <v>371.27045166597185</v>
      </c>
      <c r="BE140" s="63">
        <f t="shared" si="130"/>
        <v>353.09564999999998</v>
      </c>
      <c r="BF140" s="63">
        <f t="shared" si="131"/>
        <v>262.47104999999993</v>
      </c>
      <c r="BG140" s="63">
        <f t="shared" si="132"/>
        <v>399.41528329169569</v>
      </c>
      <c r="BH140" s="63">
        <f t="shared" si="133"/>
        <v>298.38059999999996</v>
      </c>
      <c r="BI140" s="63">
        <f t="shared" si="134"/>
        <v>298.38059999999996</v>
      </c>
      <c r="BJ140" s="63">
        <f t="shared" si="135"/>
        <v>262.47104999999993</v>
      </c>
      <c r="BK140" s="63" t="str">
        <f t="shared" si="136"/>
        <v>OK</v>
      </c>
      <c r="BL140" s="63">
        <f t="shared" si="137"/>
        <v>214.92</v>
      </c>
      <c r="BM140" s="63">
        <f t="shared" si="138"/>
        <v>358.2</v>
      </c>
      <c r="BN140" s="63">
        <f t="shared" si="139"/>
        <v>716.4</v>
      </c>
      <c r="BO140" s="63">
        <f t="shared" si="140"/>
        <v>1074.5999999999999</v>
      </c>
      <c r="BP140" s="63">
        <f t="shared" si="141"/>
        <v>45.312299999999993</v>
      </c>
      <c r="BQ140" s="63">
        <f t="shared" si="146"/>
        <v>516.07959270692425</v>
      </c>
      <c r="BR140" s="63" t="str">
        <f t="shared" si="147"/>
        <v>OK</v>
      </c>
      <c r="BU140" s="70">
        <v>12</v>
      </c>
      <c r="BV140" s="70">
        <v>1</v>
      </c>
      <c r="BW140" s="70">
        <f t="shared" si="122"/>
        <v>37.02600000000001</v>
      </c>
      <c r="BX140" s="70" t="str">
        <f>IF(BW140&gt;AT140,"OK","NOT OK")</f>
        <v>NOT OK</v>
      </c>
      <c r="BY140" s="70">
        <f>G140</f>
        <v>220</v>
      </c>
      <c r="BZ140" s="70">
        <f>H140</f>
        <v>450</v>
      </c>
      <c r="CA140" s="70">
        <f>BY140/(2*BZ140+BY140)</f>
        <v>0.19642857142857142</v>
      </c>
      <c r="CB140" s="27">
        <f>O127*AJ140/10</f>
        <v>0</v>
      </c>
      <c r="CE140" s="71">
        <f>CB140*CA140*BY140*BZ140/1000000</f>
        <v>0</v>
      </c>
      <c r="CF140" s="71"/>
      <c r="CG140" s="71"/>
      <c r="CH140" s="70">
        <f>T141*3.14*U141^2/4</f>
        <v>401.92</v>
      </c>
      <c r="CI140" s="71">
        <f>0.5*$H$6*CH140*BZ140/1000000</f>
        <v>39.337919999999997</v>
      </c>
      <c r="CJ140" s="70" t="str">
        <f>IF((CI140+CE140)&gt;AT140,"OK","NOT OK")</f>
        <v>NOT OK</v>
      </c>
      <c r="CK140" s="27">
        <f>BZ140</f>
        <v>450</v>
      </c>
      <c r="CL140" s="27">
        <f>BY140</f>
        <v>220</v>
      </c>
      <c r="CM140" s="74">
        <f>CK140/(2*CL140+CK140)</f>
        <v>0.5056179775280899</v>
      </c>
      <c r="CN140" s="74"/>
      <c r="CO140" s="27">
        <f>O127*AJ140/10</f>
        <v>0</v>
      </c>
      <c r="CP140" s="74">
        <f>CO140*CM140*CK140*CL140/1000000</f>
        <v>0</v>
      </c>
      <c r="CQ140" s="27">
        <f>3.14*U141^2/4+3.14*U140^2/4+BV140*3.14*BU140^2/4</f>
        <v>693.93999999999994</v>
      </c>
      <c r="CT140" s="71">
        <f>0.5*$H$6*CQ140*CL140/1000000</f>
        <v>33.205028999999996</v>
      </c>
      <c r="CU140" s="71"/>
      <c r="CV140" s="70" t="str">
        <f>IF((CT140+CP140)&gt;U140,"OK","NOT OK")</f>
        <v>OK</v>
      </c>
      <c r="CW140" s="74">
        <f>MIN((CP140+CT140),(CE140+CI140))</f>
        <v>33.205028999999996</v>
      </c>
      <c r="CX140" s="71">
        <f>AB140</f>
        <v>188.78437744265727</v>
      </c>
      <c r="CY140" s="71">
        <f>(BG140+BO140*J140)/1000</f>
        <v>385.32113528329171</v>
      </c>
      <c r="CZ140" s="62">
        <f>CW140*SQRT(1-(K140/CX140)^1)</f>
        <v>33.205028999999996</v>
      </c>
    </row>
    <row r="141" spans="4:104">
      <c r="D141" s="177"/>
      <c r="E141" s="177"/>
      <c r="F141" s="68" t="s">
        <v>16</v>
      </c>
      <c r="G141" s="78">
        <v>220</v>
      </c>
      <c r="H141" s="78">
        <v>450</v>
      </c>
      <c r="I141" s="79">
        <f t="shared" si="142"/>
        <v>68</v>
      </c>
      <c r="J141" s="80">
        <f t="shared" ref="J141:J151" si="178">H141-I141</f>
        <v>382</v>
      </c>
      <c r="K141" s="81"/>
      <c r="L141" s="81"/>
      <c r="M141" s="81"/>
      <c r="N141" s="82">
        <f t="shared" si="112"/>
        <v>0</v>
      </c>
      <c r="O141" s="82">
        <f t="shared" ref="O141:O151" si="179">ROUND(1-SQRT(1-2*N141),3)</f>
        <v>0</v>
      </c>
      <c r="P141" s="82">
        <f t="shared" ref="P141:P151" si="180">1-0.5*O141</f>
        <v>1</v>
      </c>
      <c r="Q141" s="83" t="str">
        <f t="shared" si="113"/>
        <v>Ok</v>
      </c>
      <c r="R141" s="84">
        <f t="shared" si="114"/>
        <v>0.84040000000000004</v>
      </c>
      <c r="S141" s="131">
        <f t="shared" si="123"/>
        <v>1E-3</v>
      </c>
      <c r="T141" s="86">
        <v>2</v>
      </c>
      <c r="U141" s="77">
        <v>16</v>
      </c>
      <c r="V141" s="87" t="str">
        <f t="shared" si="115"/>
        <v>+</v>
      </c>
      <c r="W141" s="86">
        <v>0</v>
      </c>
      <c r="X141" s="77">
        <v>0</v>
      </c>
      <c r="Y141" s="88">
        <f t="shared" ref="Y141:Y151" si="181">(T141*PI()*U141^2/4+W141*PI()*X141^2/4)/100</f>
        <v>4.0212385965949355</v>
      </c>
      <c r="Z141" s="89" t="str">
        <f t="shared" si="116"/>
        <v>Ok</v>
      </c>
      <c r="AA141" s="80">
        <f t="shared" si="148"/>
        <v>-282.49345705447246</v>
      </c>
      <c r="AB141" s="80">
        <f t="shared" ref="AB141:AB151" si="182">($J$11*$H$4*G141*AA141*(J141-0.5*AA141)+$H$6*(T142*PI()*U142^2/4)*(J141-I142))*10^-6</f>
        <v>-81.434575247006478</v>
      </c>
      <c r="AC141" s="89" t="str">
        <f t="shared" si="149"/>
        <v>Not Ok</v>
      </c>
      <c r="AD141" s="85">
        <f t="shared" ref="AD141:AD151" si="183">(Y141*100)/(G141*H141)</f>
        <v>4.0618571682777133E-3</v>
      </c>
      <c r="AE141" s="85">
        <f t="shared" si="117"/>
        <v>1.9281988961466403E-2</v>
      </c>
      <c r="AF141" s="60" t="str">
        <f t="shared" ref="AF141:AF151" si="184">IF(AND(AD141&gt;0.1%,AD141&lt;AE141),"Ok","No-Ok")</f>
        <v>Ok</v>
      </c>
      <c r="AG141" s="77">
        <v>10</v>
      </c>
      <c r="AH141" s="76">
        <v>2</v>
      </c>
      <c r="AI141" s="76">
        <v>200</v>
      </c>
      <c r="AJ141" s="60">
        <f t="shared" si="118"/>
        <v>7.8500000000000005</v>
      </c>
      <c r="AK141" s="60" t="str">
        <f t="shared" si="119"/>
        <v>OK</v>
      </c>
      <c r="AL141" s="109">
        <f t="shared" si="120"/>
        <v>300</v>
      </c>
      <c r="AT141" s="133" t="str">
        <f t="shared" si="121"/>
        <v>no need</v>
      </c>
      <c r="AV141" s="61">
        <f t="shared" si="124"/>
        <v>428.60399999999998</v>
      </c>
      <c r="AW141" s="61" t="str">
        <f t="shared" si="125"/>
        <v>OK</v>
      </c>
      <c r="AX141" s="63" t="e">
        <f t="shared" si="126"/>
        <v>#DIV/0!</v>
      </c>
      <c r="AY141" s="63">
        <f t="shared" si="127"/>
        <v>191</v>
      </c>
      <c r="AZ141" s="63">
        <f t="shared" si="128"/>
        <v>372.33201581027674</v>
      </c>
      <c r="BA141" s="63">
        <f t="shared" si="143"/>
        <v>63.249999999999993</v>
      </c>
      <c r="BB141" s="63">
        <f t="shared" si="144"/>
        <v>235.5</v>
      </c>
      <c r="BC141" s="63" t="str">
        <f t="shared" si="145"/>
        <v>OK</v>
      </c>
      <c r="BD141" s="63">
        <f t="shared" si="129"/>
        <v>559.94215655159576</v>
      </c>
      <c r="BE141" s="63">
        <f t="shared" si="130"/>
        <v>309.08575000000002</v>
      </c>
      <c r="BF141" s="63">
        <f t="shared" si="131"/>
        <v>212.43974999999995</v>
      </c>
      <c r="BG141" s="63">
        <f t="shared" si="132"/>
        <v>301.19479490281884</v>
      </c>
      <c r="BH141" s="63">
        <f t="shared" si="133"/>
        <v>183.2645</v>
      </c>
      <c r="BI141" s="63">
        <f t="shared" si="134"/>
        <v>183.2645</v>
      </c>
      <c r="BJ141" s="63">
        <f t="shared" si="135"/>
        <v>183.2645</v>
      </c>
      <c r="BK141" s="63" t="str">
        <f t="shared" si="136"/>
        <v>OK</v>
      </c>
      <c r="BL141" s="63">
        <f t="shared" si="137"/>
        <v>229.2</v>
      </c>
      <c r="BM141" s="63">
        <f t="shared" si="138"/>
        <v>382</v>
      </c>
      <c r="BN141" s="63">
        <f t="shared" si="139"/>
        <v>764</v>
      </c>
      <c r="BO141" s="63">
        <f t="shared" si="140"/>
        <v>1146</v>
      </c>
      <c r="BP141" s="63">
        <f t="shared" si="141"/>
        <v>48.322999999999993</v>
      </c>
      <c r="BQ141" s="63">
        <f t="shared" si="146"/>
        <v>296.75647891364622</v>
      </c>
      <c r="BR141" s="63" t="str">
        <f t="shared" si="147"/>
        <v>OK</v>
      </c>
      <c r="BW141" s="70">
        <f t="shared" si="122"/>
        <v>37.02600000000001</v>
      </c>
    </row>
    <row r="142" spans="4:104">
      <c r="D142" s="178"/>
      <c r="E142" s="178"/>
      <c r="F142" s="67" t="s">
        <v>15</v>
      </c>
      <c r="G142" s="78">
        <v>220</v>
      </c>
      <c r="H142" s="78">
        <v>450</v>
      </c>
      <c r="I142" s="79">
        <f t="shared" si="142"/>
        <v>74</v>
      </c>
      <c r="J142" s="80">
        <f t="shared" si="178"/>
        <v>376</v>
      </c>
      <c r="K142" s="81"/>
      <c r="L142" s="81"/>
      <c r="M142" s="81"/>
      <c r="N142" s="82">
        <f t="shared" si="112"/>
        <v>0</v>
      </c>
      <c r="O142" s="82">
        <f t="shared" si="179"/>
        <v>0</v>
      </c>
      <c r="P142" s="82">
        <f t="shared" si="180"/>
        <v>1</v>
      </c>
      <c r="Q142" s="83" t="str">
        <f t="shared" si="113"/>
        <v>Ok</v>
      </c>
      <c r="R142" s="84">
        <f t="shared" si="114"/>
        <v>0.82719999999999994</v>
      </c>
      <c r="S142" s="131">
        <f t="shared" si="123"/>
        <v>9.999999999999998E-4</v>
      </c>
      <c r="T142" s="86">
        <v>3</v>
      </c>
      <c r="U142" s="77">
        <v>28</v>
      </c>
      <c r="V142" s="87" t="str">
        <f t="shared" si="115"/>
        <v>+</v>
      </c>
      <c r="W142" s="86">
        <v>0</v>
      </c>
      <c r="X142" s="77">
        <v>0</v>
      </c>
      <c r="Y142" s="88">
        <f t="shared" si="181"/>
        <v>18.472564803107986</v>
      </c>
      <c r="Z142" s="89" t="str">
        <f t="shared" si="116"/>
        <v>Ok</v>
      </c>
      <c r="AA142" s="80">
        <f t="shared" si="148"/>
        <v>0</v>
      </c>
      <c r="AB142" s="80">
        <f t="shared" si="182"/>
        <v>219.37094331930888</v>
      </c>
      <c r="AC142" s="89" t="str">
        <f t="shared" si="149"/>
        <v>Ok</v>
      </c>
      <c r="AD142" s="85">
        <f t="shared" si="183"/>
        <v>1.8659156366775741E-2</v>
      </c>
      <c r="AE142" s="85">
        <f t="shared" si="117"/>
        <v>1.9281988961466403E-2</v>
      </c>
      <c r="AF142" s="60" t="str">
        <f t="shared" si="184"/>
        <v>Ok</v>
      </c>
      <c r="AG142" s="77">
        <v>10</v>
      </c>
      <c r="AH142" s="76">
        <v>2</v>
      </c>
      <c r="AI142" s="76">
        <v>200</v>
      </c>
      <c r="AJ142" s="60">
        <f t="shared" si="118"/>
        <v>7.8500000000000005</v>
      </c>
      <c r="AK142" s="60" t="str">
        <f t="shared" si="119"/>
        <v>OK</v>
      </c>
      <c r="AL142" s="109">
        <f t="shared" si="120"/>
        <v>300</v>
      </c>
      <c r="AT142" s="133" t="str">
        <f t="shared" si="121"/>
        <v>no need</v>
      </c>
      <c r="AV142" s="61">
        <f t="shared" si="124"/>
        <v>421.87200000000001</v>
      </c>
      <c r="AW142" s="61" t="str">
        <f t="shared" si="125"/>
        <v>OK</v>
      </c>
      <c r="AX142" s="63" t="e">
        <f t="shared" si="126"/>
        <v>#DIV/0!</v>
      </c>
      <c r="AY142" s="63">
        <f t="shared" si="127"/>
        <v>188</v>
      </c>
      <c r="AZ142" s="63">
        <f t="shared" si="128"/>
        <v>372.33201581027674</v>
      </c>
      <c r="BA142" s="63">
        <f t="shared" si="143"/>
        <v>63.249999999999993</v>
      </c>
      <c r="BB142" s="63">
        <f t="shared" si="144"/>
        <v>235.5</v>
      </c>
      <c r="BC142" s="63" t="str">
        <f t="shared" si="145"/>
        <v>OK</v>
      </c>
      <c r="BD142" s="63">
        <f t="shared" si="129"/>
        <v>551.14725356910992</v>
      </c>
      <c r="BE142" s="63">
        <f t="shared" si="130"/>
        <v>304.23099999999999</v>
      </c>
      <c r="BF142" s="63">
        <f t="shared" si="131"/>
        <v>209.10299999999998</v>
      </c>
      <c r="BG142" s="63">
        <f t="shared" si="132"/>
        <v>296.46398660591598</v>
      </c>
      <c r="BH142" s="63">
        <f t="shared" si="133"/>
        <v>180.386</v>
      </c>
      <c r="BI142" s="63">
        <f t="shared" si="134"/>
        <v>180.386</v>
      </c>
      <c r="BJ142" s="63">
        <f t="shared" si="135"/>
        <v>180.386</v>
      </c>
      <c r="BK142" s="63" t="str">
        <f t="shared" si="136"/>
        <v>OK</v>
      </c>
      <c r="BL142" s="63">
        <f t="shared" si="137"/>
        <v>225.6</v>
      </c>
      <c r="BM142" s="63">
        <f t="shared" si="138"/>
        <v>376</v>
      </c>
      <c r="BN142" s="63">
        <f t="shared" si="139"/>
        <v>752</v>
      </c>
      <c r="BO142" s="63">
        <f t="shared" si="140"/>
        <v>1128</v>
      </c>
      <c r="BP142" s="63">
        <f t="shared" si="141"/>
        <v>47.563999999999993</v>
      </c>
      <c r="BQ142" s="63">
        <f t="shared" si="146"/>
        <v>77.321380583656236</v>
      </c>
      <c r="BR142" s="63" t="str">
        <f t="shared" si="147"/>
        <v>OK</v>
      </c>
      <c r="BW142" s="70">
        <f t="shared" si="122"/>
        <v>37.02600000000001</v>
      </c>
    </row>
    <row r="143" spans="4:104">
      <c r="D143" s="179" t="s">
        <v>90</v>
      </c>
      <c r="E143" s="179" t="s">
        <v>90</v>
      </c>
      <c r="F143" s="91" t="s">
        <v>15</v>
      </c>
      <c r="G143" s="78">
        <v>220</v>
      </c>
      <c r="H143" s="78">
        <v>450</v>
      </c>
      <c r="I143" s="92">
        <f t="shared" si="142"/>
        <v>103</v>
      </c>
      <c r="J143" s="93">
        <f t="shared" si="178"/>
        <v>347</v>
      </c>
      <c r="K143" s="94"/>
      <c r="L143" s="94"/>
      <c r="M143" s="94"/>
      <c r="N143" s="95">
        <f t="shared" si="112"/>
        <v>0</v>
      </c>
      <c r="O143" s="95">
        <f t="shared" si="179"/>
        <v>0</v>
      </c>
      <c r="P143" s="95">
        <f t="shared" si="180"/>
        <v>1</v>
      </c>
      <c r="Q143" s="96" t="str">
        <f t="shared" si="113"/>
        <v>Ok</v>
      </c>
      <c r="R143" s="97">
        <f t="shared" si="114"/>
        <v>0.76340000000000008</v>
      </c>
      <c r="S143" s="131">
        <f t="shared" si="123"/>
        <v>1.0000000000000002E-3</v>
      </c>
      <c r="T143" s="99">
        <v>3</v>
      </c>
      <c r="U143" s="100">
        <v>28</v>
      </c>
      <c r="V143" s="101" t="str">
        <f t="shared" si="115"/>
        <v>+</v>
      </c>
      <c r="W143" s="99">
        <v>3</v>
      </c>
      <c r="X143" s="100">
        <v>28</v>
      </c>
      <c r="Y143" s="102">
        <f t="shared" si="181"/>
        <v>36.945129606215971</v>
      </c>
      <c r="Z143" s="103" t="str">
        <f t="shared" si="116"/>
        <v>Ok</v>
      </c>
      <c r="AA143" s="93">
        <f t="shared" si="148"/>
        <v>499.2764795332306</v>
      </c>
      <c r="AB143" s="93">
        <f t="shared" si="182"/>
        <v>232.19110220366545</v>
      </c>
      <c r="AC143" s="89" t="str">
        <f t="shared" si="149"/>
        <v>Ok</v>
      </c>
      <c r="AD143" s="98">
        <f t="shared" si="183"/>
        <v>3.7318312733551483E-2</v>
      </c>
      <c r="AE143" s="98">
        <f t="shared" si="117"/>
        <v>1.9281988961466403E-2</v>
      </c>
      <c r="AF143" s="104" t="str">
        <f t="shared" si="184"/>
        <v>No-Ok</v>
      </c>
      <c r="AG143" s="100">
        <v>10</v>
      </c>
      <c r="AH143" s="105">
        <v>2</v>
      </c>
      <c r="AI143" s="105">
        <v>200</v>
      </c>
      <c r="AJ143" s="104">
        <f t="shared" si="118"/>
        <v>7.8500000000000005</v>
      </c>
      <c r="AK143" s="60" t="str">
        <f t="shared" si="119"/>
        <v>OK</v>
      </c>
      <c r="AL143" s="109">
        <f t="shared" si="120"/>
        <v>300</v>
      </c>
      <c r="AT143" s="133" t="str">
        <f t="shared" si="121"/>
        <v>no need</v>
      </c>
      <c r="AV143" s="61">
        <f t="shared" si="124"/>
        <v>389.334</v>
      </c>
      <c r="AW143" s="61" t="str">
        <f t="shared" si="125"/>
        <v>OK</v>
      </c>
      <c r="AX143" s="63" t="e">
        <f t="shared" si="126"/>
        <v>#DIV/0!</v>
      </c>
      <c r="AY143" s="63">
        <f t="shared" si="127"/>
        <v>173.5</v>
      </c>
      <c r="AZ143" s="63">
        <f t="shared" si="128"/>
        <v>372.33201581027674</v>
      </c>
      <c r="BA143" s="63">
        <f t="shared" si="143"/>
        <v>63.249999999999993</v>
      </c>
      <c r="BB143" s="63">
        <f t="shared" si="144"/>
        <v>235.5</v>
      </c>
      <c r="BC143" s="63" t="str">
        <f t="shared" si="145"/>
        <v>OK</v>
      </c>
      <c r="BD143" s="63">
        <f t="shared" si="129"/>
        <v>508.63855582042862</v>
      </c>
      <c r="BE143" s="63">
        <f t="shared" si="130"/>
        <v>280.76637499999998</v>
      </c>
      <c r="BF143" s="63">
        <f t="shared" si="131"/>
        <v>192.97537499999996</v>
      </c>
      <c r="BG143" s="63">
        <f t="shared" si="132"/>
        <v>273.59841317088518</v>
      </c>
      <c r="BH143" s="63">
        <f t="shared" si="133"/>
        <v>166.47324999999998</v>
      </c>
      <c r="BI143" s="63">
        <f t="shared" si="134"/>
        <v>166.47324999999998</v>
      </c>
      <c r="BJ143" s="63">
        <f t="shared" si="135"/>
        <v>166.47324999999998</v>
      </c>
      <c r="BK143" s="63" t="str">
        <f t="shared" si="136"/>
        <v>OK</v>
      </c>
      <c r="BL143" s="63">
        <f t="shared" si="137"/>
        <v>208.2</v>
      </c>
      <c r="BM143" s="63">
        <f t="shared" si="138"/>
        <v>347</v>
      </c>
      <c r="BN143" s="63">
        <f t="shared" si="139"/>
        <v>694</v>
      </c>
      <c r="BO143" s="63">
        <f t="shared" si="140"/>
        <v>1041</v>
      </c>
      <c r="BP143" s="63">
        <f t="shared" si="141"/>
        <v>43.895499999999991</v>
      </c>
      <c r="BQ143" s="63">
        <f t="shared" si="146"/>
        <v>288.57056692767077</v>
      </c>
      <c r="BR143" s="63" t="str">
        <f t="shared" si="147"/>
        <v>OK</v>
      </c>
      <c r="BW143" s="70">
        <f t="shared" si="122"/>
        <v>37.02600000000001</v>
      </c>
    </row>
    <row r="144" spans="4:104">
      <c r="D144" s="180"/>
      <c r="E144" s="180"/>
      <c r="F144" s="106" t="s">
        <v>16</v>
      </c>
      <c r="G144" s="78">
        <v>220</v>
      </c>
      <c r="H144" s="78">
        <v>450</v>
      </c>
      <c r="I144" s="92">
        <f t="shared" si="142"/>
        <v>97</v>
      </c>
      <c r="J144" s="93">
        <f t="shared" si="178"/>
        <v>353</v>
      </c>
      <c r="K144" s="94"/>
      <c r="L144" s="94"/>
      <c r="M144" s="94"/>
      <c r="N144" s="95">
        <f t="shared" si="112"/>
        <v>0</v>
      </c>
      <c r="O144" s="95">
        <f t="shared" si="179"/>
        <v>0</v>
      </c>
      <c r="P144" s="95">
        <f t="shared" si="180"/>
        <v>1</v>
      </c>
      <c r="Q144" s="96" t="str">
        <f t="shared" si="113"/>
        <v>Ok</v>
      </c>
      <c r="R144" s="97">
        <f t="shared" si="114"/>
        <v>0.77659999999999996</v>
      </c>
      <c r="S144" s="131">
        <f t="shared" si="123"/>
        <v>1E-3</v>
      </c>
      <c r="T144" s="99">
        <v>3</v>
      </c>
      <c r="U144" s="100">
        <v>22</v>
      </c>
      <c r="V144" s="101" t="str">
        <f t="shared" si="115"/>
        <v>+</v>
      </c>
      <c r="W144" s="99">
        <v>3</v>
      </c>
      <c r="X144" s="100">
        <v>22</v>
      </c>
      <c r="Y144" s="102">
        <f t="shared" si="181"/>
        <v>22.807962665061901</v>
      </c>
      <c r="Z144" s="103" t="str">
        <f t="shared" si="116"/>
        <v>Ok</v>
      </c>
      <c r="AA144" s="93">
        <f t="shared" si="148"/>
        <v>222.92418458863807</v>
      </c>
      <c r="AB144" s="93">
        <f t="shared" si="182"/>
        <v>246.815216009041</v>
      </c>
      <c r="AC144" s="89" t="str">
        <f t="shared" si="149"/>
        <v>Ok</v>
      </c>
      <c r="AD144" s="98">
        <f t="shared" si="183"/>
        <v>2.3038346126325153E-2</v>
      </c>
      <c r="AE144" s="98">
        <f t="shared" si="117"/>
        <v>1.9281988961466403E-2</v>
      </c>
      <c r="AF144" s="104" t="str">
        <f t="shared" si="184"/>
        <v>No-Ok</v>
      </c>
      <c r="AG144" s="100">
        <v>10</v>
      </c>
      <c r="AH144" s="105">
        <v>2</v>
      </c>
      <c r="AI144" s="105">
        <v>200</v>
      </c>
      <c r="AJ144" s="104">
        <f t="shared" si="118"/>
        <v>7.8500000000000005</v>
      </c>
      <c r="AK144" s="60" t="str">
        <f t="shared" si="119"/>
        <v>OK</v>
      </c>
      <c r="AL144" s="109">
        <f t="shared" si="120"/>
        <v>300</v>
      </c>
      <c r="AT144" s="133" t="str">
        <f t="shared" si="121"/>
        <v>no need</v>
      </c>
      <c r="AV144" s="61">
        <f t="shared" si="124"/>
        <v>396.06599999999997</v>
      </c>
      <c r="AW144" s="61" t="str">
        <f t="shared" si="125"/>
        <v>OK</v>
      </c>
      <c r="AX144" s="63" t="e">
        <f t="shared" si="126"/>
        <v>#DIV/0!</v>
      </c>
      <c r="AY144" s="63">
        <f t="shared" si="127"/>
        <v>176.5</v>
      </c>
      <c r="AZ144" s="63">
        <f t="shared" si="128"/>
        <v>372.33201581027674</v>
      </c>
      <c r="BA144" s="63">
        <f t="shared" si="143"/>
        <v>63.249999999999993</v>
      </c>
      <c r="BB144" s="63">
        <f t="shared" si="144"/>
        <v>235.5</v>
      </c>
      <c r="BC144" s="63" t="str">
        <f t="shared" si="145"/>
        <v>OK</v>
      </c>
      <c r="BD144" s="63">
        <f t="shared" si="129"/>
        <v>517.4334588029144</v>
      </c>
      <c r="BE144" s="63">
        <f t="shared" si="130"/>
        <v>285.62112500000001</v>
      </c>
      <c r="BF144" s="63">
        <f t="shared" si="131"/>
        <v>196.31212499999998</v>
      </c>
      <c r="BG144" s="63">
        <f t="shared" si="132"/>
        <v>278.3292214677881</v>
      </c>
      <c r="BH144" s="63">
        <f t="shared" si="133"/>
        <v>169.35174999999998</v>
      </c>
      <c r="BI144" s="63">
        <f t="shared" si="134"/>
        <v>169.35174999999998</v>
      </c>
      <c r="BJ144" s="63">
        <f t="shared" si="135"/>
        <v>169.35174999999998</v>
      </c>
      <c r="BK144" s="63" t="str">
        <f t="shared" si="136"/>
        <v>OK</v>
      </c>
      <c r="BL144" s="63">
        <f t="shared" si="137"/>
        <v>211.79999999999998</v>
      </c>
      <c r="BM144" s="63">
        <f t="shared" si="138"/>
        <v>353</v>
      </c>
      <c r="BN144" s="63">
        <f t="shared" si="139"/>
        <v>706</v>
      </c>
      <c r="BO144" s="63">
        <f t="shared" si="140"/>
        <v>1059</v>
      </c>
      <c r="BP144" s="63">
        <f t="shared" si="141"/>
        <v>44.654499999999992</v>
      </c>
      <c r="BQ144" s="63">
        <f t="shared" si="146"/>
        <v>516.07959270692425</v>
      </c>
      <c r="BR144" s="63" t="str">
        <f t="shared" si="147"/>
        <v>OK</v>
      </c>
      <c r="BW144" s="70">
        <f t="shared" si="122"/>
        <v>37.02600000000001</v>
      </c>
    </row>
    <row r="145" spans="4:104">
      <c r="D145" s="181"/>
      <c r="E145" s="181"/>
      <c r="F145" s="91" t="s">
        <v>15</v>
      </c>
      <c r="G145" s="78">
        <v>220</v>
      </c>
      <c r="H145" s="78">
        <v>450</v>
      </c>
      <c r="I145" s="92">
        <f t="shared" si="142"/>
        <v>97</v>
      </c>
      <c r="J145" s="93">
        <f t="shared" si="178"/>
        <v>353</v>
      </c>
      <c r="K145" s="94"/>
      <c r="L145" s="94"/>
      <c r="M145" s="94"/>
      <c r="N145" s="95">
        <f t="shared" si="112"/>
        <v>0</v>
      </c>
      <c r="O145" s="95">
        <f t="shared" si="179"/>
        <v>0</v>
      </c>
      <c r="P145" s="95">
        <f t="shared" si="180"/>
        <v>1</v>
      </c>
      <c r="Q145" s="96" t="str">
        <f t="shared" si="113"/>
        <v>Ok</v>
      </c>
      <c r="R145" s="97">
        <f t="shared" si="114"/>
        <v>0.77659999999999996</v>
      </c>
      <c r="S145" s="131">
        <f t="shared" si="123"/>
        <v>1E-3</v>
      </c>
      <c r="T145" s="99">
        <v>3</v>
      </c>
      <c r="U145" s="100">
        <v>22</v>
      </c>
      <c r="V145" s="101" t="str">
        <f t="shared" si="115"/>
        <v>+</v>
      </c>
      <c r="W145" s="99">
        <v>3</v>
      </c>
      <c r="X145" s="100">
        <v>22</v>
      </c>
      <c r="Y145" s="102">
        <f t="shared" si="181"/>
        <v>22.807962665061901</v>
      </c>
      <c r="Z145" s="103" t="str">
        <f t="shared" si="116"/>
        <v>Ok</v>
      </c>
      <c r="AA145" s="93">
        <f t="shared" si="148"/>
        <v>222.92418458863807</v>
      </c>
      <c r="AB145" s="93">
        <f t="shared" si="182"/>
        <v>246.815216009041</v>
      </c>
      <c r="AC145" s="89" t="str">
        <f t="shared" si="149"/>
        <v>Ok</v>
      </c>
      <c r="AD145" s="98">
        <f t="shared" si="183"/>
        <v>2.3038346126325153E-2</v>
      </c>
      <c r="AE145" s="98">
        <f t="shared" si="117"/>
        <v>1.9281988961466403E-2</v>
      </c>
      <c r="AF145" s="104" t="str">
        <f t="shared" si="184"/>
        <v>No-Ok</v>
      </c>
      <c r="AG145" s="100">
        <v>10</v>
      </c>
      <c r="AH145" s="105">
        <v>2</v>
      </c>
      <c r="AI145" s="105">
        <v>200</v>
      </c>
      <c r="AJ145" s="104">
        <f t="shared" si="118"/>
        <v>7.8500000000000005</v>
      </c>
      <c r="AK145" s="60" t="str">
        <f t="shared" si="119"/>
        <v>OK</v>
      </c>
      <c r="AL145" s="109">
        <f t="shared" si="120"/>
        <v>300</v>
      </c>
      <c r="AT145" s="133" t="str">
        <f t="shared" si="121"/>
        <v>no need</v>
      </c>
      <c r="AV145" s="61">
        <f t="shared" si="124"/>
        <v>396.06599999999997</v>
      </c>
      <c r="AW145" s="61" t="str">
        <f t="shared" si="125"/>
        <v>OK</v>
      </c>
      <c r="AX145" s="63" t="e">
        <f t="shared" si="126"/>
        <v>#DIV/0!</v>
      </c>
      <c r="AY145" s="63">
        <f t="shared" si="127"/>
        <v>176.5</v>
      </c>
      <c r="AZ145" s="63">
        <f t="shared" si="128"/>
        <v>372.33201581027674</v>
      </c>
      <c r="BA145" s="63">
        <f t="shared" si="143"/>
        <v>63.249999999999993</v>
      </c>
      <c r="BB145" s="63">
        <f t="shared" si="144"/>
        <v>235.5</v>
      </c>
      <c r="BC145" s="63" t="str">
        <f t="shared" si="145"/>
        <v>OK</v>
      </c>
      <c r="BD145" s="63">
        <f t="shared" si="129"/>
        <v>517.4334588029144</v>
      </c>
      <c r="BE145" s="63">
        <f t="shared" si="130"/>
        <v>285.62112500000001</v>
      </c>
      <c r="BF145" s="63">
        <f t="shared" si="131"/>
        <v>196.31212499999998</v>
      </c>
      <c r="BG145" s="63">
        <f t="shared" si="132"/>
        <v>278.3292214677881</v>
      </c>
      <c r="BH145" s="63">
        <f t="shared" si="133"/>
        <v>169.35174999999998</v>
      </c>
      <c r="BI145" s="63">
        <f t="shared" si="134"/>
        <v>169.35174999999998</v>
      </c>
      <c r="BJ145" s="63">
        <f t="shared" si="135"/>
        <v>169.35174999999998</v>
      </c>
      <c r="BK145" s="63" t="str">
        <f t="shared" si="136"/>
        <v>OK</v>
      </c>
      <c r="BL145" s="63">
        <f t="shared" si="137"/>
        <v>211.79999999999998</v>
      </c>
      <c r="BM145" s="63">
        <f t="shared" si="138"/>
        <v>353</v>
      </c>
      <c r="BN145" s="63">
        <f t="shared" si="139"/>
        <v>706</v>
      </c>
      <c r="BO145" s="63">
        <f t="shared" si="140"/>
        <v>1059</v>
      </c>
      <c r="BP145" s="63">
        <f t="shared" si="141"/>
        <v>44.654499999999992</v>
      </c>
      <c r="BQ145" s="63">
        <f t="shared" si="146"/>
        <v>329.87761338302221</v>
      </c>
      <c r="BR145" s="63" t="str">
        <f t="shared" si="147"/>
        <v>OK</v>
      </c>
      <c r="BW145" s="70">
        <f t="shared" si="122"/>
        <v>37.02600000000001</v>
      </c>
    </row>
    <row r="146" spans="4:104">
      <c r="D146" s="176" t="s">
        <v>90</v>
      </c>
      <c r="E146" s="176" t="s">
        <v>90</v>
      </c>
      <c r="F146" s="67" t="s">
        <v>15</v>
      </c>
      <c r="G146" s="78">
        <v>220</v>
      </c>
      <c r="H146" s="78">
        <v>450</v>
      </c>
      <c r="I146" s="79">
        <f t="shared" si="142"/>
        <v>97</v>
      </c>
      <c r="J146" s="80">
        <f t="shared" si="178"/>
        <v>353</v>
      </c>
      <c r="K146" s="81"/>
      <c r="L146" s="81"/>
      <c r="M146" s="81"/>
      <c r="N146" s="82">
        <f t="shared" si="112"/>
        <v>0</v>
      </c>
      <c r="O146" s="82">
        <f t="shared" si="179"/>
        <v>0</v>
      </c>
      <c r="P146" s="82">
        <f t="shared" si="180"/>
        <v>1</v>
      </c>
      <c r="Q146" s="83" t="str">
        <f t="shared" si="113"/>
        <v>Ok</v>
      </c>
      <c r="R146" s="84">
        <f t="shared" si="114"/>
        <v>0.77659999999999996</v>
      </c>
      <c r="S146" s="131">
        <f t="shared" si="123"/>
        <v>1E-3</v>
      </c>
      <c r="T146" s="86">
        <v>3</v>
      </c>
      <c r="U146" s="77">
        <v>22</v>
      </c>
      <c r="V146" s="87" t="str">
        <f t="shared" si="115"/>
        <v>+</v>
      </c>
      <c r="W146" s="86">
        <v>3</v>
      </c>
      <c r="X146" s="77">
        <v>22</v>
      </c>
      <c r="Y146" s="88">
        <f t="shared" si="181"/>
        <v>22.807962665061901</v>
      </c>
      <c r="Z146" s="89" t="str">
        <f t="shared" si="116"/>
        <v>Ok</v>
      </c>
      <c r="AA146" s="80">
        <f t="shared" si="148"/>
        <v>157.98139527665879</v>
      </c>
      <c r="AB146" s="80">
        <f t="shared" si="182"/>
        <v>258.3989793884802</v>
      </c>
      <c r="AC146" s="89" t="str">
        <f t="shared" si="149"/>
        <v>Ok</v>
      </c>
      <c r="AD146" s="85">
        <f t="shared" si="183"/>
        <v>2.3038346126325153E-2</v>
      </c>
      <c r="AE146" s="85">
        <f t="shared" si="117"/>
        <v>1.9281988961466403E-2</v>
      </c>
      <c r="AF146" s="60" t="str">
        <f t="shared" si="184"/>
        <v>No-Ok</v>
      </c>
      <c r="AG146" s="77">
        <v>10</v>
      </c>
      <c r="AH146" s="76">
        <v>2</v>
      </c>
      <c r="AI146" s="76">
        <v>200</v>
      </c>
      <c r="AJ146" s="60">
        <f t="shared" si="118"/>
        <v>7.8500000000000005</v>
      </c>
      <c r="AK146" s="60" t="str">
        <f t="shared" si="119"/>
        <v>OK</v>
      </c>
      <c r="AL146" s="109">
        <f t="shared" si="120"/>
        <v>300</v>
      </c>
      <c r="AT146" s="133" t="str">
        <f t="shared" si="121"/>
        <v>no need</v>
      </c>
      <c r="AV146" s="61">
        <f t="shared" si="124"/>
        <v>396.06599999999997</v>
      </c>
      <c r="AW146" s="61" t="str">
        <f t="shared" si="125"/>
        <v>OK</v>
      </c>
      <c r="AX146" s="63" t="e">
        <f t="shared" si="126"/>
        <v>#DIV/0!</v>
      </c>
      <c r="AY146" s="63">
        <f t="shared" si="127"/>
        <v>176.5</v>
      </c>
      <c r="AZ146" s="63">
        <f t="shared" si="128"/>
        <v>372.33201581027674</v>
      </c>
      <c r="BA146" s="63">
        <f t="shared" si="143"/>
        <v>63.249999999999993</v>
      </c>
      <c r="BB146" s="63">
        <f t="shared" si="144"/>
        <v>235.5</v>
      </c>
      <c r="BC146" s="63" t="str">
        <f t="shared" si="145"/>
        <v>OK</v>
      </c>
      <c r="BD146" s="63">
        <f t="shared" si="129"/>
        <v>517.4334588029144</v>
      </c>
      <c r="BE146" s="63">
        <f t="shared" si="130"/>
        <v>285.62112500000001</v>
      </c>
      <c r="BF146" s="63">
        <f t="shared" si="131"/>
        <v>196.31212499999998</v>
      </c>
      <c r="BG146" s="63">
        <f t="shared" si="132"/>
        <v>278.3292214677881</v>
      </c>
      <c r="BH146" s="63">
        <f t="shared" si="133"/>
        <v>169.35174999999998</v>
      </c>
      <c r="BI146" s="63">
        <f t="shared" si="134"/>
        <v>169.35174999999998</v>
      </c>
      <c r="BJ146" s="63">
        <f t="shared" si="135"/>
        <v>169.35174999999998</v>
      </c>
      <c r="BK146" s="63" t="str">
        <f t="shared" si="136"/>
        <v>OK</v>
      </c>
      <c r="BL146" s="63">
        <f t="shared" si="137"/>
        <v>211.79999999999998</v>
      </c>
      <c r="BM146" s="63">
        <f t="shared" si="138"/>
        <v>353</v>
      </c>
      <c r="BN146" s="63">
        <f t="shared" si="139"/>
        <v>706</v>
      </c>
      <c r="BO146" s="63">
        <f t="shared" si="140"/>
        <v>1059</v>
      </c>
      <c r="BP146" s="63">
        <f t="shared" si="141"/>
        <v>44.654499999999992</v>
      </c>
      <c r="BQ146" s="63">
        <f t="shared" si="146"/>
        <v>329.87761338302221</v>
      </c>
      <c r="BR146" s="63" t="str">
        <f t="shared" si="147"/>
        <v>OK</v>
      </c>
      <c r="BW146" s="70">
        <f t="shared" si="122"/>
        <v>37.02600000000001</v>
      </c>
    </row>
    <row r="147" spans="4:104">
      <c r="D147" s="177"/>
      <c r="E147" s="177"/>
      <c r="F147" s="68" t="s">
        <v>16</v>
      </c>
      <c r="G147" s="78">
        <v>220</v>
      </c>
      <c r="H147" s="78">
        <v>450</v>
      </c>
      <c r="I147" s="79">
        <f t="shared" si="142"/>
        <v>100</v>
      </c>
      <c r="J147" s="80">
        <f t="shared" si="178"/>
        <v>350</v>
      </c>
      <c r="K147" s="81"/>
      <c r="L147" s="81"/>
      <c r="M147" s="81"/>
      <c r="N147" s="82">
        <f t="shared" si="112"/>
        <v>0</v>
      </c>
      <c r="O147" s="82">
        <f t="shared" si="179"/>
        <v>0</v>
      </c>
      <c r="P147" s="82">
        <f t="shared" si="180"/>
        <v>1</v>
      </c>
      <c r="Q147" s="83" t="str">
        <f t="shared" si="113"/>
        <v>Ok</v>
      </c>
      <c r="R147" s="84">
        <f t="shared" si="114"/>
        <v>0.77</v>
      </c>
      <c r="S147" s="131">
        <f t="shared" si="123"/>
        <v>1E-3</v>
      </c>
      <c r="T147" s="86">
        <v>3</v>
      </c>
      <c r="U147" s="77">
        <v>25</v>
      </c>
      <c r="V147" s="87" t="str">
        <f t="shared" si="115"/>
        <v>+</v>
      </c>
      <c r="W147" s="86">
        <v>3</v>
      </c>
      <c r="X147" s="77">
        <v>25</v>
      </c>
      <c r="Y147" s="88">
        <f t="shared" si="181"/>
        <v>29.45243112740431</v>
      </c>
      <c r="Z147" s="89" t="str">
        <f t="shared" si="116"/>
        <v>Ok</v>
      </c>
      <c r="AA147" s="80">
        <f t="shared" si="148"/>
        <v>214.63361574030029</v>
      </c>
      <c r="AB147" s="80">
        <f t="shared" si="182"/>
        <v>314.38983440715214</v>
      </c>
      <c r="AC147" s="89" t="str">
        <f t="shared" si="149"/>
        <v>Ok</v>
      </c>
      <c r="AD147" s="85">
        <f t="shared" si="183"/>
        <v>2.9749930431721527E-2</v>
      </c>
      <c r="AE147" s="85">
        <f t="shared" si="117"/>
        <v>1.9281988961466403E-2</v>
      </c>
      <c r="AF147" s="60" t="str">
        <f t="shared" si="184"/>
        <v>No-Ok</v>
      </c>
      <c r="AG147" s="77">
        <v>10</v>
      </c>
      <c r="AH147" s="76">
        <v>2</v>
      </c>
      <c r="AI147" s="76">
        <v>200</v>
      </c>
      <c r="AJ147" s="60">
        <f t="shared" si="118"/>
        <v>7.8500000000000005</v>
      </c>
      <c r="AK147" s="60" t="str">
        <f t="shared" si="119"/>
        <v>OK</v>
      </c>
      <c r="AL147" s="109">
        <f t="shared" si="120"/>
        <v>300</v>
      </c>
      <c r="AT147" s="133" t="str">
        <f t="shared" si="121"/>
        <v>no need</v>
      </c>
      <c r="AV147" s="61">
        <f t="shared" si="124"/>
        <v>392.7</v>
      </c>
      <c r="AW147" s="61" t="str">
        <f t="shared" si="125"/>
        <v>OK</v>
      </c>
      <c r="AX147" s="63" t="e">
        <f t="shared" si="126"/>
        <v>#DIV/0!</v>
      </c>
      <c r="AY147" s="63">
        <f t="shared" si="127"/>
        <v>175</v>
      </c>
      <c r="AZ147" s="63">
        <f t="shared" si="128"/>
        <v>372.33201581027674</v>
      </c>
      <c r="BA147" s="63">
        <f t="shared" si="143"/>
        <v>63.249999999999993</v>
      </c>
      <c r="BB147" s="63">
        <f t="shared" si="144"/>
        <v>235.5</v>
      </c>
      <c r="BC147" s="63" t="str">
        <f t="shared" si="145"/>
        <v>OK</v>
      </c>
      <c r="BD147" s="63">
        <f t="shared" si="129"/>
        <v>513.03600731167148</v>
      </c>
      <c r="BE147" s="63">
        <f t="shared" si="130"/>
        <v>283.19375000000002</v>
      </c>
      <c r="BF147" s="63">
        <f t="shared" si="131"/>
        <v>194.64374999999995</v>
      </c>
      <c r="BG147" s="63">
        <f t="shared" si="132"/>
        <v>275.96381731933667</v>
      </c>
      <c r="BH147" s="63">
        <f t="shared" si="133"/>
        <v>167.91249999999999</v>
      </c>
      <c r="BI147" s="63">
        <f t="shared" si="134"/>
        <v>167.91249999999999</v>
      </c>
      <c r="BJ147" s="63">
        <f t="shared" si="135"/>
        <v>167.91249999999999</v>
      </c>
      <c r="BK147" s="63" t="str">
        <f t="shared" si="136"/>
        <v>OK</v>
      </c>
      <c r="BL147" s="63">
        <f t="shared" si="137"/>
        <v>210</v>
      </c>
      <c r="BM147" s="63">
        <f t="shared" si="138"/>
        <v>350</v>
      </c>
      <c r="BN147" s="63">
        <f t="shared" si="139"/>
        <v>700</v>
      </c>
      <c r="BO147" s="63">
        <f t="shared" si="140"/>
        <v>1050</v>
      </c>
      <c r="BP147" s="63">
        <f t="shared" si="141"/>
        <v>44.274999999999991</v>
      </c>
      <c r="BQ147" s="63">
        <f t="shared" si="146"/>
        <v>329.87761338302221</v>
      </c>
      <c r="BR147" s="63" t="str">
        <f t="shared" si="147"/>
        <v>OK</v>
      </c>
      <c r="BW147" s="70">
        <f t="shared" si="122"/>
        <v>37.02600000000001</v>
      </c>
    </row>
    <row r="148" spans="4:104">
      <c r="D148" s="178"/>
      <c r="E148" s="178"/>
      <c r="F148" s="67" t="s">
        <v>15</v>
      </c>
      <c r="G148" s="78">
        <v>220</v>
      </c>
      <c r="H148" s="78">
        <v>450</v>
      </c>
      <c r="I148" s="79">
        <f t="shared" si="142"/>
        <v>103</v>
      </c>
      <c r="J148" s="80">
        <f t="shared" si="178"/>
        <v>347</v>
      </c>
      <c r="K148" s="81"/>
      <c r="L148" s="81"/>
      <c r="M148" s="81"/>
      <c r="N148" s="82">
        <f t="shared" ref="N148:N163" si="185">ABS(K148)*10^6/($J$11*$H$4*G148*J148^2)</f>
        <v>0</v>
      </c>
      <c r="O148" s="82">
        <f t="shared" si="179"/>
        <v>0</v>
      </c>
      <c r="P148" s="82">
        <f t="shared" si="180"/>
        <v>1</v>
      </c>
      <c r="Q148" s="83" t="str">
        <f t="shared" ref="Q148:Q163" si="186">IF(O148&lt;$J$13,"Ok","Not Ok")</f>
        <v>Ok</v>
      </c>
      <c r="R148" s="84">
        <f t="shared" ref="R148:R163" si="187">MAX(ABS(K148)*10^6/($H$6*P148*J148),0.001*G148*J148)/100</f>
        <v>0.76340000000000008</v>
      </c>
      <c r="S148" s="131">
        <f t="shared" si="123"/>
        <v>1.0000000000000002E-3</v>
      </c>
      <c r="T148" s="86">
        <v>3</v>
      </c>
      <c r="U148" s="77">
        <v>28</v>
      </c>
      <c r="V148" s="87" t="str">
        <f t="shared" ref="V148:V163" si="188">IF(X148="","","+")</f>
        <v>+</v>
      </c>
      <c r="W148" s="86">
        <v>3</v>
      </c>
      <c r="X148" s="77">
        <v>28</v>
      </c>
      <c r="Y148" s="88">
        <f t="shared" si="181"/>
        <v>36.945129606215971</v>
      </c>
      <c r="Z148" s="89" t="str">
        <f t="shared" ref="Z148:Z163" si="189">IF(Y148&gt;R148,"Ok","Not Ok")</f>
        <v>Ok</v>
      </c>
      <c r="AA148" s="80">
        <f t="shared" si="148"/>
        <v>499.2764795332306</v>
      </c>
      <c r="AB148" s="80">
        <f t="shared" si="182"/>
        <v>232.19110220366545</v>
      </c>
      <c r="AC148" s="89" t="str">
        <f t="shared" si="149"/>
        <v>Ok</v>
      </c>
      <c r="AD148" s="85">
        <f t="shared" si="183"/>
        <v>3.7318312733551483E-2</v>
      </c>
      <c r="AE148" s="85">
        <f t="shared" ref="AE148:AE163" si="190">$J$13*$H$4/$H$6</f>
        <v>1.9281988961466403E-2</v>
      </c>
      <c r="AF148" s="60" t="str">
        <f t="shared" si="184"/>
        <v>No-Ok</v>
      </c>
      <c r="AG148" s="77">
        <v>10</v>
      </c>
      <c r="AH148" s="76">
        <v>2</v>
      </c>
      <c r="AI148" s="76">
        <v>200</v>
      </c>
      <c r="AJ148" s="60">
        <f t="shared" ref="AJ148:AJ163" si="191">(10/AI148)*2*(3.14*AG148^2)/4</f>
        <v>7.8500000000000005</v>
      </c>
      <c r="AK148" s="60" t="str">
        <f t="shared" ref="AK148:AK163" si="192">IF(AND(AV148&gt;L148,BB148&gt;BA148,BJ148&gt;L148),"OK","NOT OK")</f>
        <v>OK</v>
      </c>
      <c r="AL148" s="109">
        <f t="shared" ref="AL148:AL163" si="193">IF(AG148&lt;10,$O$7,$O$8)</f>
        <v>300</v>
      </c>
      <c r="AT148" s="133" t="str">
        <f t="shared" ref="AT148:AT163" si="194">IF(L148&gt;BP148, "need","no need")</f>
        <v>no need</v>
      </c>
      <c r="AV148" s="61">
        <f t="shared" si="124"/>
        <v>389.334</v>
      </c>
      <c r="AW148" s="61" t="str">
        <f t="shared" si="125"/>
        <v>OK</v>
      </c>
      <c r="AX148" s="63" t="e">
        <f t="shared" si="126"/>
        <v>#DIV/0!</v>
      </c>
      <c r="AY148" s="63">
        <f t="shared" si="127"/>
        <v>173.5</v>
      </c>
      <c r="AZ148" s="63">
        <f t="shared" si="128"/>
        <v>372.33201581027674</v>
      </c>
      <c r="BA148" s="63">
        <f t="shared" si="143"/>
        <v>63.249999999999993</v>
      </c>
      <c r="BB148" s="63">
        <f t="shared" si="144"/>
        <v>235.5</v>
      </c>
      <c r="BC148" s="63" t="str">
        <f t="shared" si="145"/>
        <v>OK</v>
      </c>
      <c r="BD148" s="63">
        <f t="shared" si="129"/>
        <v>508.63855582042862</v>
      </c>
      <c r="BE148" s="63">
        <f t="shared" si="130"/>
        <v>280.76637499999998</v>
      </c>
      <c r="BF148" s="63">
        <f t="shared" si="131"/>
        <v>192.97537499999996</v>
      </c>
      <c r="BG148" s="63">
        <f t="shared" si="132"/>
        <v>273.59841317088518</v>
      </c>
      <c r="BH148" s="63">
        <f t="shared" si="133"/>
        <v>166.47324999999998</v>
      </c>
      <c r="BI148" s="63">
        <f t="shared" si="134"/>
        <v>166.47324999999998</v>
      </c>
      <c r="BJ148" s="63">
        <f t="shared" si="135"/>
        <v>166.47324999999998</v>
      </c>
      <c r="BK148" s="63" t="str">
        <f t="shared" si="136"/>
        <v>OK</v>
      </c>
      <c r="BL148" s="63">
        <f t="shared" si="137"/>
        <v>208.2</v>
      </c>
      <c r="BM148" s="63">
        <f t="shared" si="138"/>
        <v>347</v>
      </c>
      <c r="BN148" s="63">
        <f t="shared" si="139"/>
        <v>694</v>
      </c>
      <c r="BO148" s="63">
        <f t="shared" si="140"/>
        <v>1041</v>
      </c>
      <c r="BP148" s="63">
        <f t="shared" si="141"/>
        <v>43.895499999999991</v>
      </c>
      <c r="BQ148" s="63">
        <f t="shared" si="146"/>
        <v>417.99631252325759</v>
      </c>
      <c r="BR148" s="63" t="str">
        <f t="shared" si="147"/>
        <v>OK</v>
      </c>
      <c r="BW148" s="70">
        <f t="shared" ref="BW148:BW163" si="195">0.1*$H$4*G148^2*H148/1000000</f>
        <v>37.02600000000001</v>
      </c>
    </row>
    <row r="149" spans="4:104">
      <c r="D149" s="179" t="s">
        <v>90</v>
      </c>
      <c r="E149" s="179" t="s">
        <v>90</v>
      </c>
      <c r="F149" s="91" t="s">
        <v>15</v>
      </c>
      <c r="G149" s="78">
        <v>220</v>
      </c>
      <c r="H149" s="78">
        <v>450</v>
      </c>
      <c r="I149" s="92">
        <f t="shared" si="142"/>
        <v>97</v>
      </c>
      <c r="J149" s="93">
        <f t="shared" si="178"/>
        <v>353</v>
      </c>
      <c r="K149" s="94"/>
      <c r="L149" s="94"/>
      <c r="M149" s="94"/>
      <c r="N149" s="95">
        <f t="shared" si="185"/>
        <v>0</v>
      </c>
      <c r="O149" s="95">
        <f t="shared" si="179"/>
        <v>0</v>
      </c>
      <c r="P149" s="95">
        <f t="shared" si="180"/>
        <v>1</v>
      </c>
      <c r="Q149" s="96" t="str">
        <f t="shared" si="186"/>
        <v>Ok</v>
      </c>
      <c r="R149" s="97">
        <f t="shared" si="187"/>
        <v>0.77659999999999996</v>
      </c>
      <c r="S149" s="131">
        <f t="shared" ref="S149:S163" si="196">(R149)/(G149*J149/100)</f>
        <v>1E-3</v>
      </c>
      <c r="T149" s="99">
        <v>3</v>
      </c>
      <c r="U149" s="100">
        <v>22</v>
      </c>
      <c r="V149" s="101" t="str">
        <f t="shared" si="188"/>
        <v>+</v>
      </c>
      <c r="W149" s="99">
        <v>3</v>
      </c>
      <c r="X149" s="100">
        <v>22</v>
      </c>
      <c r="Y149" s="102">
        <f t="shared" si="181"/>
        <v>22.807962665061901</v>
      </c>
      <c r="Z149" s="103" t="str">
        <f t="shared" si="189"/>
        <v>Ok</v>
      </c>
      <c r="AA149" s="93">
        <f t="shared" si="148"/>
        <v>157.98139527665879</v>
      </c>
      <c r="AB149" s="93">
        <f t="shared" si="182"/>
        <v>258.3989793884802</v>
      </c>
      <c r="AC149" s="89" t="str">
        <f t="shared" si="149"/>
        <v>Ok</v>
      </c>
      <c r="AD149" s="98">
        <f t="shared" si="183"/>
        <v>2.3038346126325153E-2</v>
      </c>
      <c r="AE149" s="98">
        <f t="shared" si="190"/>
        <v>1.9281988961466403E-2</v>
      </c>
      <c r="AF149" s="104" t="str">
        <f t="shared" si="184"/>
        <v>No-Ok</v>
      </c>
      <c r="AG149" s="100">
        <v>10</v>
      </c>
      <c r="AH149" s="105">
        <v>2</v>
      </c>
      <c r="AI149" s="105">
        <v>200</v>
      </c>
      <c r="AJ149" s="104">
        <f t="shared" si="191"/>
        <v>7.8500000000000005</v>
      </c>
      <c r="AK149" s="60" t="str">
        <f t="shared" si="192"/>
        <v>OK</v>
      </c>
      <c r="AL149" s="109">
        <f t="shared" si="193"/>
        <v>300</v>
      </c>
      <c r="AT149" s="133" t="str">
        <f t="shared" si="194"/>
        <v>no need</v>
      </c>
      <c r="AV149" s="61">
        <f t="shared" ref="AV149:AV163" si="197">0.3*$H$4*G149*J149/1000</f>
        <v>396.06599999999997</v>
      </c>
      <c r="AW149" s="61" t="str">
        <f t="shared" ref="AW149:AW163" si="198">IF(L149&lt;AV149,"OK","Not ok")</f>
        <v>OK</v>
      </c>
      <c r="AX149" s="63" t="e">
        <f t="shared" ref="AX149:AX163" si="199">$K$4*G149*J149^2/(L149*1000)</f>
        <v>#DIV/0!</v>
      </c>
      <c r="AY149" s="63">
        <f t="shared" ref="AY149:AY163" si="200">MIN(1/2*J149,300)</f>
        <v>176.5</v>
      </c>
      <c r="AZ149" s="63">
        <f t="shared" ref="AZ149:AZ163" si="201">AL149*AJ149*10/BA149</f>
        <v>372.33201581027674</v>
      </c>
      <c r="BA149" s="63">
        <f t="shared" si="143"/>
        <v>63.249999999999993</v>
      </c>
      <c r="BB149" s="63">
        <f t="shared" si="144"/>
        <v>235.5</v>
      </c>
      <c r="BC149" s="63" t="str">
        <f t="shared" si="145"/>
        <v>OK</v>
      </c>
      <c r="BD149" s="63">
        <f t="shared" ref="BD149:BD163" si="202">SQRT((2*$K$4*G149*J149^2)/BB149)</f>
        <v>517.4334588029144</v>
      </c>
      <c r="BE149" s="63">
        <f t="shared" ref="BE149:BE163" si="203">2.5*$K$4*G149*J149/1000+(0.75*BB149*J149)/1000</f>
        <v>285.62112500000001</v>
      </c>
      <c r="BF149" s="63">
        <f t="shared" ref="BF149:BF163" si="204">1.5*$K$4*G149*J149/1000+(0.75*BB149*J149)/1000</f>
        <v>196.31212499999998</v>
      </c>
      <c r="BG149" s="63">
        <f t="shared" ref="BG149:BG163" si="205">IF(BD149&lt;J149,BF149,IF(BD149&lt;2*J149,(1.5*$K$4*H149*J149*J149/BD149)/1000+(0.75*BB149*BD149)/1000,(0.75*$K$4*H149*J149*J149/BD149)/1000+(1.5*BB149*BD149)/1000))</f>
        <v>278.3292214677881</v>
      </c>
      <c r="BH149" s="63">
        <f t="shared" ref="BH149:BH163" si="206">0.5*$K$4*G149*J149/1000+(1.5*BB149*J149)/1000</f>
        <v>169.35174999999998</v>
      </c>
      <c r="BI149" s="63">
        <f t="shared" ref="BI149:BI163" si="207">0.5*$K$4*G149*J149/1000+(1.5*BB149*J149)/1000</f>
        <v>169.35174999999998</v>
      </c>
      <c r="BJ149" s="63">
        <f t="shared" ref="BJ149:BJ163" si="208">MIN(BE149:BI149)</f>
        <v>169.35174999999998</v>
      </c>
      <c r="BK149" s="63" t="str">
        <f t="shared" ref="BK149:BK163" si="209">IF(BJ149&gt;L149,"OK","NOT OK")</f>
        <v>OK</v>
      </c>
      <c r="BL149" s="63">
        <f t="shared" ref="BL149:BL163" si="210">0.6*J149</f>
        <v>211.79999999999998</v>
      </c>
      <c r="BM149" s="63">
        <f t="shared" ref="BM149:BM163" si="211">J149</f>
        <v>353</v>
      </c>
      <c r="BN149" s="63">
        <f t="shared" ref="BN149:BN163" si="212">2*J149</f>
        <v>706</v>
      </c>
      <c r="BO149" s="63">
        <f t="shared" ref="BO149:BO163" si="213">3*J149</f>
        <v>1059</v>
      </c>
      <c r="BP149" s="63">
        <f t="shared" ref="BP149:BP163" si="214">0.5*$K$4*G149*J149/1000</f>
        <v>44.654499999999992</v>
      </c>
      <c r="BQ149" s="63">
        <f t="shared" si="146"/>
        <v>516.07959270692425</v>
      </c>
      <c r="BR149" s="63" t="str">
        <f t="shared" si="147"/>
        <v>OK</v>
      </c>
      <c r="BW149" s="70">
        <f t="shared" si="195"/>
        <v>37.02600000000001</v>
      </c>
    </row>
    <row r="150" spans="4:104">
      <c r="D150" s="180"/>
      <c r="E150" s="180"/>
      <c r="F150" s="106" t="s">
        <v>16</v>
      </c>
      <c r="G150" s="78">
        <v>220</v>
      </c>
      <c r="H150" s="78">
        <v>450</v>
      </c>
      <c r="I150" s="92">
        <f t="shared" ref="I150:I163" si="215">$J$12+((T150*fi(U150)*U150/2+W150*fi(X150)*(U150+30+X150/2)))/(T150*fi(U150)+W150*fi(X150))</f>
        <v>100</v>
      </c>
      <c r="J150" s="93">
        <f t="shared" si="178"/>
        <v>350</v>
      </c>
      <c r="K150" s="94"/>
      <c r="L150" s="94"/>
      <c r="M150" s="94"/>
      <c r="N150" s="95">
        <f t="shared" si="185"/>
        <v>0</v>
      </c>
      <c r="O150" s="95">
        <f t="shared" si="179"/>
        <v>0</v>
      </c>
      <c r="P150" s="95">
        <f t="shared" si="180"/>
        <v>1</v>
      </c>
      <c r="Q150" s="96" t="str">
        <f t="shared" si="186"/>
        <v>Ok</v>
      </c>
      <c r="R150" s="97">
        <f t="shared" si="187"/>
        <v>0.77</v>
      </c>
      <c r="S150" s="131">
        <f t="shared" si="196"/>
        <v>1E-3</v>
      </c>
      <c r="T150" s="99">
        <v>3</v>
      </c>
      <c r="U150" s="100">
        <v>25</v>
      </c>
      <c r="V150" s="101" t="str">
        <f t="shared" si="188"/>
        <v>+</v>
      </c>
      <c r="W150" s="99">
        <v>3</v>
      </c>
      <c r="X150" s="100">
        <v>25</v>
      </c>
      <c r="Y150" s="102">
        <f t="shared" si="181"/>
        <v>29.45243112740431</v>
      </c>
      <c r="Z150" s="103" t="str">
        <f t="shared" si="189"/>
        <v>Ok</v>
      </c>
      <c r="AA150" s="93">
        <f t="shared" si="148"/>
        <v>214.63361574030029</v>
      </c>
      <c r="AB150" s="93">
        <f t="shared" si="182"/>
        <v>314.38983440715214</v>
      </c>
      <c r="AC150" s="89" t="str">
        <f t="shared" si="149"/>
        <v>Ok</v>
      </c>
      <c r="AD150" s="98">
        <f t="shared" si="183"/>
        <v>2.9749930431721527E-2</v>
      </c>
      <c r="AE150" s="98">
        <f t="shared" si="190"/>
        <v>1.9281988961466403E-2</v>
      </c>
      <c r="AF150" s="104" t="str">
        <f t="shared" si="184"/>
        <v>No-Ok</v>
      </c>
      <c r="AG150" s="100">
        <v>10</v>
      </c>
      <c r="AH150" s="105">
        <v>2</v>
      </c>
      <c r="AI150" s="105">
        <v>200</v>
      </c>
      <c r="AJ150" s="104">
        <f t="shared" si="191"/>
        <v>7.8500000000000005</v>
      </c>
      <c r="AK150" s="60" t="str">
        <f t="shared" si="192"/>
        <v>OK</v>
      </c>
      <c r="AL150" s="109">
        <f t="shared" si="193"/>
        <v>300</v>
      </c>
      <c r="AT150" s="133" t="str">
        <f t="shared" si="194"/>
        <v>no need</v>
      </c>
      <c r="AV150" s="61">
        <f t="shared" si="197"/>
        <v>392.7</v>
      </c>
      <c r="AW150" s="61" t="str">
        <f t="shared" si="198"/>
        <v>OK</v>
      </c>
      <c r="AX150" s="63" t="e">
        <f t="shared" si="199"/>
        <v>#DIV/0!</v>
      </c>
      <c r="AY150" s="63">
        <f t="shared" si="200"/>
        <v>175</v>
      </c>
      <c r="AZ150" s="63">
        <f t="shared" si="201"/>
        <v>372.33201581027674</v>
      </c>
      <c r="BA150" s="63">
        <f t="shared" ref="BA150:BA163" si="216">0.25*$K$4*G150</f>
        <v>63.249999999999993</v>
      </c>
      <c r="BB150" s="63">
        <f t="shared" ref="BB150:BB163" si="217">(AL150*AH150*(3.14*AG150^2/4)/AI150)</f>
        <v>235.5</v>
      </c>
      <c r="BC150" s="63" t="str">
        <f t="shared" ref="BC150:BC163" si="218">IF(BB150&gt;BA150,"OK","NOT OK")</f>
        <v>OK</v>
      </c>
      <c r="BD150" s="63">
        <f t="shared" si="202"/>
        <v>513.03600731167148</v>
      </c>
      <c r="BE150" s="63">
        <f t="shared" si="203"/>
        <v>283.19375000000002</v>
      </c>
      <c r="BF150" s="63">
        <f t="shared" si="204"/>
        <v>194.64374999999995</v>
      </c>
      <c r="BG150" s="63">
        <f t="shared" si="205"/>
        <v>275.96381731933667</v>
      </c>
      <c r="BH150" s="63">
        <f t="shared" si="206"/>
        <v>167.91249999999999</v>
      </c>
      <c r="BI150" s="63">
        <f t="shared" si="207"/>
        <v>167.91249999999999</v>
      </c>
      <c r="BJ150" s="63">
        <f t="shared" si="208"/>
        <v>167.91249999999999</v>
      </c>
      <c r="BK150" s="63" t="str">
        <f t="shared" si="209"/>
        <v>OK</v>
      </c>
      <c r="BL150" s="63">
        <f t="shared" si="210"/>
        <v>210</v>
      </c>
      <c r="BM150" s="63">
        <f t="shared" si="211"/>
        <v>350</v>
      </c>
      <c r="BN150" s="63">
        <f t="shared" si="212"/>
        <v>700</v>
      </c>
      <c r="BO150" s="63">
        <f t="shared" si="213"/>
        <v>1050</v>
      </c>
      <c r="BP150" s="63">
        <f t="shared" si="214"/>
        <v>44.274999999999991</v>
      </c>
      <c r="BQ150" s="63">
        <f t="shared" ref="BQ150:BQ163" si="219">($H$6*Y149*100*0.9*J149+0.5*BB149*J149^2)/10^6</f>
        <v>329.87761338302221</v>
      </c>
      <c r="BR150" s="63" t="str">
        <f t="shared" ref="BR150:BR163" si="220">IF(K149&lt;=BQ150,"OK","NOT OK")</f>
        <v>OK</v>
      </c>
      <c r="BW150" s="70">
        <f t="shared" si="195"/>
        <v>37.02600000000001</v>
      </c>
    </row>
    <row r="151" spans="4:104">
      <c r="D151" s="181"/>
      <c r="E151" s="181"/>
      <c r="F151" s="91" t="s">
        <v>15</v>
      </c>
      <c r="G151" s="78">
        <v>220</v>
      </c>
      <c r="H151" s="78">
        <v>450</v>
      </c>
      <c r="I151" s="92">
        <f t="shared" si="215"/>
        <v>103</v>
      </c>
      <c r="J151" s="93">
        <f t="shared" si="178"/>
        <v>347</v>
      </c>
      <c r="K151" s="94"/>
      <c r="L151" s="94"/>
      <c r="M151" s="94"/>
      <c r="N151" s="95">
        <f t="shared" si="185"/>
        <v>0</v>
      </c>
      <c r="O151" s="95">
        <f t="shared" si="179"/>
        <v>0</v>
      </c>
      <c r="P151" s="95">
        <f t="shared" si="180"/>
        <v>1</v>
      </c>
      <c r="Q151" s="96" t="str">
        <f t="shared" si="186"/>
        <v>Ok</v>
      </c>
      <c r="R151" s="97">
        <f t="shared" si="187"/>
        <v>0.76340000000000008</v>
      </c>
      <c r="S151" s="131">
        <f t="shared" si="196"/>
        <v>1.0000000000000002E-3</v>
      </c>
      <c r="T151" s="99">
        <v>3</v>
      </c>
      <c r="U151" s="100">
        <v>28</v>
      </c>
      <c r="V151" s="101" t="str">
        <f t="shared" si="188"/>
        <v>+</v>
      </c>
      <c r="W151" s="99">
        <v>3</v>
      </c>
      <c r="X151" s="100">
        <v>28</v>
      </c>
      <c r="Y151" s="102">
        <f t="shared" si="181"/>
        <v>36.945129606215971</v>
      </c>
      <c r="Z151" s="103" t="str">
        <f t="shared" si="189"/>
        <v>Ok</v>
      </c>
      <c r="AA151" s="93">
        <f t="shared" ref="AA151:AA163" si="221">($H$6*Y151*100-$H$6*(T152*PI()*U152^2/4))/($J$11*$H$4*G151)</f>
        <v>499.2764795332306</v>
      </c>
      <c r="AB151" s="93">
        <f t="shared" si="182"/>
        <v>234.77068278108396</v>
      </c>
      <c r="AC151" s="89" t="str">
        <f t="shared" ref="AC151:AC163" si="222">IF(ABS(K151)&lt;AB151,"Ok","Not Ok")</f>
        <v>Ok</v>
      </c>
      <c r="AD151" s="98">
        <f t="shared" si="183"/>
        <v>3.7318312733551483E-2</v>
      </c>
      <c r="AE151" s="98">
        <f t="shared" si="190"/>
        <v>1.9281988961466403E-2</v>
      </c>
      <c r="AF151" s="104" t="str">
        <f t="shared" si="184"/>
        <v>No-Ok</v>
      </c>
      <c r="AG151" s="100">
        <v>10</v>
      </c>
      <c r="AH151" s="105">
        <v>2</v>
      </c>
      <c r="AI151" s="105">
        <v>200</v>
      </c>
      <c r="AJ151" s="104">
        <f t="shared" si="191"/>
        <v>7.8500000000000005</v>
      </c>
      <c r="AK151" s="60" t="str">
        <f t="shared" si="192"/>
        <v>OK</v>
      </c>
      <c r="AL151" s="109">
        <f t="shared" si="193"/>
        <v>300</v>
      </c>
      <c r="AT151" s="133" t="str">
        <f t="shared" si="194"/>
        <v>no need</v>
      </c>
      <c r="AV151" s="61">
        <f t="shared" si="197"/>
        <v>389.334</v>
      </c>
      <c r="AW151" s="61" t="str">
        <f t="shared" si="198"/>
        <v>OK</v>
      </c>
      <c r="AX151" s="63" t="e">
        <f t="shared" si="199"/>
        <v>#DIV/0!</v>
      </c>
      <c r="AY151" s="63">
        <f t="shared" si="200"/>
        <v>173.5</v>
      </c>
      <c r="AZ151" s="63">
        <f t="shared" si="201"/>
        <v>372.33201581027674</v>
      </c>
      <c r="BA151" s="63">
        <f t="shared" si="216"/>
        <v>63.249999999999993</v>
      </c>
      <c r="BB151" s="63">
        <f t="shared" si="217"/>
        <v>235.5</v>
      </c>
      <c r="BC151" s="63" t="str">
        <f t="shared" si="218"/>
        <v>OK</v>
      </c>
      <c r="BD151" s="63">
        <f t="shared" si="202"/>
        <v>508.63855582042862</v>
      </c>
      <c r="BE151" s="63">
        <f t="shared" si="203"/>
        <v>280.76637499999998</v>
      </c>
      <c r="BF151" s="63">
        <f t="shared" si="204"/>
        <v>192.97537499999996</v>
      </c>
      <c r="BG151" s="63">
        <f t="shared" si="205"/>
        <v>273.59841317088518</v>
      </c>
      <c r="BH151" s="63">
        <f t="shared" si="206"/>
        <v>166.47324999999998</v>
      </c>
      <c r="BI151" s="63">
        <f t="shared" si="207"/>
        <v>166.47324999999998</v>
      </c>
      <c r="BJ151" s="63">
        <f t="shared" si="208"/>
        <v>166.47324999999998</v>
      </c>
      <c r="BK151" s="63" t="str">
        <f t="shared" si="209"/>
        <v>OK</v>
      </c>
      <c r="BL151" s="63">
        <f t="shared" si="210"/>
        <v>208.2</v>
      </c>
      <c r="BM151" s="63">
        <f t="shared" si="211"/>
        <v>347</v>
      </c>
      <c r="BN151" s="63">
        <f t="shared" si="212"/>
        <v>694</v>
      </c>
      <c r="BO151" s="63">
        <f t="shared" si="213"/>
        <v>1041</v>
      </c>
      <c r="BP151" s="63">
        <f t="shared" si="214"/>
        <v>43.895499999999991</v>
      </c>
      <c r="BQ151" s="63">
        <f t="shared" si="219"/>
        <v>417.99631252325759</v>
      </c>
      <c r="BR151" s="63" t="str">
        <f t="shared" si="220"/>
        <v>OK</v>
      </c>
      <c r="BW151" s="70">
        <f t="shared" si="195"/>
        <v>37.02600000000001</v>
      </c>
    </row>
    <row r="152" spans="4:104" ht="12.75" customHeight="1">
      <c r="D152" s="176" t="s">
        <v>90</v>
      </c>
      <c r="E152" s="176" t="s">
        <v>90</v>
      </c>
      <c r="F152" s="67" t="s">
        <v>15</v>
      </c>
      <c r="G152" s="78">
        <v>220</v>
      </c>
      <c r="H152" s="78">
        <v>450</v>
      </c>
      <c r="I152" s="79">
        <f t="shared" si="215"/>
        <v>91.8</v>
      </c>
      <c r="J152" s="80">
        <f>H152-I152</f>
        <v>358.2</v>
      </c>
      <c r="K152" s="81"/>
      <c r="L152" s="81"/>
      <c r="M152" s="81"/>
      <c r="N152" s="82">
        <f t="shared" si="185"/>
        <v>0</v>
      </c>
      <c r="O152" s="82">
        <f>ROUND(1-SQRT(1-2*N152),3)</f>
        <v>0</v>
      </c>
      <c r="P152" s="82">
        <f>1-0.5*O152</f>
        <v>1</v>
      </c>
      <c r="Q152" s="83" t="str">
        <f t="shared" si="186"/>
        <v>Ok</v>
      </c>
      <c r="R152" s="84">
        <f t="shared" si="187"/>
        <v>0.78804000000000007</v>
      </c>
      <c r="S152" s="131">
        <f t="shared" si="196"/>
        <v>1.0000000000000002E-3</v>
      </c>
      <c r="T152" s="86">
        <v>3</v>
      </c>
      <c r="U152" s="77">
        <v>22</v>
      </c>
      <c r="V152" s="87" t="str">
        <f t="shared" si="188"/>
        <v>+</v>
      </c>
      <c r="W152" s="86">
        <v>2</v>
      </c>
      <c r="X152" s="77">
        <v>22</v>
      </c>
      <c r="Y152" s="88">
        <f>(T152*PI()*U152^2/4+W152*PI()*X152^2/4)/100</f>
        <v>19.006635554218249</v>
      </c>
      <c r="Z152" s="89" t="str">
        <f t="shared" si="189"/>
        <v>Ok</v>
      </c>
      <c r="AA152" s="90">
        <f t="shared" si="221"/>
        <v>292.93343264126815</v>
      </c>
      <c r="AB152" s="80">
        <f>($J$11*$H$4*G152*ABS(AA152)*(J152-0.5*ABS(AA152))+$H$6*(T153*PI()*U153^2/4)*(J152-I153))*10^-6</f>
        <v>188.78437744265727</v>
      </c>
      <c r="AC152" s="89" t="str">
        <f t="shared" si="222"/>
        <v>Ok</v>
      </c>
      <c r="AD152" s="85">
        <f>(Y152*100)/(G152*H152)</f>
        <v>1.9198621771937624E-2</v>
      </c>
      <c r="AE152" s="85">
        <f t="shared" si="190"/>
        <v>1.9281988961466403E-2</v>
      </c>
      <c r="AF152" s="60" t="str">
        <f>IF(AND(AD152&gt;0.1%,AD152&lt;AE152),"Ok","No-Ok")</f>
        <v>Ok</v>
      </c>
      <c r="AG152" s="77">
        <v>10</v>
      </c>
      <c r="AH152" s="76">
        <v>2</v>
      </c>
      <c r="AI152" s="76">
        <v>100</v>
      </c>
      <c r="AJ152" s="60">
        <f t="shared" si="191"/>
        <v>15.700000000000001</v>
      </c>
      <c r="AK152" s="60" t="str">
        <f t="shared" si="192"/>
        <v>OK</v>
      </c>
      <c r="AL152" s="109">
        <f t="shared" si="193"/>
        <v>300</v>
      </c>
      <c r="AT152" s="133" t="str">
        <f t="shared" si="194"/>
        <v>no need</v>
      </c>
      <c r="AV152" s="61">
        <f t="shared" si="197"/>
        <v>401.90039999999999</v>
      </c>
      <c r="AW152" s="61" t="str">
        <f t="shared" si="198"/>
        <v>OK</v>
      </c>
      <c r="AX152" s="63" t="e">
        <f t="shared" si="199"/>
        <v>#DIV/0!</v>
      </c>
      <c r="AY152" s="63">
        <f t="shared" si="200"/>
        <v>179.1</v>
      </c>
      <c r="AZ152" s="63">
        <f t="shared" si="201"/>
        <v>744.66403162055349</v>
      </c>
      <c r="BA152" s="63">
        <f t="shared" si="216"/>
        <v>63.249999999999993</v>
      </c>
      <c r="BB152" s="63">
        <f t="shared" si="217"/>
        <v>471</v>
      </c>
      <c r="BC152" s="63" t="str">
        <f t="shared" si="218"/>
        <v>OK</v>
      </c>
      <c r="BD152" s="63">
        <f t="shared" si="202"/>
        <v>371.27045166597185</v>
      </c>
      <c r="BE152" s="63">
        <f t="shared" si="203"/>
        <v>353.09564999999998</v>
      </c>
      <c r="BF152" s="63">
        <f t="shared" si="204"/>
        <v>262.47104999999993</v>
      </c>
      <c r="BG152" s="63">
        <f t="shared" si="205"/>
        <v>399.41528329169569</v>
      </c>
      <c r="BH152" s="63">
        <f t="shared" si="206"/>
        <v>298.38059999999996</v>
      </c>
      <c r="BI152" s="63">
        <f t="shared" si="207"/>
        <v>298.38059999999996</v>
      </c>
      <c r="BJ152" s="63">
        <f t="shared" si="208"/>
        <v>262.47104999999993</v>
      </c>
      <c r="BK152" s="63" t="str">
        <f t="shared" si="209"/>
        <v>OK</v>
      </c>
      <c r="BL152" s="63">
        <f t="shared" si="210"/>
        <v>214.92</v>
      </c>
      <c r="BM152" s="63">
        <f t="shared" si="211"/>
        <v>358.2</v>
      </c>
      <c r="BN152" s="63">
        <f t="shared" si="212"/>
        <v>716.4</v>
      </c>
      <c r="BO152" s="63">
        <f t="shared" si="213"/>
        <v>1074.5999999999999</v>
      </c>
      <c r="BP152" s="63">
        <f t="shared" si="214"/>
        <v>45.312299999999993</v>
      </c>
      <c r="BQ152" s="63">
        <f t="shared" si="219"/>
        <v>516.07959270692425</v>
      </c>
      <c r="BR152" s="63" t="str">
        <f t="shared" si="220"/>
        <v>OK</v>
      </c>
      <c r="BU152" s="70">
        <v>12</v>
      </c>
      <c r="BV152" s="70">
        <v>1</v>
      </c>
      <c r="BW152" s="70">
        <f t="shared" si="195"/>
        <v>37.02600000000001</v>
      </c>
      <c r="BX152" s="70" t="str">
        <f>IF(BW152&gt;AT152,"OK","NOT OK")</f>
        <v>NOT OK</v>
      </c>
      <c r="BY152" s="70">
        <f>G152</f>
        <v>220</v>
      </c>
      <c r="BZ152" s="70">
        <f>H152</f>
        <v>450</v>
      </c>
      <c r="CA152" s="70">
        <f>BY152/(2*BZ152+BY152)</f>
        <v>0.19642857142857142</v>
      </c>
      <c r="CB152" s="27">
        <f>O139*AJ152/10</f>
        <v>0</v>
      </c>
      <c r="CE152" s="71">
        <f>CB152*CA152*BY152*BZ152/1000000</f>
        <v>0</v>
      </c>
      <c r="CF152" s="71"/>
      <c r="CG152" s="71"/>
      <c r="CH152" s="70">
        <f>T153*3.14*U153^2/4</f>
        <v>401.92</v>
      </c>
      <c r="CI152" s="71">
        <f>0.5*$H$6*CH152*BZ152/1000000</f>
        <v>39.337919999999997</v>
      </c>
      <c r="CJ152" s="70" t="str">
        <f>IF((CI152+CE152)&gt;AT152,"OK","NOT OK")</f>
        <v>NOT OK</v>
      </c>
      <c r="CK152" s="27">
        <f>BZ152</f>
        <v>450</v>
      </c>
      <c r="CL152" s="27">
        <f>BY152</f>
        <v>220</v>
      </c>
      <c r="CM152" s="74">
        <f>CK152/(2*CL152+CK152)</f>
        <v>0.5056179775280899</v>
      </c>
      <c r="CN152" s="74"/>
      <c r="CO152" s="27">
        <f>O139*AJ152/10</f>
        <v>0</v>
      </c>
      <c r="CP152" s="74">
        <f>CO152*CM152*CK152*CL152/1000000</f>
        <v>0</v>
      </c>
      <c r="CQ152" s="27">
        <f>3.14*U153^2/4+3.14*U152^2/4+BV152*3.14*BU152^2/4</f>
        <v>693.93999999999994</v>
      </c>
      <c r="CT152" s="71">
        <f>0.5*$H$6*CQ152*CL152/1000000</f>
        <v>33.205028999999996</v>
      </c>
      <c r="CU152" s="71"/>
      <c r="CV152" s="70" t="str">
        <f>IF((CT152+CP152)&gt;U152,"OK","NOT OK")</f>
        <v>OK</v>
      </c>
      <c r="CW152" s="74">
        <f>MIN((CP152+CT152),(CE152+CI152))</f>
        <v>33.205028999999996</v>
      </c>
      <c r="CX152" s="71">
        <f>AB152</f>
        <v>188.78437744265727</v>
      </c>
      <c r="CY152" s="71">
        <f>(BG152+BO152*J152)/1000</f>
        <v>385.32113528329171</v>
      </c>
      <c r="CZ152" s="62">
        <f>CW152*SQRT(1-(K152/CX152)^1)</f>
        <v>33.205028999999996</v>
      </c>
    </row>
    <row r="153" spans="4:104">
      <c r="D153" s="177"/>
      <c r="E153" s="177"/>
      <c r="F153" s="68" t="s">
        <v>16</v>
      </c>
      <c r="G153" s="78">
        <v>220</v>
      </c>
      <c r="H153" s="78">
        <v>450</v>
      </c>
      <c r="I153" s="79">
        <f t="shared" si="215"/>
        <v>68</v>
      </c>
      <c r="J153" s="80">
        <f t="shared" ref="J153:J163" si="223">H153-I153</f>
        <v>382</v>
      </c>
      <c r="K153" s="81"/>
      <c r="L153" s="81"/>
      <c r="M153" s="81"/>
      <c r="N153" s="82">
        <f t="shared" si="185"/>
        <v>0</v>
      </c>
      <c r="O153" s="82">
        <f t="shared" ref="O153:O163" si="224">ROUND(1-SQRT(1-2*N153),3)</f>
        <v>0</v>
      </c>
      <c r="P153" s="82">
        <f t="shared" ref="P153:P163" si="225">1-0.5*O153</f>
        <v>1</v>
      </c>
      <c r="Q153" s="83" t="str">
        <f t="shared" si="186"/>
        <v>Ok</v>
      </c>
      <c r="R153" s="84">
        <f t="shared" si="187"/>
        <v>0.84040000000000004</v>
      </c>
      <c r="S153" s="131">
        <f t="shared" si="196"/>
        <v>1E-3</v>
      </c>
      <c r="T153" s="86">
        <v>2</v>
      </c>
      <c r="U153" s="77">
        <v>16</v>
      </c>
      <c r="V153" s="87" t="str">
        <f t="shared" si="188"/>
        <v>+</v>
      </c>
      <c r="W153" s="86">
        <v>0</v>
      </c>
      <c r="X153" s="77">
        <v>0</v>
      </c>
      <c r="Y153" s="88">
        <f t="shared" ref="Y153:Y163" si="226">(T153*PI()*U153^2/4+W153*PI()*X153^2/4)/100</f>
        <v>4.0212385965949355</v>
      </c>
      <c r="Z153" s="89" t="str">
        <f t="shared" si="189"/>
        <v>Ok</v>
      </c>
      <c r="AA153" s="80">
        <f t="shared" si="221"/>
        <v>-282.49345705447246</v>
      </c>
      <c r="AB153" s="80">
        <f t="shared" ref="AB153:AB163" si="227">($J$11*$H$4*G153*AA153*(J153-0.5*AA153)+$H$6*(T154*PI()*U154^2/4)*(J153-I154))*10^-6</f>
        <v>-81.434575247006478</v>
      </c>
      <c r="AC153" s="89" t="str">
        <f t="shared" si="222"/>
        <v>Not Ok</v>
      </c>
      <c r="AD153" s="85">
        <f t="shared" ref="AD153:AD163" si="228">(Y153*100)/(G153*H153)</f>
        <v>4.0618571682777133E-3</v>
      </c>
      <c r="AE153" s="85">
        <f t="shared" si="190"/>
        <v>1.9281988961466403E-2</v>
      </c>
      <c r="AF153" s="60" t="str">
        <f t="shared" ref="AF153:AF163" si="229">IF(AND(AD153&gt;0.1%,AD153&lt;AE153),"Ok","No-Ok")</f>
        <v>Ok</v>
      </c>
      <c r="AG153" s="77">
        <v>10</v>
      </c>
      <c r="AH153" s="76">
        <v>2</v>
      </c>
      <c r="AI153" s="76">
        <v>200</v>
      </c>
      <c r="AJ153" s="60">
        <f t="shared" si="191"/>
        <v>7.8500000000000005</v>
      </c>
      <c r="AK153" s="60" t="str">
        <f t="shared" si="192"/>
        <v>OK</v>
      </c>
      <c r="AL153" s="109">
        <f t="shared" si="193"/>
        <v>300</v>
      </c>
      <c r="AT153" s="133" t="str">
        <f t="shared" si="194"/>
        <v>no need</v>
      </c>
      <c r="AV153" s="61">
        <f t="shared" si="197"/>
        <v>428.60399999999998</v>
      </c>
      <c r="AW153" s="61" t="str">
        <f t="shared" si="198"/>
        <v>OK</v>
      </c>
      <c r="AX153" s="63" t="e">
        <f t="shared" si="199"/>
        <v>#DIV/0!</v>
      </c>
      <c r="AY153" s="63">
        <f t="shared" si="200"/>
        <v>191</v>
      </c>
      <c r="AZ153" s="63">
        <f t="shared" si="201"/>
        <v>372.33201581027674</v>
      </c>
      <c r="BA153" s="63">
        <f t="shared" si="216"/>
        <v>63.249999999999993</v>
      </c>
      <c r="BB153" s="63">
        <f t="shared" si="217"/>
        <v>235.5</v>
      </c>
      <c r="BC153" s="63" t="str">
        <f t="shared" si="218"/>
        <v>OK</v>
      </c>
      <c r="BD153" s="63">
        <f t="shared" si="202"/>
        <v>559.94215655159576</v>
      </c>
      <c r="BE153" s="63">
        <f t="shared" si="203"/>
        <v>309.08575000000002</v>
      </c>
      <c r="BF153" s="63">
        <f t="shared" si="204"/>
        <v>212.43974999999995</v>
      </c>
      <c r="BG153" s="63">
        <f t="shared" si="205"/>
        <v>301.19479490281884</v>
      </c>
      <c r="BH153" s="63">
        <f t="shared" si="206"/>
        <v>183.2645</v>
      </c>
      <c r="BI153" s="63">
        <f t="shared" si="207"/>
        <v>183.2645</v>
      </c>
      <c r="BJ153" s="63">
        <f t="shared" si="208"/>
        <v>183.2645</v>
      </c>
      <c r="BK153" s="63" t="str">
        <f t="shared" si="209"/>
        <v>OK</v>
      </c>
      <c r="BL153" s="63">
        <f t="shared" si="210"/>
        <v>229.2</v>
      </c>
      <c r="BM153" s="63">
        <f t="shared" si="211"/>
        <v>382</v>
      </c>
      <c r="BN153" s="63">
        <f t="shared" si="212"/>
        <v>764</v>
      </c>
      <c r="BO153" s="63">
        <f t="shared" si="213"/>
        <v>1146</v>
      </c>
      <c r="BP153" s="63">
        <f t="shared" si="214"/>
        <v>48.322999999999993</v>
      </c>
      <c r="BQ153" s="63">
        <f t="shared" si="219"/>
        <v>296.75647891364622</v>
      </c>
      <c r="BR153" s="63" t="str">
        <f t="shared" si="220"/>
        <v>OK</v>
      </c>
      <c r="BW153" s="70">
        <f t="shared" si="195"/>
        <v>37.02600000000001</v>
      </c>
    </row>
    <row r="154" spans="4:104">
      <c r="D154" s="178"/>
      <c r="E154" s="178"/>
      <c r="F154" s="67" t="s">
        <v>15</v>
      </c>
      <c r="G154" s="78">
        <v>220</v>
      </c>
      <c r="H154" s="78">
        <v>450</v>
      </c>
      <c r="I154" s="79">
        <f t="shared" si="215"/>
        <v>74</v>
      </c>
      <c r="J154" s="80">
        <f t="shared" si="223"/>
        <v>376</v>
      </c>
      <c r="K154" s="81"/>
      <c r="L154" s="81"/>
      <c r="M154" s="81"/>
      <c r="N154" s="82">
        <f t="shared" si="185"/>
        <v>0</v>
      </c>
      <c r="O154" s="82">
        <f t="shared" si="224"/>
        <v>0</v>
      </c>
      <c r="P154" s="82">
        <f t="shared" si="225"/>
        <v>1</v>
      </c>
      <c r="Q154" s="83" t="str">
        <f t="shared" si="186"/>
        <v>Ok</v>
      </c>
      <c r="R154" s="84">
        <f t="shared" si="187"/>
        <v>0.82719999999999994</v>
      </c>
      <c r="S154" s="131">
        <f t="shared" si="196"/>
        <v>9.999999999999998E-4</v>
      </c>
      <c r="T154" s="86">
        <v>3</v>
      </c>
      <c r="U154" s="77">
        <v>28</v>
      </c>
      <c r="V154" s="87" t="str">
        <f t="shared" si="188"/>
        <v>+</v>
      </c>
      <c r="W154" s="86">
        <v>0</v>
      </c>
      <c r="X154" s="77">
        <v>0</v>
      </c>
      <c r="Y154" s="88">
        <f t="shared" si="226"/>
        <v>18.472564803107986</v>
      </c>
      <c r="Z154" s="89" t="str">
        <f t="shared" si="189"/>
        <v>Ok</v>
      </c>
      <c r="AA154" s="80">
        <f t="shared" si="221"/>
        <v>0</v>
      </c>
      <c r="AB154" s="80">
        <f t="shared" si="227"/>
        <v>219.37094331930888</v>
      </c>
      <c r="AC154" s="89" t="str">
        <f t="shared" si="222"/>
        <v>Ok</v>
      </c>
      <c r="AD154" s="85">
        <f t="shared" si="228"/>
        <v>1.8659156366775741E-2</v>
      </c>
      <c r="AE154" s="85">
        <f t="shared" si="190"/>
        <v>1.9281988961466403E-2</v>
      </c>
      <c r="AF154" s="60" t="str">
        <f t="shared" si="229"/>
        <v>Ok</v>
      </c>
      <c r="AG154" s="77">
        <v>10</v>
      </c>
      <c r="AH154" s="76">
        <v>2</v>
      </c>
      <c r="AI154" s="76">
        <v>200</v>
      </c>
      <c r="AJ154" s="60">
        <f t="shared" si="191"/>
        <v>7.8500000000000005</v>
      </c>
      <c r="AK154" s="60" t="str">
        <f t="shared" si="192"/>
        <v>OK</v>
      </c>
      <c r="AL154" s="109">
        <f t="shared" si="193"/>
        <v>300</v>
      </c>
      <c r="AT154" s="133" t="str">
        <f t="shared" si="194"/>
        <v>no need</v>
      </c>
      <c r="AV154" s="61">
        <f t="shared" si="197"/>
        <v>421.87200000000001</v>
      </c>
      <c r="AW154" s="61" t="str">
        <f t="shared" si="198"/>
        <v>OK</v>
      </c>
      <c r="AX154" s="63" t="e">
        <f t="shared" si="199"/>
        <v>#DIV/0!</v>
      </c>
      <c r="AY154" s="63">
        <f t="shared" si="200"/>
        <v>188</v>
      </c>
      <c r="AZ154" s="63">
        <f t="shared" si="201"/>
        <v>372.33201581027674</v>
      </c>
      <c r="BA154" s="63">
        <f t="shared" si="216"/>
        <v>63.249999999999993</v>
      </c>
      <c r="BB154" s="63">
        <f t="shared" si="217"/>
        <v>235.5</v>
      </c>
      <c r="BC154" s="63" t="str">
        <f t="shared" si="218"/>
        <v>OK</v>
      </c>
      <c r="BD154" s="63">
        <f t="shared" si="202"/>
        <v>551.14725356910992</v>
      </c>
      <c r="BE154" s="63">
        <f t="shared" si="203"/>
        <v>304.23099999999999</v>
      </c>
      <c r="BF154" s="63">
        <f t="shared" si="204"/>
        <v>209.10299999999998</v>
      </c>
      <c r="BG154" s="63">
        <f t="shared" si="205"/>
        <v>296.46398660591598</v>
      </c>
      <c r="BH154" s="63">
        <f t="shared" si="206"/>
        <v>180.386</v>
      </c>
      <c r="BI154" s="63">
        <f t="shared" si="207"/>
        <v>180.386</v>
      </c>
      <c r="BJ154" s="63">
        <f t="shared" si="208"/>
        <v>180.386</v>
      </c>
      <c r="BK154" s="63" t="str">
        <f t="shared" si="209"/>
        <v>OK</v>
      </c>
      <c r="BL154" s="63">
        <f t="shared" si="210"/>
        <v>225.6</v>
      </c>
      <c r="BM154" s="63">
        <f t="shared" si="211"/>
        <v>376</v>
      </c>
      <c r="BN154" s="63">
        <f t="shared" si="212"/>
        <v>752</v>
      </c>
      <c r="BO154" s="63">
        <f t="shared" si="213"/>
        <v>1128</v>
      </c>
      <c r="BP154" s="63">
        <f t="shared" si="214"/>
        <v>47.563999999999993</v>
      </c>
      <c r="BQ154" s="63">
        <f t="shared" si="219"/>
        <v>77.321380583656236</v>
      </c>
      <c r="BR154" s="63" t="str">
        <f t="shared" si="220"/>
        <v>OK</v>
      </c>
      <c r="BW154" s="70">
        <f t="shared" si="195"/>
        <v>37.02600000000001</v>
      </c>
    </row>
    <row r="155" spans="4:104">
      <c r="D155" s="179" t="s">
        <v>90</v>
      </c>
      <c r="E155" s="179" t="s">
        <v>90</v>
      </c>
      <c r="F155" s="91" t="s">
        <v>15</v>
      </c>
      <c r="G155" s="78">
        <v>220</v>
      </c>
      <c r="H155" s="78">
        <v>450</v>
      </c>
      <c r="I155" s="92">
        <f t="shared" si="215"/>
        <v>103</v>
      </c>
      <c r="J155" s="93">
        <f t="shared" si="223"/>
        <v>347</v>
      </c>
      <c r="K155" s="94"/>
      <c r="L155" s="94"/>
      <c r="M155" s="94"/>
      <c r="N155" s="95">
        <f t="shared" si="185"/>
        <v>0</v>
      </c>
      <c r="O155" s="95">
        <f t="shared" si="224"/>
        <v>0</v>
      </c>
      <c r="P155" s="95">
        <f t="shared" si="225"/>
        <v>1</v>
      </c>
      <c r="Q155" s="96" t="str">
        <f t="shared" si="186"/>
        <v>Ok</v>
      </c>
      <c r="R155" s="97">
        <f t="shared" si="187"/>
        <v>0.76340000000000008</v>
      </c>
      <c r="S155" s="131">
        <f t="shared" si="196"/>
        <v>1.0000000000000002E-3</v>
      </c>
      <c r="T155" s="99">
        <v>3</v>
      </c>
      <c r="U155" s="100">
        <v>28</v>
      </c>
      <c r="V155" s="101" t="str">
        <f t="shared" si="188"/>
        <v>+</v>
      </c>
      <c r="W155" s="99">
        <v>3</v>
      </c>
      <c r="X155" s="100">
        <v>28</v>
      </c>
      <c r="Y155" s="102">
        <f t="shared" si="226"/>
        <v>36.945129606215971</v>
      </c>
      <c r="Z155" s="103" t="str">
        <f t="shared" si="189"/>
        <v>Ok</v>
      </c>
      <c r="AA155" s="93">
        <f t="shared" si="221"/>
        <v>499.2764795332306</v>
      </c>
      <c r="AB155" s="93">
        <f t="shared" si="227"/>
        <v>232.19110220366545</v>
      </c>
      <c r="AC155" s="89" t="str">
        <f t="shared" si="222"/>
        <v>Ok</v>
      </c>
      <c r="AD155" s="98">
        <f t="shared" si="228"/>
        <v>3.7318312733551483E-2</v>
      </c>
      <c r="AE155" s="98">
        <f t="shared" si="190"/>
        <v>1.9281988961466403E-2</v>
      </c>
      <c r="AF155" s="104" t="str">
        <f t="shared" si="229"/>
        <v>No-Ok</v>
      </c>
      <c r="AG155" s="100">
        <v>10</v>
      </c>
      <c r="AH155" s="105">
        <v>2</v>
      </c>
      <c r="AI155" s="105">
        <v>200</v>
      </c>
      <c r="AJ155" s="104">
        <f t="shared" si="191"/>
        <v>7.8500000000000005</v>
      </c>
      <c r="AK155" s="60" t="str">
        <f t="shared" si="192"/>
        <v>OK</v>
      </c>
      <c r="AL155" s="109">
        <f t="shared" si="193"/>
        <v>300</v>
      </c>
      <c r="AT155" s="133" t="str">
        <f t="shared" si="194"/>
        <v>no need</v>
      </c>
      <c r="AV155" s="61">
        <f t="shared" si="197"/>
        <v>389.334</v>
      </c>
      <c r="AW155" s="61" t="str">
        <f t="shared" si="198"/>
        <v>OK</v>
      </c>
      <c r="AX155" s="63" t="e">
        <f t="shared" si="199"/>
        <v>#DIV/0!</v>
      </c>
      <c r="AY155" s="63">
        <f t="shared" si="200"/>
        <v>173.5</v>
      </c>
      <c r="AZ155" s="63">
        <f t="shared" si="201"/>
        <v>372.33201581027674</v>
      </c>
      <c r="BA155" s="63">
        <f t="shared" si="216"/>
        <v>63.249999999999993</v>
      </c>
      <c r="BB155" s="63">
        <f t="shared" si="217"/>
        <v>235.5</v>
      </c>
      <c r="BC155" s="63" t="str">
        <f t="shared" si="218"/>
        <v>OK</v>
      </c>
      <c r="BD155" s="63">
        <f t="shared" si="202"/>
        <v>508.63855582042862</v>
      </c>
      <c r="BE155" s="63">
        <f t="shared" si="203"/>
        <v>280.76637499999998</v>
      </c>
      <c r="BF155" s="63">
        <f t="shared" si="204"/>
        <v>192.97537499999996</v>
      </c>
      <c r="BG155" s="63">
        <f t="shared" si="205"/>
        <v>273.59841317088518</v>
      </c>
      <c r="BH155" s="63">
        <f t="shared" si="206"/>
        <v>166.47324999999998</v>
      </c>
      <c r="BI155" s="63">
        <f t="shared" si="207"/>
        <v>166.47324999999998</v>
      </c>
      <c r="BJ155" s="63">
        <f t="shared" si="208"/>
        <v>166.47324999999998</v>
      </c>
      <c r="BK155" s="63" t="str">
        <f t="shared" si="209"/>
        <v>OK</v>
      </c>
      <c r="BL155" s="63">
        <f t="shared" si="210"/>
        <v>208.2</v>
      </c>
      <c r="BM155" s="63">
        <f t="shared" si="211"/>
        <v>347</v>
      </c>
      <c r="BN155" s="63">
        <f t="shared" si="212"/>
        <v>694</v>
      </c>
      <c r="BO155" s="63">
        <f t="shared" si="213"/>
        <v>1041</v>
      </c>
      <c r="BP155" s="63">
        <f t="shared" si="214"/>
        <v>43.895499999999991</v>
      </c>
      <c r="BQ155" s="63">
        <f t="shared" si="219"/>
        <v>288.57056692767077</v>
      </c>
      <c r="BR155" s="63" t="str">
        <f t="shared" si="220"/>
        <v>OK</v>
      </c>
      <c r="BW155" s="70">
        <f t="shared" si="195"/>
        <v>37.02600000000001</v>
      </c>
    </row>
    <row r="156" spans="4:104">
      <c r="D156" s="180"/>
      <c r="E156" s="180"/>
      <c r="F156" s="106" t="s">
        <v>16</v>
      </c>
      <c r="G156" s="78">
        <v>220</v>
      </c>
      <c r="H156" s="78">
        <v>450</v>
      </c>
      <c r="I156" s="92">
        <f t="shared" si="215"/>
        <v>97</v>
      </c>
      <c r="J156" s="93">
        <f t="shared" si="223"/>
        <v>353</v>
      </c>
      <c r="K156" s="94"/>
      <c r="L156" s="94"/>
      <c r="M156" s="94"/>
      <c r="N156" s="95">
        <f t="shared" si="185"/>
        <v>0</v>
      </c>
      <c r="O156" s="95">
        <f t="shared" si="224"/>
        <v>0</v>
      </c>
      <c r="P156" s="95">
        <f t="shared" si="225"/>
        <v>1</v>
      </c>
      <c r="Q156" s="96" t="str">
        <f t="shared" si="186"/>
        <v>Ok</v>
      </c>
      <c r="R156" s="97">
        <f t="shared" si="187"/>
        <v>0.77659999999999996</v>
      </c>
      <c r="S156" s="131">
        <f t="shared" si="196"/>
        <v>1E-3</v>
      </c>
      <c r="T156" s="99">
        <v>3</v>
      </c>
      <c r="U156" s="100">
        <v>22</v>
      </c>
      <c r="V156" s="101" t="str">
        <f t="shared" si="188"/>
        <v>+</v>
      </c>
      <c r="W156" s="99">
        <v>3</v>
      </c>
      <c r="X156" s="100">
        <v>22</v>
      </c>
      <c r="Y156" s="102">
        <f t="shared" si="226"/>
        <v>22.807962665061901</v>
      </c>
      <c r="Z156" s="103" t="str">
        <f t="shared" si="189"/>
        <v>Ok</v>
      </c>
      <c r="AA156" s="93">
        <f t="shared" si="221"/>
        <v>222.92418458863807</v>
      </c>
      <c r="AB156" s="93">
        <f t="shared" si="227"/>
        <v>246.815216009041</v>
      </c>
      <c r="AC156" s="89" t="str">
        <f t="shared" si="222"/>
        <v>Ok</v>
      </c>
      <c r="AD156" s="98">
        <f t="shared" si="228"/>
        <v>2.3038346126325153E-2</v>
      </c>
      <c r="AE156" s="98">
        <f t="shared" si="190"/>
        <v>1.9281988961466403E-2</v>
      </c>
      <c r="AF156" s="104" t="str">
        <f t="shared" si="229"/>
        <v>No-Ok</v>
      </c>
      <c r="AG156" s="100">
        <v>10</v>
      </c>
      <c r="AH156" s="105">
        <v>2</v>
      </c>
      <c r="AI156" s="105">
        <v>200</v>
      </c>
      <c r="AJ156" s="104">
        <f t="shared" si="191"/>
        <v>7.8500000000000005</v>
      </c>
      <c r="AK156" s="60" t="str">
        <f t="shared" si="192"/>
        <v>OK</v>
      </c>
      <c r="AL156" s="109">
        <f t="shared" si="193"/>
        <v>300</v>
      </c>
      <c r="AT156" s="133" t="str">
        <f t="shared" si="194"/>
        <v>no need</v>
      </c>
      <c r="AV156" s="61">
        <f t="shared" si="197"/>
        <v>396.06599999999997</v>
      </c>
      <c r="AW156" s="61" t="str">
        <f t="shared" si="198"/>
        <v>OK</v>
      </c>
      <c r="AX156" s="63" t="e">
        <f t="shared" si="199"/>
        <v>#DIV/0!</v>
      </c>
      <c r="AY156" s="63">
        <f t="shared" si="200"/>
        <v>176.5</v>
      </c>
      <c r="AZ156" s="63">
        <f t="shared" si="201"/>
        <v>372.33201581027674</v>
      </c>
      <c r="BA156" s="63">
        <f t="shared" si="216"/>
        <v>63.249999999999993</v>
      </c>
      <c r="BB156" s="63">
        <f t="shared" si="217"/>
        <v>235.5</v>
      </c>
      <c r="BC156" s="63" t="str">
        <f t="shared" si="218"/>
        <v>OK</v>
      </c>
      <c r="BD156" s="63">
        <f t="shared" si="202"/>
        <v>517.4334588029144</v>
      </c>
      <c r="BE156" s="63">
        <f t="shared" si="203"/>
        <v>285.62112500000001</v>
      </c>
      <c r="BF156" s="63">
        <f t="shared" si="204"/>
        <v>196.31212499999998</v>
      </c>
      <c r="BG156" s="63">
        <f t="shared" si="205"/>
        <v>278.3292214677881</v>
      </c>
      <c r="BH156" s="63">
        <f t="shared" si="206"/>
        <v>169.35174999999998</v>
      </c>
      <c r="BI156" s="63">
        <f t="shared" si="207"/>
        <v>169.35174999999998</v>
      </c>
      <c r="BJ156" s="63">
        <f t="shared" si="208"/>
        <v>169.35174999999998</v>
      </c>
      <c r="BK156" s="63" t="str">
        <f t="shared" si="209"/>
        <v>OK</v>
      </c>
      <c r="BL156" s="63">
        <f t="shared" si="210"/>
        <v>211.79999999999998</v>
      </c>
      <c r="BM156" s="63">
        <f t="shared" si="211"/>
        <v>353</v>
      </c>
      <c r="BN156" s="63">
        <f t="shared" si="212"/>
        <v>706</v>
      </c>
      <c r="BO156" s="63">
        <f t="shared" si="213"/>
        <v>1059</v>
      </c>
      <c r="BP156" s="63">
        <f t="shared" si="214"/>
        <v>44.654499999999992</v>
      </c>
      <c r="BQ156" s="63">
        <f t="shared" si="219"/>
        <v>516.07959270692425</v>
      </c>
      <c r="BR156" s="63" t="str">
        <f t="shared" si="220"/>
        <v>OK</v>
      </c>
      <c r="BW156" s="70">
        <f t="shared" si="195"/>
        <v>37.02600000000001</v>
      </c>
    </row>
    <row r="157" spans="4:104">
      <c r="D157" s="181"/>
      <c r="E157" s="181"/>
      <c r="F157" s="91" t="s">
        <v>15</v>
      </c>
      <c r="G157" s="78">
        <v>220</v>
      </c>
      <c r="H157" s="78">
        <v>450</v>
      </c>
      <c r="I157" s="92">
        <f t="shared" si="215"/>
        <v>97</v>
      </c>
      <c r="J157" s="93">
        <f t="shared" si="223"/>
        <v>353</v>
      </c>
      <c r="K157" s="94"/>
      <c r="L157" s="94"/>
      <c r="M157" s="94"/>
      <c r="N157" s="95">
        <f t="shared" si="185"/>
        <v>0</v>
      </c>
      <c r="O157" s="95">
        <f t="shared" si="224"/>
        <v>0</v>
      </c>
      <c r="P157" s="95">
        <f t="shared" si="225"/>
        <v>1</v>
      </c>
      <c r="Q157" s="96" t="str">
        <f t="shared" si="186"/>
        <v>Ok</v>
      </c>
      <c r="R157" s="97">
        <f t="shared" si="187"/>
        <v>0.77659999999999996</v>
      </c>
      <c r="S157" s="131">
        <f t="shared" si="196"/>
        <v>1E-3</v>
      </c>
      <c r="T157" s="99">
        <v>3</v>
      </c>
      <c r="U157" s="100">
        <v>22</v>
      </c>
      <c r="V157" s="101" t="str">
        <f t="shared" si="188"/>
        <v>+</v>
      </c>
      <c r="W157" s="99">
        <v>3</v>
      </c>
      <c r="X157" s="100">
        <v>22</v>
      </c>
      <c r="Y157" s="102">
        <f t="shared" si="226"/>
        <v>22.807962665061901</v>
      </c>
      <c r="Z157" s="103" t="str">
        <f t="shared" si="189"/>
        <v>Ok</v>
      </c>
      <c r="AA157" s="93">
        <f t="shared" si="221"/>
        <v>222.92418458863807</v>
      </c>
      <c r="AB157" s="93">
        <f t="shared" si="227"/>
        <v>246.815216009041</v>
      </c>
      <c r="AC157" s="89" t="str">
        <f t="shared" si="222"/>
        <v>Ok</v>
      </c>
      <c r="AD157" s="98">
        <f t="shared" si="228"/>
        <v>2.3038346126325153E-2</v>
      </c>
      <c r="AE157" s="98">
        <f t="shared" si="190"/>
        <v>1.9281988961466403E-2</v>
      </c>
      <c r="AF157" s="104" t="str">
        <f t="shared" si="229"/>
        <v>No-Ok</v>
      </c>
      <c r="AG157" s="100">
        <v>10</v>
      </c>
      <c r="AH157" s="105">
        <v>2</v>
      </c>
      <c r="AI157" s="105">
        <v>200</v>
      </c>
      <c r="AJ157" s="104">
        <f t="shared" si="191"/>
        <v>7.8500000000000005</v>
      </c>
      <c r="AK157" s="60" t="str">
        <f t="shared" si="192"/>
        <v>OK</v>
      </c>
      <c r="AL157" s="109">
        <f t="shared" si="193"/>
        <v>300</v>
      </c>
      <c r="AT157" s="133" t="str">
        <f t="shared" si="194"/>
        <v>no need</v>
      </c>
      <c r="AV157" s="61">
        <f t="shared" si="197"/>
        <v>396.06599999999997</v>
      </c>
      <c r="AW157" s="61" t="str">
        <f t="shared" si="198"/>
        <v>OK</v>
      </c>
      <c r="AX157" s="63" t="e">
        <f t="shared" si="199"/>
        <v>#DIV/0!</v>
      </c>
      <c r="AY157" s="63">
        <f t="shared" si="200"/>
        <v>176.5</v>
      </c>
      <c r="AZ157" s="63">
        <f t="shared" si="201"/>
        <v>372.33201581027674</v>
      </c>
      <c r="BA157" s="63">
        <f t="shared" si="216"/>
        <v>63.249999999999993</v>
      </c>
      <c r="BB157" s="63">
        <f t="shared" si="217"/>
        <v>235.5</v>
      </c>
      <c r="BC157" s="63" t="str">
        <f t="shared" si="218"/>
        <v>OK</v>
      </c>
      <c r="BD157" s="63">
        <f t="shared" si="202"/>
        <v>517.4334588029144</v>
      </c>
      <c r="BE157" s="63">
        <f t="shared" si="203"/>
        <v>285.62112500000001</v>
      </c>
      <c r="BF157" s="63">
        <f t="shared" si="204"/>
        <v>196.31212499999998</v>
      </c>
      <c r="BG157" s="63">
        <f t="shared" si="205"/>
        <v>278.3292214677881</v>
      </c>
      <c r="BH157" s="63">
        <f t="shared" si="206"/>
        <v>169.35174999999998</v>
      </c>
      <c r="BI157" s="63">
        <f t="shared" si="207"/>
        <v>169.35174999999998</v>
      </c>
      <c r="BJ157" s="63">
        <f t="shared" si="208"/>
        <v>169.35174999999998</v>
      </c>
      <c r="BK157" s="63" t="str">
        <f t="shared" si="209"/>
        <v>OK</v>
      </c>
      <c r="BL157" s="63">
        <f t="shared" si="210"/>
        <v>211.79999999999998</v>
      </c>
      <c r="BM157" s="63">
        <f t="shared" si="211"/>
        <v>353</v>
      </c>
      <c r="BN157" s="63">
        <f t="shared" si="212"/>
        <v>706</v>
      </c>
      <c r="BO157" s="63">
        <f t="shared" si="213"/>
        <v>1059</v>
      </c>
      <c r="BP157" s="63">
        <f t="shared" si="214"/>
        <v>44.654499999999992</v>
      </c>
      <c r="BQ157" s="63">
        <f t="shared" si="219"/>
        <v>329.87761338302221</v>
      </c>
      <c r="BR157" s="63" t="str">
        <f t="shared" si="220"/>
        <v>OK</v>
      </c>
      <c r="BW157" s="70">
        <f t="shared" si="195"/>
        <v>37.02600000000001</v>
      </c>
    </row>
    <row r="158" spans="4:104">
      <c r="D158" s="176" t="s">
        <v>90</v>
      </c>
      <c r="E158" s="176" t="s">
        <v>90</v>
      </c>
      <c r="F158" s="67" t="s">
        <v>15</v>
      </c>
      <c r="G158" s="78">
        <v>220</v>
      </c>
      <c r="H158" s="78">
        <v>450</v>
      </c>
      <c r="I158" s="79">
        <f t="shared" si="215"/>
        <v>97</v>
      </c>
      <c r="J158" s="80">
        <f t="shared" si="223"/>
        <v>353</v>
      </c>
      <c r="K158" s="81"/>
      <c r="L158" s="81"/>
      <c r="M158" s="81"/>
      <c r="N158" s="82">
        <f t="shared" si="185"/>
        <v>0</v>
      </c>
      <c r="O158" s="82">
        <f t="shared" si="224"/>
        <v>0</v>
      </c>
      <c r="P158" s="82">
        <f t="shared" si="225"/>
        <v>1</v>
      </c>
      <c r="Q158" s="83" t="str">
        <f t="shared" si="186"/>
        <v>Ok</v>
      </c>
      <c r="R158" s="84">
        <f t="shared" si="187"/>
        <v>0.77659999999999996</v>
      </c>
      <c r="S158" s="131">
        <f t="shared" si="196"/>
        <v>1E-3</v>
      </c>
      <c r="T158" s="86">
        <v>3</v>
      </c>
      <c r="U158" s="77">
        <v>22</v>
      </c>
      <c r="V158" s="87" t="str">
        <f t="shared" si="188"/>
        <v>+</v>
      </c>
      <c r="W158" s="86">
        <v>3</v>
      </c>
      <c r="X158" s="77">
        <v>22</v>
      </c>
      <c r="Y158" s="88">
        <f t="shared" si="226"/>
        <v>22.807962665061901</v>
      </c>
      <c r="Z158" s="89" t="str">
        <f t="shared" si="189"/>
        <v>Ok</v>
      </c>
      <c r="AA158" s="80">
        <f t="shared" si="221"/>
        <v>157.98139527665879</v>
      </c>
      <c r="AB158" s="80">
        <f t="shared" si="227"/>
        <v>258.3989793884802</v>
      </c>
      <c r="AC158" s="89" t="str">
        <f t="shared" si="222"/>
        <v>Ok</v>
      </c>
      <c r="AD158" s="85">
        <f t="shared" si="228"/>
        <v>2.3038346126325153E-2</v>
      </c>
      <c r="AE158" s="85">
        <f t="shared" si="190"/>
        <v>1.9281988961466403E-2</v>
      </c>
      <c r="AF158" s="60" t="str">
        <f t="shared" si="229"/>
        <v>No-Ok</v>
      </c>
      <c r="AG158" s="77">
        <v>10</v>
      </c>
      <c r="AH158" s="76">
        <v>2</v>
      </c>
      <c r="AI158" s="76">
        <v>200</v>
      </c>
      <c r="AJ158" s="60">
        <f t="shared" si="191"/>
        <v>7.8500000000000005</v>
      </c>
      <c r="AK158" s="60" t="str">
        <f t="shared" si="192"/>
        <v>OK</v>
      </c>
      <c r="AL158" s="109">
        <f t="shared" si="193"/>
        <v>300</v>
      </c>
      <c r="AT158" s="133" t="str">
        <f t="shared" si="194"/>
        <v>no need</v>
      </c>
      <c r="AV158" s="61">
        <f t="shared" si="197"/>
        <v>396.06599999999997</v>
      </c>
      <c r="AW158" s="61" t="str">
        <f t="shared" si="198"/>
        <v>OK</v>
      </c>
      <c r="AX158" s="63" t="e">
        <f t="shared" si="199"/>
        <v>#DIV/0!</v>
      </c>
      <c r="AY158" s="63">
        <f t="shared" si="200"/>
        <v>176.5</v>
      </c>
      <c r="AZ158" s="63">
        <f t="shared" si="201"/>
        <v>372.33201581027674</v>
      </c>
      <c r="BA158" s="63">
        <f t="shared" si="216"/>
        <v>63.249999999999993</v>
      </c>
      <c r="BB158" s="63">
        <f t="shared" si="217"/>
        <v>235.5</v>
      </c>
      <c r="BC158" s="63" t="str">
        <f t="shared" si="218"/>
        <v>OK</v>
      </c>
      <c r="BD158" s="63">
        <f t="shared" si="202"/>
        <v>517.4334588029144</v>
      </c>
      <c r="BE158" s="63">
        <f t="shared" si="203"/>
        <v>285.62112500000001</v>
      </c>
      <c r="BF158" s="63">
        <f t="shared" si="204"/>
        <v>196.31212499999998</v>
      </c>
      <c r="BG158" s="63">
        <f t="shared" si="205"/>
        <v>278.3292214677881</v>
      </c>
      <c r="BH158" s="63">
        <f t="shared" si="206"/>
        <v>169.35174999999998</v>
      </c>
      <c r="BI158" s="63">
        <f t="shared" si="207"/>
        <v>169.35174999999998</v>
      </c>
      <c r="BJ158" s="63">
        <f t="shared" si="208"/>
        <v>169.35174999999998</v>
      </c>
      <c r="BK158" s="63" t="str">
        <f t="shared" si="209"/>
        <v>OK</v>
      </c>
      <c r="BL158" s="63">
        <f t="shared" si="210"/>
        <v>211.79999999999998</v>
      </c>
      <c r="BM158" s="63">
        <f t="shared" si="211"/>
        <v>353</v>
      </c>
      <c r="BN158" s="63">
        <f t="shared" si="212"/>
        <v>706</v>
      </c>
      <c r="BO158" s="63">
        <f t="shared" si="213"/>
        <v>1059</v>
      </c>
      <c r="BP158" s="63">
        <f t="shared" si="214"/>
        <v>44.654499999999992</v>
      </c>
      <c r="BQ158" s="63">
        <f t="shared" si="219"/>
        <v>329.87761338302221</v>
      </c>
      <c r="BR158" s="63" t="str">
        <f t="shared" si="220"/>
        <v>OK</v>
      </c>
      <c r="BW158" s="70">
        <f t="shared" si="195"/>
        <v>37.02600000000001</v>
      </c>
    </row>
    <row r="159" spans="4:104">
      <c r="D159" s="177"/>
      <c r="E159" s="177"/>
      <c r="F159" s="68" t="s">
        <v>16</v>
      </c>
      <c r="G159" s="78">
        <v>220</v>
      </c>
      <c r="H159" s="78">
        <v>450</v>
      </c>
      <c r="I159" s="79">
        <f t="shared" si="215"/>
        <v>100</v>
      </c>
      <c r="J159" s="80">
        <f t="shared" si="223"/>
        <v>350</v>
      </c>
      <c r="K159" s="81"/>
      <c r="L159" s="81"/>
      <c r="M159" s="81"/>
      <c r="N159" s="82">
        <f t="shared" si="185"/>
        <v>0</v>
      </c>
      <c r="O159" s="82">
        <f t="shared" si="224"/>
        <v>0</v>
      </c>
      <c r="P159" s="82">
        <f t="shared" si="225"/>
        <v>1</v>
      </c>
      <c r="Q159" s="83" t="str">
        <f t="shared" si="186"/>
        <v>Ok</v>
      </c>
      <c r="R159" s="84">
        <f t="shared" si="187"/>
        <v>0.77</v>
      </c>
      <c r="S159" s="131">
        <f t="shared" si="196"/>
        <v>1E-3</v>
      </c>
      <c r="T159" s="86">
        <v>3</v>
      </c>
      <c r="U159" s="77">
        <v>25</v>
      </c>
      <c r="V159" s="87" t="str">
        <f t="shared" si="188"/>
        <v>+</v>
      </c>
      <c r="W159" s="86">
        <v>3</v>
      </c>
      <c r="X159" s="77">
        <v>25</v>
      </c>
      <c r="Y159" s="88">
        <f t="shared" si="226"/>
        <v>29.45243112740431</v>
      </c>
      <c r="Z159" s="89" t="str">
        <f t="shared" si="189"/>
        <v>Ok</v>
      </c>
      <c r="AA159" s="80">
        <f t="shared" si="221"/>
        <v>214.63361574030029</v>
      </c>
      <c r="AB159" s="80">
        <f t="shared" si="227"/>
        <v>314.38983440715214</v>
      </c>
      <c r="AC159" s="89" t="str">
        <f t="shared" si="222"/>
        <v>Ok</v>
      </c>
      <c r="AD159" s="85">
        <f t="shared" si="228"/>
        <v>2.9749930431721527E-2</v>
      </c>
      <c r="AE159" s="85">
        <f t="shared" si="190"/>
        <v>1.9281988961466403E-2</v>
      </c>
      <c r="AF159" s="60" t="str">
        <f t="shared" si="229"/>
        <v>No-Ok</v>
      </c>
      <c r="AG159" s="77">
        <v>10</v>
      </c>
      <c r="AH159" s="76">
        <v>2</v>
      </c>
      <c r="AI159" s="76">
        <v>200</v>
      </c>
      <c r="AJ159" s="60">
        <f t="shared" si="191"/>
        <v>7.8500000000000005</v>
      </c>
      <c r="AK159" s="60" t="str">
        <f t="shared" si="192"/>
        <v>OK</v>
      </c>
      <c r="AL159" s="109">
        <f t="shared" si="193"/>
        <v>300</v>
      </c>
      <c r="AT159" s="133" t="str">
        <f t="shared" si="194"/>
        <v>no need</v>
      </c>
      <c r="AV159" s="61">
        <f t="shared" si="197"/>
        <v>392.7</v>
      </c>
      <c r="AW159" s="61" t="str">
        <f t="shared" si="198"/>
        <v>OK</v>
      </c>
      <c r="AX159" s="63" t="e">
        <f t="shared" si="199"/>
        <v>#DIV/0!</v>
      </c>
      <c r="AY159" s="63">
        <f t="shared" si="200"/>
        <v>175</v>
      </c>
      <c r="AZ159" s="63">
        <f t="shared" si="201"/>
        <v>372.33201581027674</v>
      </c>
      <c r="BA159" s="63">
        <f t="shared" si="216"/>
        <v>63.249999999999993</v>
      </c>
      <c r="BB159" s="63">
        <f t="shared" si="217"/>
        <v>235.5</v>
      </c>
      <c r="BC159" s="63" t="str">
        <f t="shared" si="218"/>
        <v>OK</v>
      </c>
      <c r="BD159" s="63">
        <f t="shared" si="202"/>
        <v>513.03600731167148</v>
      </c>
      <c r="BE159" s="63">
        <f t="shared" si="203"/>
        <v>283.19375000000002</v>
      </c>
      <c r="BF159" s="63">
        <f t="shared" si="204"/>
        <v>194.64374999999995</v>
      </c>
      <c r="BG159" s="63">
        <f t="shared" si="205"/>
        <v>275.96381731933667</v>
      </c>
      <c r="BH159" s="63">
        <f t="shared" si="206"/>
        <v>167.91249999999999</v>
      </c>
      <c r="BI159" s="63">
        <f t="shared" si="207"/>
        <v>167.91249999999999</v>
      </c>
      <c r="BJ159" s="63">
        <f t="shared" si="208"/>
        <v>167.91249999999999</v>
      </c>
      <c r="BK159" s="63" t="str">
        <f t="shared" si="209"/>
        <v>OK</v>
      </c>
      <c r="BL159" s="63">
        <f t="shared" si="210"/>
        <v>210</v>
      </c>
      <c r="BM159" s="63">
        <f t="shared" si="211"/>
        <v>350</v>
      </c>
      <c r="BN159" s="63">
        <f t="shared" si="212"/>
        <v>700</v>
      </c>
      <c r="BO159" s="63">
        <f t="shared" si="213"/>
        <v>1050</v>
      </c>
      <c r="BP159" s="63">
        <f t="shared" si="214"/>
        <v>44.274999999999991</v>
      </c>
      <c r="BQ159" s="63">
        <f t="shared" si="219"/>
        <v>329.87761338302221</v>
      </c>
      <c r="BR159" s="63" t="str">
        <f t="shared" si="220"/>
        <v>OK</v>
      </c>
      <c r="BW159" s="70">
        <f t="shared" si="195"/>
        <v>37.02600000000001</v>
      </c>
    </row>
    <row r="160" spans="4:104">
      <c r="D160" s="178"/>
      <c r="E160" s="178"/>
      <c r="F160" s="67" t="s">
        <v>15</v>
      </c>
      <c r="G160" s="78">
        <v>220</v>
      </c>
      <c r="H160" s="78">
        <v>450</v>
      </c>
      <c r="I160" s="79">
        <f t="shared" si="215"/>
        <v>103</v>
      </c>
      <c r="J160" s="80">
        <f t="shared" si="223"/>
        <v>347</v>
      </c>
      <c r="K160" s="81"/>
      <c r="L160" s="81"/>
      <c r="M160" s="81"/>
      <c r="N160" s="82">
        <f t="shared" si="185"/>
        <v>0</v>
      </c>
      <c r="O160" s="82">
        <f t="shared" si="224"/>
        <v>0</v>
      </c>
      <c r="P160" s="82">
        <f t="shared" si="225"/>
        <v>1</v>
      </c>
      <c r="Q160" s="83" t="str">
        <f t="shared" si="186"/>
        <v>Ok</v>
      </c>
      <c r="R160" s="84">
        <f t="shared" si="187"/>
        <v>0.76340000000000008</v>
      </c>
      <c r="S160" s="131">
        <f t="shared" si="196"/>
        <v>1.0000000000000002E-3</v>
      </c>
      <c r="T160" s="86">
        <v>3</v>
      </c>
      <c r="U160" s="77">
        <v>28</v>
      </c>
      <c r="V160" s="87" t="str">
        <f t="shared" si="188"/>
        <v>+</v>
      </c>
      <c r="W160" s="86">
        <v>3</v>
      </c>
      <c r="X160" s="77">
        <v>28</v>
      </c>
      <c r="Y160" s="88">
        <f t="shared" si="226"/>
        <v>36.945129606215971</v>
      </c>
      <c r="Z160" s="89" t="str">
        <f t="shared" si="189"/>
        <v>Ok</v>
      </c>
      <c r="AA160" s="80">
        <f t="shared" si="221"/>
        <v>499.2764795332306</v>
      </c>
      <c r="AB160" s="80">
        <f t="shared" si="227"/>
        <v>232.19110220366545</v>
      </c>
      <c r="AC160" s="89" t="str">
        <f t="shared" si="222"/>
        <v>Ok</v>
      </c>
      <c r="AD160" s="85">
        <f t="shared" si="228"/>
        <v>3.7318312733551483E-2</v>
      </c>
      <c r="AE160" s="85">
        <f t="shared" si="190"/>
        <v>1.9281988961466403E-2</v>
      </c>
      <c r="AF160" s="60" t="str">
        <f t="shared" si="229"/>
        <v>No-Ok</v>
      </c>
      <c r="AG160" s="77">
        <v>10</v>
      </c>
      <c r="AH160" s="76">
        <v>2</v>
      </c>
      <c r="AI160" s="76">
        <v>200</v>
      </c>
      <c r="AJ160" s="60">
        <f t="shared" si="191"/>
        <v>7.8500000000000005</v>
      </c>
      <c r="AK160" s="60" t="str">
        <f t="shared" si="192"/>
        <v>OK</v>
      </c>
      <c r="AL160" s="109">
        <f t="shared" si="193"/>
        <v>300</v>
      </c>
      <c r="AT160" s="133" t="str">
        <f t="shared" si="194"/>
        <v>no need</v>
      </c>
      <c r="AV160" s="61">
        <f t="shared" si="197"/>
        <v>389.334</v>
      </c>
      <c r="AW160" s="61" t="str">
        <f t="shared" si="198"/>
        <v>OK</v>
      </c>
      <c r="AX160" s="63" t="e">
        <f t="shared" si="199"/>
        <v>#DIV/0!</v>
      </c>
      <c r="AY160" s="63">
        <f t="shared" si="200"/>
        <v>173.5</v>
      </c>
      <c r="AZ160" s="63">
        <f t="shared" si="201"/>
        <v>372.33201581027674</v>
      </c>
      <c r="BA160" s="63">
        <f t="shared" si="216"/>
        <v>63.249999999999993</v>
      </c>
      <c r="BB160" s="63">
        <f t="shared" si="217"/>
        <v>235.5</v>
      </c>
      <c r="BC160" s="63" t="str">
        <f t="shared" si="218"/>
        <v>OK</v>
      </c>
      <c r="BD160" s="63">
        <f t="shared" si="202"/>
        <v>508.63855582042862</v>
      </c>
      <c r="BE160" s="63">
        <f t="shared" si="203"/>
        <v>280.76637499999998</v>
      </c>
      <c r="BF160" s="63">
        <f t="shared" si="204"/>
        <v>192.97537499999996</v>
      </c>
      <c r="BG160" s="63">
        <f t="shared" si="205"/>
        <v>273.59841317088518</v>
      </c>
      <c r="BH160" s="63">
        <f t="shared" si="206"/>
        <v>166.47324999999998</v>
      </c>
      <c r="BI160" s="63">
        <f t="shared" si="207"/>
        <v>166.47324999999998</v>
      </c>
      <c r="BJ160" s="63">
        <f t="shared" si="208"/>
        <v>166.47324999999998</v>
      </c>
      <c r="BK160" s="63" t="str">
        <f t="shared" si="209"/>
        <v>OK</v>
      </c>
      <c r="BL160" s="63">
        <f t="shared" si="210"/>
        <v>208.2</v>
      </c>
      <c r="BM160" s="63">
        <f t="shared" si="211"/>
        <v>347</v>
      </c>
      <c r="BN160" s="63">
        <f t="shared" si="212"/>
        <v>694</v>
      </c>
      <c r="BO160" s="63">
        <f t="shared" si="213"/>
        <v>1041</v>
      </c>
      <c r="BP160" s="63">
        <f t="shared" si="214"/>
        <v>43.895499999999991</v>
      </c>
      <c r="BQ160" s="63">
        <f t="shared" si="219"/>
        <v>417.99631252325759</v>
      </c>
      <c r="BR160" s="63" t="str">
        <f t="shared" si="220"/>
        <v>OK</v>
      </c>
      <c r="BW160" s="70">
        <f t="shared" si="195"/>
        <v>37.02600000000001</v>
      </c>
    </row>
    <row r="161" spans="4:75">
      <c r="D161" s="179" t="s">
        <v>90</v>
      </c>
      <c r="E161" s="179" t="s">
        <v>90</v>
      </c>
      <c r="F161" s="91" t="s">
        <v>15</v>
      </c>
      <c r="G161" s="78">
        <v>220</v>
      </c>
      <c r="H161" s="78">
        <v>450</v>
      </c>
      <c r="I161" s="92">
        <f t="shared" si="215"/>
        <v>97</v>
      </c>
      <c r="J161" s="93">
        <f t="shared" si="223"/>
        <v>353</v>
      </c>
      <c r="K161" s="94"/>
      <c r="L161" s="94"/>
      <c r="M161" s="94"/>
      <c r="N161" s="95">
        <f t="shared" si="185"/>
        <v>0</v>
      </c>
      <c r="O161" s="95">
        <f t="shared" si="224"/>
        <v>0</v>
      </c>
      <c r="P161" s="95">
        <f t="shared" si="225"/>
        <v>1</v>
      </c>
      <c r="Q161" s="96" t="str">
        <f t="shared" si="186"/>
        <v>Ok</v>
      </c>
      <c r="R161" s="97">
        <f t="shared" si="187"/>
        <v>0.77659999999999996</v>
      </c>
      <c r="S161" s="131">
        <f t="shared" si="196"/>
        <v>1E-3</v>
      </c>
      <c r="T161" s="99">
        <v>3</v>
      </c>
      <c r="U161" s="100">
        <v>22</v>
      </c>
      <c r="V161" s="101" t="str">
        <f t="shared" si="188"/>
        <v>+</v>
      </c>
      <c r="W161" s="99">
        <v>3</v>
      </c>
      <c r="X161" s="100">
        <v>22</v>
      </c>
      <c r="Y161" s="102">
        <f t="shared" si="226"/>
        <v>22.807962665061901</v>
      </c>
      <c r="Z161" s="103" t="str">
        <f t="shared" si="189"/>
        <v>Ok</v>
      </c>
      <c r="AA161" s="93">
        <f t="shared" si="221"/>
        <v>157.98139527665879</v>
      </c>
      <c r="AB161" s="93">
        <f t="shared" si="227"/>
        <v>258.3989793884802</v>
      </c>
      <c r="AC161" s="89" t="str">
        <f t="shared" si="222"/>
        <v>Ok</v>
      </c>
      <c r="AD161" s="98">
        <f t="shared" si="228"/>
        <v>2.3038346126325153E-2</v>
      </c>
      <c r="AE161" s="98">
        <f t="shared" si="190"/>
        <v>1.9281988961466403E-2</v>
      </c>
      <c r="AF161" s="104" t="str">
        <f t="shared" si="229"/>
        <v>No-Ok</v>
      </c>
      <c r="AG161" s="100">
        <v>10</v>
      </c>
      <c r="AH161" s="105">
        <v>2</v>
      </c>
      <c r="AI161" s="105">
        <v>200</v>
      </c>
      <c r="AJ161" s="104">
        <f t="shared" si="191"/>
        <v>7.8500000000000005</v>
      </c>
      <c r="AK161" s="60" t="str">
        <f t="shared" si="192"/>
        <v>OK</v>
      </c>
      <c r="AL161" s="109">
        <f t="shared" si="193"/>
        <v>300</v>
      </c>
      <c r="AT161" s="133" t="str">
        <f t="shared" si="194"/>
        <v>no need</v>
      </c>
      <c r="AV161" s="61">
        <f t="shared" si="197"/>
        <v>396.06599999999997</v>
      </c>
      <c r="AW161" s="61" t="str">
        <f t="shared" si="198"/>
        <v>OK</v>
      </c>
      <c r="AX161" s="63" t="e">
        <f t="shared" si="199"/>
        <v>#DIV/0!</v>
      </c>
      <c r="AY161" s="63">
        <f t="shared" si="200"/>
        <v>176.5</v>
      </c>
      <c r="AZ161" s="63">
        <f t="shared" si="201"/>
        <v>372.33201581027674</v>
      </c>
      <c r="BA161" s="63">
        <f t="shared" si="216"/>
        <v>63.249999999999993</v>
      </c>
      <c r="BB161" s="63">
        <f t="shared" si="217"/>
        <v>235.5</v>
      </c>
      <c r="BC161" s="63" t="str">
        <f t="shared" si="218"/>
        <v>OK</v>
      </c>
      <c r="BD161" s="63">
        <f t="shared" si="202"/>
        <v>517.4334588029144</v>
      </c>
      <c r="BE161" s="63">
        <f t="shared" si="203"/>
        <v>285.62112500000001</v>
      </c>
      <c r="BF161" s="63">
        <f t="shared" si="204"/>
        <v>196.31212499999998</v>
      </c>
      <c r="BG161" s="63">
        <f t="shared" si="205"/>
        <v>278.3292214677881</v>
      </c>
      <c r="BH161" s="63">
        <f t="shared" si="206"/>
        <v>169.35174999999998</v>
      </c>
      <c r="BI161" s="63">
        <f t="shared" si="207"/>
        <v>169.35174999999998</v>
      </c>
      <c r="BJ161" s="63">
        <f t="shared" si="208"/>
        <v>169.35174999999998</v>
      </c>
      <c r="BK161" s="63" t="str">
        <f t="shared" si="209"/>
        <v>OK</v>
      </c>
      <c r="BL161" s="63">
        <f t="shared" si="210"/>
        <v>211.79999999999998</v>
      </c>
      <c r="BM161" s="63">
        <f t="shared" si="211"/>
        <v>353</v>
      </c>
      <c r="BN161" s="63">
        <f t="shared" si="212"/>
        <v>706</v>
      </c>
      <c r="BO161" s="63">
        <f t="shared" si="213"/>
        <v>1059</v>
      </c>
      <c r="BP161" s="63">
        <f t="shared" si="214"/>
        <v>44.654499999999992</v>
      </c>
      <c r="BQ161" s="63">
        <f t="shared" si="219"/>
        <v>516.07959270692425</v>
      </c>
      <c r="BR161" s="63" t="str">
        <f t="shared" si="220"/>
        <v>OK</v>
      </c>
      <c r="BW161" s="70">
        <f t="shared" si="195"/>
        <v>37.02600000000001</v>
      </c>
    </row>
    <row r="162" spans="4:75">
      <c r="D162" s="180"/>
      <c r="E162" s="180"/>
      <c r="F162" s="106" t="s">
        <v>16</v>
      </c>
      <c r="G162" s="78">
        <v>220</v>
      </c>
      <c r="H162" s="78">
        <v>450</v>
      </c>
      <c r="I162" s="92">
        <f t="shared" si="215"/>
        <v>100</v>
      </c>
      <c r="J162" s="93">
        <f t="shared" si="223"/>
        <v>350</v>
      </c>
      <c r="K162" s="94"/>
      <c r="L162" s="94"/>
      <c r="M162" s="94"/>
      <c r="N162" s="95">
        <f t="shared" si="185"/>
        <v>0</v>
      </c>
      <c r="O162" s="95">
        <f t="shared" si="224"/>
        <v>0</v>
      </c>
      <c r="P162" s="95">
        <f t="shared" si="225"/>
        <v>1</v>
      </c>
      <c r="Q162" s="96" t="str">
        <f t="shared" si="186"/>
        <v>Ok</v>
      </c>
      <c r="R162" s="97">
        <f t="shared" si="187"/>
        <v>0.77</v>
      </c>
      <c r="S162" s="131">
        <f t="shared" si="196"/>
        <v>1E-3</v>
      </c>
      <c r="T162" s="99">
        <v>3</v>
      </c>
      <c r="U162" s="100">
        <v>25</v>
      </c>
      <c r="V162" s="101" t="str">
        <f t="shared" si="188"/>
        <v>+</v>
      </c>
      <c r="W162" s="99">
        <v>3</v>
      </c>
      <c r="X162" s="100">
        <v>25</v>
      </c>
      <c r="Y162" s="102">
        <f t="shared" si="226"/>
        <v>29.45243112740431</v>
      </c>
      <c r="Z162" s="103" t="str">
        <f t="shared" si="189"/>
        <v>Ok</v>
      </c>
      <c r="AA162" s="93">
        <f t="shared" si="221"/>
        <v>214.63361574030029</v>
      </c>
      <c r="AB162" s="93">
        <f t="shared" si="227"/>
        <v>314.38983440715214</v>
      </c>
      <c r="AC162" s="89" t="str">
        <f t="shared" si="222"/>
        <v>Ok</v>
      </c>
      <c r="AD162" s="98">
        <f t="shared" si="228"/>
        <v>2.9749930431721527E-2</v>
      </c>
      <c r="AE162" s="98">
        <f t="shared" si="190"/>
        <v>1.9281988961466403E-2</v>
      </c>
      <c r="AF162" s="104" t="str">
        <f t="shared" si="229"/>
        <v>No-Ok</v>
      </c>
      <c r="AG162" s="100">
        <v>10</v>
      </c>
      <c r="AH162" s="105">
        <v>2</v>
      </c>
      <c r="AI162" s="105">
        <v>200</v>
      </c>
      <c r="AJ162" s="104">
        <f t="shared" si="191"/>
        <v>7.8500000000000005</v>
      </c>
      <c r="AK162" s="60" t="str">
        <f t="shared" si="192"/>
        <v>OK</v>
      </c>
      <c r="AL162" s="109">
        <f t="shared" si="193"/>
        <v>300</v>
      </c>
      <c r="AT162" s="133" t="str">
        <f t="shared" si="194"/>
        <v>no need</v>
      </c>
      <c r="AV162" s="61">
        <f t="shared" si="197"/>
        <v>392.7</v>
      </c>
      <c r="AW162" s="61" t="str">
        <f t="shared" si="198"/>
        <v>OK</v>
      </c>
      <c r="AX162" s="63" t="e">
        <f t="shared" si="199"/>
        <v>#DIV/0!</v>
      </c>
      <c r="AY162" s="63">
        <f t="shared" si="200"/>
        <v>175</v>
      </c>
      <c r="AZ162" s="63">
        <f t="shared" si="201"/>
        <v>372.33201581027674</v>
      </c>
      <c r="BA162" s="63">
        <f t="shared" si="216"/>
        <v>63.249999999999993</v>
      </c>
      <c r="BB162" s="63">
        <f t="shared" si="217"/>
        <v>235.5</v>
      </c>
      <c r="BC162" s="63" t="str">
        <f t="shared" si="218"/>
        <v>OK</v>
      </c>
      <c r="BD162" s="63">
        <f t="shared" si="202"/>
        <v>513.03600731167148</v>
      </c>
      <c r="BE162" s="63">
        <f t="shared" si="203"/>
        <v>283.19375000000002</v>
      </c>
      <c r="BF162" s="63">
        <f t="shared" si="204"/>
        <v>194.64374999999995</v>
      </c>
      <c r="BG162" s="63">
        <f t="shared" si="205"/>
        <v>275.96381731933667</v>
      </c>
      <c r="BH162" s="63">
        <f t="shared" si="206"/>
        <v>167.91249999999999</v>
      </c>
      <c r="BI162" s="63">
        <f t="shared" si="207"/>
        <v>167.91249999999999</v>
      </c>
      <c r="BJ162" s="63">
        <f t="shared" si="208"/>
        <v>167.91249999999999</v>
      </c>
      <c r="BK162" s="63" t="str">
        <f t="shared" si="209"/>
        <v>OK</v>
      </c>
      <c r="BL162" s="63">
        <f t="shared" si="210"/>
        <v>210</v>
      </c>
      <c r="BM162" s="63">
        <f t="shared" si="211"/>
        <v>350</v>
      </c>
      <c r="BN162" s="63">
        <f t="shared" si="212"/>
        <v>700</v>
      </c>
      <c r="BO162" s="63">
        <f t="shared" si="213"/>
        <v>1050</v>
      </c>
      <c r="BP162" s="63">
        <f t="shared" si="214"/>
        <v>44.274999999999991</v>
      </c>
      <c r="BQ162" s="63">
        <f t="shared" si="219"/>
        <v>329.87761338302221</v>
      </c>
      <c r="BR162" s="63" t="str">
        <f t="shared" si="220"/>
        <v>OK</v>
      </c>
      <c r="BW162" s="70">
        <f t="shared" si="195"/>
        <v>37.02600000000001</v>
      </c>
    </row>
    <row r="163" spans="4:75">
      <c r="D163" s="181"/>
      <c r="E163" s="181"/>
      <c r="F163" s="91" t="s">
        <v>15</v>
      </c>
      <c r="G163" s="78">
        <v>220</v>
      </c>
      <c r="H163" s="78">
        <v>450</v>
      </c>
      <c r="I163" s="92">
        <f t="shared" si="215"/>
        <v>103</v>
      </c>
      <c r="J163" s="93">
        <f t="shared" si="223"/>
        <v>347</v>
      </c>
      <c r="K163" s="94"/>
      <c r="L163" s="94"/>
      <c r="M163" s="94"/>
      <c r="N163" s="95">
        <f t="shared" si="185"/>
        <v>0</v>
      </c>
      <c r="O163" s="95">
        <f t="shared" si="224"/>
        <v>0</v>
      </c>
      <c r="P163" s="95">
        <f t="shared" si="225"/>
        <v>1</v>
      </c>
      <c r="Q163" s="96" t="str">
        <f t="shared" si="186"/>
        <v>Ok</v>
      </c>
      <c r="R163" s="97">
        <f t="shared" si="187"/>
        <v>0.76340000000000008</v>
      </c>
      <c r="S163" s="131">
        <f t="shared" si="196"/>
        <v>1.0000000000000002E-3</v>
      </c>
      <c r="T163" s="99">
        <v>3</v>
      </c>
      <c r="U163" s="100">
        <v>28</v>
      </c>
      <c r="V163" s="101" t="str">
        <f t="shared" si="188"/>
        <v>+</v>
      </c>
      <c r="W163" s="99">
        <v>3</v>
      </c>
      <c r="X163" s="100">
        <v>28</v>
      </c>
      <c r="Y163" s="102">
        <f t="shared" si="226"/>
        <v>36.945129606215971</v>
      </c>
      <c r="Z163" s="103" t="str">
        <f t="shared" si="189"/>
        <v>Ok</v>
      </c>
      <c r="AA163" s="93">
        <f t="shared" si="221"/>
        <v>722.20066412186873</v>
      </c>
      <c r="AB163" s="93">
        <f t="shared" si="227"/>
        <v>-22.66082890346275</v>
      </c>
      <c r="AC163" s="89" t="str">
        <f t="shared" si="222"/>
        <v>Not Ok</v>
      </c>
      <c r="AD163" s="98">
        <f t="shared" si="228"/>
        <v>3.7318312733551483E-2</v>
      </c>
      <c r="AE163" s="98">
        <f t="shared" si="190"/>
        <v>1.9281988961466403E-2</v>
      </c>
      <c r="AF163" s="104" t="str">
        <f t="shared" si="229"/>
        <v>No-Ok</v>
      </c>
      <c r="AG163" s="100">
        <v>10</v>
      </c>
      <c r="AH163" s="105">
        <v>2</v>
      </c>
      <c r="AI163" s="105">
        <v>200</v>
      </c>
      <c r="AJ163" s="104">
        <f t="shared" si="191"/>
        <v>7.8500000000000005</v>
      </c>
      <c r="AK163" s="60" t="str">
        <f t="shared" si="192"/>
        <v>OK</v>
      </c>
      <c r="AL163" s="109">
        <f t="shared" si="193"/>
        <v>300</v>
      </c>
      <c r="AT163" s="133" t="str">
        <f t="shared" si="194"/>
        <v>no need</v>
      </c>
      <c r="AV163" s="61">
        <f t="shared" si="197"/>
        <v>389.334</v>
      </c>
      <c r="AW163" s="61" t="str">
        <f t="shared" si="198"/>
        <v>OK</v>
      </c>
      <c r="AX163" s="63" t="e">
        <f t="shared" si="199"/>
        <v>#DIV/0!</v>
      </c>
      <c r="AY163" s="63">
        <f t="shared" si="200"/>
        <v>173.5</v>
      </c>
      <c r="AZ163" s="63">
        <f t="shared" si="201"/>
        <v>372.33201581027674</v>
      </c>
      <c r="BA163" s="63">
        <f t="shared" si="216"/>
        <v>63.249999999999993</v>
      </c>
      <c r="BB163" s="63">
        <f t="shared" si="217"/>
        <v>235.5</v>
      </c>
      <c r="BC163" s="63" t="str">
        <f t="shared" si="218"/>
        <v>OK</v>
      </c>
      <c r="BD163" s="63">
        <f t="shared" si="202"/>
        <v>508.63855582042862</v>
      </c>
      <c r="BE163" s="63">
        <f t="shared" si="203"/>
        <v>280.76637499999998</v>
      </c>
      <c r="BF163" s="63">
        <f t="shared" si="204"/>
        <v>192.97537499999996</v>
      </c>
      <c r="BG163" s="63">
        <f t="shared" si="205"/>
        <v>273.59841317088518</v>
      </c>
      <c r="BH163" s="63">
        <f t="shared" si="206"/>
        <v>166.47324999999998</v>
      </c>
      <c r="BI163" s="63">
        <f t="shared" si="207"/>
        <v>166.47324999999998</v>
      </c>
      <c r="BJ163" s="63">
        <f t="shared" si="208"/>
        <v>166.47324999999998</v>
      </c>
      <c r="BK163" s="63" t="str">
        <f t="shared" si="209"/>
        <v>OK</v>
      </c>
      <c r="BL163" s="63">
        <f t="shared" si="210"/>
        <v>208.2</v>
      </c>
      <c r="BM163" s="63">
        <f t="shared" si="211"/>
        <v>347</v>
      </c>
      <c r="BN163" s="63">
        <f t="shared" si="212"/>
        <v>694</v>
      </c>
      <c r="BO163" s="63">
        <f t="shared" si="213"/>
        <v>1041</v>
      </c>
      <c r="BP163" s="63">
        <f t="shared" si="214"/>
        <v>43.895499999999991</v>
      </c>
      <c r="BQ163" s="63">
        <f t="shared" si="219"/>
        <v>417.99631252325759</v>
      </c>
      <c r="BR163" s="63" t="str">
        <f t="shared" si="220"/>
        <v>OK</v>
      </c>
      <c r="BW163" s="70">
        <f t="shared" si="195"/>
        <v>37.02600000000001</v>
      </c>
    </row>
  </sheetData>
  <sheetProtection deleteColumns="0" deleteRows="0" selectLockedCells="1" selectUnlockedCells="1"/>
  <mergeCells count="174">
    <mergeCell ref="D1:AK2"/>
    <mergeCell ref="AV1:BR1"/>
    <mergeCell ref="BT1:CZ1"/>
    <mergeCell ref="W3:X3"/>
    <mergeCell ref="BY16:CJ16"/>
    <mergeCell ref="CK16:CV16"/>
    <mergeCell ref="CW16:CZ16"/>
    <mergeCell ref="DA16:DH16"/>
    <mergeCell ref="D18:D19"/>
    <mergeCell ref="E18:E19"/>
    <mergeCell ref="F18:F19"/>
    <mergeCell ref="G18:J18"/>
    <mergeCell ref="K18:M18"/>
    <mergeCell ref="N18:P18"/>
    <mergeCell ref="Q18:Q19"/>
    <mergeCell ref="R18:S18"/>
    <mergeCell ref="T18:X18"/>
    <mergeCell ref="AE18:AE19"/>
    <mergeCell ref="AF18:AF19"/>
    <mergeCell ref="AG18:AI18"/>
    <mergeCell ref="AJ18:AJ19"/>
    <mergeCell ref="AK18:AK19"/>
    <mergeCell ref="AV18:AV19"/>
    <mergeCell ref="Y18:Y19"/>
    <mergeCell ref="Z18:Z19"/>
    <mergeCell ref="AA18:AA19"/>
    <mergeCell ref="AB18:AB19"/>
    <mergeCell ref="AC18:AC19"/>
    <mergeCell ref="AD18:AD19"/>
    <mergeCell ref="BC18:BC19"/>
    <mergeCell ref="BD18:BD19"/>
    <mergeCell ref="BE18:BE19"/>
    <mergeCell ref="BF18:BF19"/>
    <mergeCell ref="BG18:BG19"/>
    <mergeCell ref="BH18:BH19"/>
    <mergeCell ref="AW18:AW19"/>
    <mergeCell ref="AX18:AX19"/>
    <mergeCell ref="AY18:AY19"/>
    <mergeCell ref="AZ18:AZ19"/>
    <mergeCell ref="BA18:BA19"/>
    <mergeCell ref="BB18:BB19"/>
    <mergeCell ref="BO18:BO19"/>
    <mergeCell ref="BP18:BP19"/>
    <mergeCell ref="BQ18:BQ19"/>
    <mergeCell ref="BR18:BR19"/>
    <mergeCell ref="BU18:BV18"/>
    <mergeCell ref="BW18:BW19"/>
    <mergeCell ref="BI18:BI19"/>
    <mergeCell ref="BJ18:BJ19"/>
    <mergeCell ref="BK18:BK19"/>
    <mergeCell ref="BL18:BL19"/>
    <mergeCell ref="BM18:BM19"/>
    <mergeCell ref="BN18:BN19"/>
    <mergeCell ref="CO18:CO19"/>
    <mergeCell ref="CD18:CD19"/>
    <mergeCell ref="CE18:CE19"/>
    <mergeCell ref="CF18:CF19"/>
    <mergeCell ref="CG18:CG19"/>
    <mergeCell ref="CH18:CH19"/>
    <mergeCell ref="CI18:CI19"/>
    <mergeCell ref="BX18:BX19"/>
    <mergeCell ref="BY18:BY19"/>
    <mergeCell ref="BZ18:BZ19"/>
    <mergeCell ref="CA18:CA19"/>
    <mergeCell ref="CB18:CB19"/>
    <mergeCell ref="CC18:CC19"/>
    <mergeCell ref="DE18:DH18"/>
    <mergeCell ref="T19:U19"/>
    <mergeCell ref="W19:X19"/>
    <mergeCell ref="D20:D22"/>
    <mergeCell ref="E20:E22"/>
    <mergeCell ref="D23:D25"/>
    <mergeCell ref="E23:E25"/>
    <mergeCell ref="CV18:CV19"/>
    <mergeCell ref="CW18:CW19"/>
    <mergeCell ref="CX18:CX19"/>
    <mergeCell ref="CY18:CY19"/>
    <mergeCell ref="CZ18:CZ19"/>
    <mergeCell ref="DA18:DD18"/>
    <mergeCell ref="CP18:CP19"/>
    <mergeCell ref="CQ18:CQ19"/>
    <mergeCell ref="CR18:CR19"/>
    <mergeCell ref="CS18:CS19"/>
    <mergeCell ref="CT18:CT19"/>
    <mergeCell ref="CU18:CU19"/>
    <mergeCell ref="CJ18:CJ19"/>
    <mergeCell ref="CK18:CK19"/>
    <mergeCell ref="CL18:CL19"/>
    <mergeCell ref="CM18:CM19"/>
    <mergeCell ref="CN18:CN19"/>
    <mergeCell ref="D35:D37"/>
    <mergeCell ref="E35:E37"/>
    <mergeCell ref="D38:D40"/>
    <mergeCell ref="E38:E52"/>
    <mergeCell ref="D41:D43"/>
    <mergeCell ref="D44:D46"/>
    <mergeCell ref="D47:D49"/>
    <mergeCell ref="D50:D52"/>
    <mergeCell ref="D26:D28"/>
    <mergeCell ref="E26:E28"/>
    <mergeCell ref="D29:D31"/>
    <mergeCell ref="E29:E31"/>
    <mergeCell ref="D32:D34"/>
    <mergeCell ref="E32:E34"/>
    <mergeCell ref="D65:D67"/>
    <mergeCell ref="E65:E67"/>
    <mergeCell ref="D68:D70"/>
    <mergeCell ref="E68:E70"/>
    <mergeCell ref="D71:D73"/>
    <mergeCell ref="E71:E73"/>
    <mergeCell ref="D53:D55"/>
    <mergeCell ref="E53:E61"/>
    <mergeCell ref="D56:D58"/>
    <mergeCell ref="D59:D61"/>
    <mergeCell ref="D62:D64"/>
    <mergeCell ref="E62:E64"/>
    <mergeCell ref="D86:D88"/>
    <mergeCell ref="E86:E88"/>
    <mergeCell ref="D89:D91"/>
    <mergeCell ref="E89:E91"/>
    <mergeCell ref="D92:D94"/>
    <mergeCell ref="E92:E94"/>
    <mergeCell ref="D74:D76"/>
    <mergeCell ref="E74:E79"/>
    <mergeCell ref="D77:D79"/>
    <mergeCell ref="D80:D82"/>
    <mergeCell ref="E80:E85"/>
    <mergeCell ref="D83:D85"/>
    <mergeCell ref="D104:D106"/>
    <mergeCell ref="E104:E106"/>
    <mergeCell ref="D107:D109"/>
    <mergeCell ref="E107:E109"/>
    <mergeCell ref="D110:D112"/>
    <mergeCell ref="E110:E112"/>
    <mergeCell ref="D95:D97"/>
    <mergeCell ref="E95:E97"/>
    <mergeCell ref="D98:D100"/>
    <mergeCell ref="E98:E100"/>
    <mergeCell ref="D101:D103"/>
    <mergeCell ref="E101:E103"/>
    <mergeCell ref="D122:D124"/>
    <mergeCell ref="E122:E124"/>
    <mergeCell ref="D125:D127"/>
    <mergeCell ref="E125:E127"/>
    <mergeCell ref="D128:D130"/>
    <mergeCell ref="E128:E130"/>
    <mergeCell ref="D113:D115"/>
    <mergeCell ref="E113:E115"/>
    <mergeCell ref="D116:D118"/>
    <mergeCell ref="E116:E118"/>
    <mergeCell ref="D119:D121"/>
    <mergeCell ref="E119:E121"/>
    <mergeCell ref="D140:D142"/>
    <mergeCell ref="E140:E142"/>
    <mergeCell ref="D143:D145"/>
    <mergeCell ref="E143:E145"/>
    <mergeCell ref="D146:D148"/>
    <mergeCell ref="E146:E148"/>
    <mergeCell ref="D131:D133"/>
    <mergeCell ref="E131:E133"/>
    <mergeCell ref="D134:D136"/>
    <mergeCell ref="E134:E136"/>
    <mergeCell ref="D137:D139"/>
    <mergeCell ref="E137:E139"/>
    <mergeCell ref="D158:D160"/>
    <mergeCell ref="E158:E160"/>
    <mergeCell ref="D161:D163"/>
    <mergeCell ref="E161:E163"/>
    <mergeCell ref="D149:D151"/>
    <mergeCell ref="E149:E151"/>
    <mergeCell ref="D152:D154"/>
    <mergeCell ref="E152:E154"/>
    <mergeCell ref="D155:D157"/>
    <mergeCell ref="E155:E157"/>
  </mergeCells>
  <conditionalFormatting sqref="AZ9 BG10 BG12 BG14:BG16">
    <cfRule type="cellIs" dxfId="1" priority="1" stopIfTrue="1" operator="equal">
      <formula>"Không đạt"</formula>
    </cfRule>
  </conditionalFormatting>
  <dataValidations disablePrompts="1" count="2">
    <dataValidation allowBlank="1" showInputMessage="1" showErrorMessage="1" promptTitle="HIEUHIN94" prompt="Điều kiện đảm bảo bê tông không bị phá vỡ bới ứng suất nén chính do xoắn" sqref="BW18:BW19"/>
    <dataValidation errorStyle="warning" allowBlank="1" showInputMessage="1" showErrorMessage="1" promptTitle="HIEU94" prompt="Eb2 = 0.0035 với bê tông cấp độ bền B60 trở xuống. Xem mục 6.14.2 TCVN 5574-2018." sqref="J13"/>
  </dataValidations>
  <pageMargins left="0.9" right="0.95" top="0.78740157480314998" bottom="0.39370078740157499" header="0.196850393700787" footer="0.196850393700787"/>
  <pageSetup paperSize="9" scale="93" fitToHeight="0" orientation="landscape" r:id="rId1"/>
  <headerFooter alignWithMargins="0"/>
  <colBreaks count="1" manualBreakCount="1">
    <brk id="19" max="35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'Bang tra'!$B$5:$M$5</xm:f>
          </x14:formula1>
          <xm:sqref>F4</xm:sqref>
        </x14:dataValidation>
        <x14:dataValidation type="list" allowBlank="1" showInputMessage="1" showErrorMessage="1">
          <x14:formula1>
            <xm:f>'Bang tra'!$B$14:$I$14</xm:f>
          </x14:formula1>
          <xm:sqref>F6:F9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0000"/>
    <pageSetUpPr fitToPage="1"/>
  </sheetPr>
  <dimension ref="A1:DH163"/>
  <sheetViews>
    <sheetView showGridLines="0" tabSelected="1" view="pageBreakPreview" topLeftCell="D1" zoomScale="130" zoomScaleNormal="100" zoomScaleSheetLayoutView="130" workbookViewId="0">
      <pane xSplit="2" ySplit="19" topLeftCell="F20" activePane="bottomRight" state="frozen"/>
      <selection activeCell="D1" sqref="D1"/>
      <selection pane="topRight" activeCell="F1" sqref="F1"/>
      <selection pane="bottomLeft" activeCell="D20" sqref="D20"/>
      <selection pane="bottomRight" activeCell="Y12" sqref="Y12"/>
    </sheetView>
  </sheetViews>
  <sheetFormatPr defaultRowHeight="12.75"/>
  <cols>
    <col min="1" max="3" width="6.7109375" style="26" hidden="1" customWidth="1"/>
    <col min="4" max="4" width="5.85546875" style="28" customWidth="1"/>
    <col min="5" max="5" width="10.5703125" style="28" customWidth="1"/>
    <col min="6" max="6" width="13" style="28" customWidth="1"/>
    <col min="7" max="7" width="7.85546875" style="28" customWidth="1"/>
    <col min="8" max="8" width="6.28515625" style="28" customWidth="1"/>
    <col min="9" max="9" width="4.7109375" style="28" customWidth="1"/>
    <col min="10" max="11" width="5.42578125" style="28" customWidth="1"/>
    <col min="12" max="12" width="4.85546875" style="28" bestFit="1" customWidth="1"/>
    <col min="13" max="13" width="6" style="28" hidden="1" customWidth="1"/>
    <col min="14" max="14" width="5.140625" style="28" bestFit="1" customWidth="1"/>
    <col min="15" max="15" width="6.28515625" style="28" customWidth="1"/>
    <col min="16" max="16" width="6.7109375" style="28" customWidth="1"/>
    <col min="17" max="17" width="6.28515625" style="28" hidden="1" customWidth="1"/>
    <col min="18" max="18" width="6" style="28" customWidth="1"/>
    <col min="19" max="19" width="7" style="28" customWidth="1"/>
    <col min="20" max="20" width="3" style="28" hidden="1" customWidth="1"/>
    <col min="21" max="21" width="5.28515625" style="28" hidden="1" customWidth="1"/>
    <col min="22" max="22" width="2" style="28" hidden="1" customWidth="1"/>
    <col min="23" max="23" width="3.140625" style="28" hidden="1" customWidth="1"/>
    <col min="24" max="24" width="5.85546875" style="28" hidden="1" customWidth="1"/>
    <col min="25" max="25" width="5.85546875" style="28" customWidth="1"/>
    <col min="26" max="26" width="6.42578125" style="28" bestFit="1" customWidth="1"/>
    <col min="27" max="27" width="6" style="28" hidden="1" customWidth="1"/>
    <col min="28" max="29" width="5.85546875" style="28" hidden="1" customWidth="1"/>
    <col min="30" max="31" width="6.42578125" style="28" hidden="1" customWidth="1"/>
    <col min="32" max="32" width="11.140625" style="28" hidden="1" customWidth="1"/>
    <col min="33" max="33" width="4.5703125" style="28" customWidth="1"/>
    <col min="34" max="34" width="5.85546875" style="28" customWidth="1"/>
    <col min="35" max="35" width="6.7109375" style="28" customWidth="1"/>
    <col min="36" max="36" width="6.5703125" style="28" customWidth="1"/>
    <col min="37" max="37" width="6.7109375" style="28" customWidth="1"/>
    <col min="38" max="38" width="6" style="109" hidden="1" customWidth="1"/>
    <col min="39" max="39" width="7.85546875" style="109" customWidth="1"/>
    <col min="40" max="40" width="9.85546875" style="109" customWidth="1"/>
    <col min="41" max="41" width="7" style="109" customWidth="1"/>
    <col min="42" max="42" width="10.140625" style="109" customWidth="1"/>
    <col min="43" max="43" width="2.7109375" style="118" customWidth="1"/>
    <col min="44" max="44" width="6.5703125" style="109" customWidth="1"/>
    <col min="45" max="45" width="4.28515625" style="109" customWidth="1"/>
    <col min="46" max="46" width="6.28515625" style="109" customWidth="1"/>
    <col min="47" max="47" width="2.7109375" style="58" customWidth="1"/>
    <col min="48" max="48" width="9.140625" style="27"/>
    <col min="49" max="49" width="10.28515625" style="27" customWidth="1"/>
    <col min="50" max="50" width="9.5703125" style="27" customWidth="1"/>
    <col min="51" max="52" width="9.28515625" style="27" bestFit="1" customWidth="1"/>
    <col min="53" max="53" width="8" style="27" customWidth="1"/>
    <col min="54" max="55" width="10.7109375" style="27" customWidth="1"/>
    <col min="56" max="60" width="9.28515625" style="27" bestFit="1" customWidth="1"/>
    <col min="61" max="61" width="6.7109375" style="27" customWidth="1"/>
    <col min="62" max="62" width="7.140625" style="27" customWidth="1"/>
    <col min="63" max="64" width="9.28515625" style="27" bestFit="1" customWidth="1"/>
    <col min="65" max="65" width="9.5703125" style="27" customWidth="1"/>
    <col min="66" max="67" width="7.42578125" style="27" customWidth="1"/>
    <col min="68" max="68" width="9.28515625" style="27" bestFit="1" customWidth="1"/>
    <col min="69" max="69" width="9.7109375" style="27" customWidth="1"/>
    <col min="70" max="70" width="8.140625" style="27" customWidth="1"/>
    <col min="71" max="71" width="4.5703125" style="58" customWidth="1"/>
    <col min="72" max="72" width="2" style="27" customWidth="1"/>
    <col min="73" max="75" width="9.140625" style="27"/>
    <col min="76" max="76" width="13.85546875" style="27" customWidth="1"/>
    <col min="77" max="77" width="5.42578125" style="27" customWidth="1"/>
    <col min="78" max="78" width="5.140625" style="27" customWidth="1"/>
    <col min="79" max="79" width="4.42578125" style="27" customWidth="1"/>
    <col min="80" max="80" width="6.42578125" style="27" customWidth="1"/>
    <col min="81" max="81" width="5.7109375" style="27" customWidth="1"/>
    <col min="82" max="82" width="6.42578125" style="27" customWidth="1"/>
    <col min="83" max="83" width="7" style="27" customWidth="1"/>
    <col min="84" max="84" width="7.42578125" style="27" customWidth="1"/>
    <col min="85" max="85" width="9.28515625" style="27" customWidth="1"/>
    <col min="86" max="86" width="7" style="27" customWidth="1"/>
    <col min="87" max="87" width="6.140625" style="27" customWidth="1"/>
    <col min="88" max="88" width="10.28515625" style="27" customWidth="1"/>
    <col min="89" max="89" width="4" style="27" customWidth="1"/>
    <col min="90" max="90" width="5.5703125" style="27" customWidth="1"/>
    <col min="91" max="91" width="4.85546875" style="27" customWidth="1"/>
    <col min="92" max="92" width="6.42578125" style="27" customWidth="1"/>
    <col min="93" max="93" width="5.28515625" style="27" customWidth="1"/>
    <col min="94" max="94" width="6.42578125" style="27" customWidth="1"/>
    <col min="95" max="95" width="7.42578125" style="27" customWidth="1"/>
    <col min="96" max="96" width="7.28515625" style="27" customWidth="1"/>
    <col min="97" max="97" width="8.85546875" style="27" customWidth="1"/>
    <col min="98" max="98" width="6.85546875" style="27" customWidth="1"/>
    <col min="99" max="99" width="6.28515625" style="27" customWidth="1"/>
    <col min="100" max="100" width="9.140625" style="27"/>
    <col min="101" max="101" width="5.7109375" style="27" customWidth="1"/>
    <col min="102" max="102" width="6.5703125" style="27" customWidth="1"/>
    <col min="103" max="103" width="14.85546875" style="27" customWidth="1"/>
    <col min="104" max="104" width="5.85546875" style="27" customWidth="1"/>
    <col min="105" max="106" width="10.85546875" style="27" customWidth="1"/>
    <col min="107" max="107" width="10.140625" style="27" customWidth="1"/>
    <col min="108" max="108" width="8.140625" style="27" customWidth="1"/>
    <col min="109" max="109" width="7.140625" style="27" customWidth="1"/>
    <col min="110" max="110" width="8" style="27" customWidth="1"/>
    <col min="111" max="111" width="11.7109375" style="27" customWidth="1"/>
    <col min="112" max="112" width="11.5703125" style="27" customWidth="1"/>
    <col min="113" max="16384" width="9.140625" style="27"/>
  </cols>
  <sheetData>
    <row r="1" spans="1:112" ht="20.25" customHeight="1" thickBot="1">
      <c r="D1" s="209" t="s">
        <v>320</v>
      </c>
      <c r="E1" s="209"/>
      <c r="F1" s="209"/>
      <c r="G1" s="209"/>
      <c r="H1" s="209"/>
      <c r="I1" s="209"/>
      <c r="J1" s="209"/>
      <c r="K1" s="209"/>
      <c r="L1" s="209"/>
      <c r="M1" s="209"/>
      <c r="N1" s="209"/>
      <c r="O1" s="209"/>
      <c r="P1" s="209"/>
      <c r="Q1" s="209"/>
      <c r="R1" s="209"/>
      <c r="S1" s="209"/>
      <c r="T1" s="209"/>
      <c r="U1" s="209"/>
      <c r="V1" s="209"/>
      <c r="W1" s="209"/>
      <c r="X1" s="209"/>
      <c r="Y1" s="209"/>
      <c r="Z1" s="209"/>
      <c r="AA1" s="209"/>
      <c r="AB1" s="209"/>
      <c r="AC1" s="209"/>
      <c r="AD1" s="209"/>
      <c r="AE1" s="209"/>
      <c r="AF1" s="209"/>
      <c r="AG1" s="209"/>
      <c r="AH1" s="209"/>
      <c r="AI1" s="209"/>
      <c r="AJ1" s="209"/>
      <c r="AK1" s="209"/>
      <c r="AL1" s="108">
        <f>0.25*$K$4*G20</f>
        <v>287.5</v>
      </c>
      <c r="AM1" s="108"/>
      <c r="AN1" s="108"/>
      <c r="AO1" s="108"/>
      <c r="AP1" s="108"/>
      <c r="AQ1" s="117"/>
      <c r="AR1" s="108"/>
      <c r="AS1" s="108"/>
      <c r="AT1" s="108"/>
      <c r="AU1" s="27"/>
      <c r="AV1" s="210" t="s">
        <v>76</v>
      </c>
      <c r="AW1" s="211"/>
      <c r="AX1" s="211"/>
      <c r="AY1" s="211"/>
      <c r="AZ1" s="211"/>
      <c r="BA1" s="211"/>
      <c r="BB1" s="211"/>
      <c r="BC1" s="211"/>
      <c r="BD1" s="211"/>
      <c r="BE1" s="211"/>
      <c r="BF1" s="211"/>
      <c r="BG1" s="211"/>
      <c r="BH1" s="211"/>
      <c r="BI1" s="211"/>
      <c r="BJ1" s="211"/>
      <c r="BK1" s="211"/>
      <c r="BL1" s="211"/>
      <c r="BM1" s="211"/>
      <c r="BN1" s="211"/>
      <c r="BO1" s="211"/>
      <c r="BP1" s="211"/>
      <c r="BQ1" s="211"/>
      <c r="BR1" s="212"/>
      <c r="BS1" s="66"/>
      <c r="BT1" s="213" t="s">
        <v>88</v>
      </c>
      <c r="BU1" s="214"/>
      <c r="BV1" s="214"/>
      <c r="BW1" s="214"/>
      <c r="BX1" s="214"/>
      <c r="BY1" s="214"/>
      <c r="BZ1" s="214"/>
      <c r="CA1" s="214"/>
      <c r="CB1" s="214"/>
      <c r="CC1" s="214"/>
      <c r="CD1" s="214"/>
      <c r="CE1" s="214"/>
      <c r="CF1" s="214"/>
      <c r="CG1" s="214"/>
      <c r="CH1" s="214"/>
      <c r="CI1" s="214"/>
      <c r="CJ1" s="214"/>
      <c r="CK1" s="214"/>
      <c r="CL1" s="214"/>
      <c r="CM1" s="214"/>
      <c r="CN1" s="214"/>
      <c r="CO1" s="214"/>
      <c r="CP1" s="214"/>
      <c r="CQ1" s="214"/>
      <c r="CR1" s="214"/>
      <c r="CS1" s="214"/>
      <c r="CT1" s="214"/>
      <c r="CU1" s="214"/>
      <c r="CV1" s="214"/>
      <c r="CW1" s="214"/>
      <c r="CX1" s="214"/>
      <c r="CY1" s="214"/>
      <c r="CZ1" s="214"/>
    </row>
    <row r="2" spans="1:112" ht="18.75" customHeight="1"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  <c r="O2" s="209"/>
      <c r="P2" s="209"/>
      <c r="Q2" s="209"/>
      <c r="R2" s="209"/>
      <c r="S2" s="209"/>
      <c r="T2" s="209"/>
      <c r="U2" s="209"/>
      <c r="V2" s="209"/>
      <c r="W2" s="209"/>
      <c r="X2" s="209"/>
      <c r="Y2" s="209"/>
      <c r="Z2" s="209"/>
      <c r="AA2" s="209"/>
      <c r="AB2" s="209"/>
      <c r="AC2" s="209"/>
      <c r="AD2" s="209"/>
      <c r="AE2" s="209"/>
      <c r="AF2" s="209"/>
      <c r="AG2" s="209"/>
      <c r="AH2" s="209"/>
      <c r="AI2" s="209"/>
      <c r="AJ2" s="209"/>
      <c r="AK2" s="209"/>
      <c r="AU2" s="27">
        <v>1</v>
      </c>
      <c r="AV2" s="27" t="s">
        <v>77</v>
      </c>
      <c r="AW2" s="143"/>
      <c r="AX2" s="143"/>
      <c r="AY2" s="143"/>
      <c r="AZ2" s="143"/>
      <c r="BA2" s="143"/>
      <c r="BB2" s="143"/>
      <c r="BC2" s="143"/>
      <c r="BD2" s="143"/>
      <c r="BE2" s="143"/>
      <c r="BF2" s="143"/>
      <c r="BG2" s="143"/>
      <c r="BI2" s="143"/>
      <c r="BJ2" s="143"/>
      <c r="BK2" s="143"/>
      <c r="BL2" s="143"/>
      <c r="BM2" s="143"/>
      <c r="BN2" s="143"/>
      <c r="BO2" s="143"/>
      <c r="BP2" s="143"/>
      <c r="BR2" s="143"/>
      <c r="BS2" s="65"/>
    </row>
    <row r="3" spans="1:112" ht="13.5" customHeight="1">
      <c r="A3" s="29"/>
      <c r="B3" s="29"/>
      <c r="C3" s="29"/>
      <c r="D3" s="64" t="s">
        <v>21</v>
      </c>
      <c r="E3" s="30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2"/>
      <c r="U3" s="33"/>
      <c r="V3" s="33"/>
      <c r="W3" s="215"/>
      <c r="X3" s="215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110"/>
      <c r="AM3" s="110"/>
      <c r="AN3" s="110"/>
      <c r="AO3" s="110"/>
      <c r="AP3" s="110"/>
      <c r="AQ3" s="119"/>
      <c r="AR3" s="110"/>
      <c r="AS3" s="110"/>
      <c r="AT3" s="110"/>
      <c r="AU3" s="27"/>
      <c r="AV3" s="27" t="s">
        <v>247</v>
      </c>
      <c r="AW3" s="143"/>
      <c r="AX3" s="143"/>
      <c r="AY3" s="143"/>
      <c r="AZ3" s="143"/>
      <c r="BA3" s="143"/>
      <c r="BB3" s="143"/>
      <c r="BC3" s="143"/>
      <c r="BD3" s="143"/>
      <c r="BE3" s="143"/>
      <c r="BF3" s="143"/>
      <c r="BG3" s="143"/>
      <c r="BH3" s="27">
        <v>4</v>
      </c>
      <c r="BI3" s="27" t="s">
        <v>289</v>
      </c>
      <c r="BJ3" s="143"/>
      <c r="BK3" s="143"/>
      <c r="BL3" s="143"/>
      <c r="BM3" s="143"/>
      <c r="BN3" s="143"/>
      <c r="BO3" s="143"/>
      <c r="BP3" s="143"/>
      <c r="BR3" s="143"/>
      <c r="BS3" s="65"/>
    </row>
    <row r="4" spans="1:112" ht="15.75" customHeight="1">
      <c r="A4" s="29"/>
      <c r="B4" s="29"/>
      <c r="C4" s="29"/>
      <c r="D4" s="35" t="s">
        <v>28</v>
      </c>
      <c r="F4" s="36" t="s">
        <v>0</v>
      </c>
      <c r="G4" s="37" t="s">
        <v>57</v>
      </c>
      <c r="H4" s="38">
        <f>HLOOKUP($F$4,'Bang tra'!$B$5:$M$10,2,0)</f>
        <v>17</v>
      </c>
      <c r="I4" s="35" t="s">
        <v>9</v>
      </c>
      <c r="J4" s="37" t="s">
        <v>58</v>
      </c>
      <c r="K4" s="39">
        <f>HLOOKUP($F$4,'Bang tra'!$B$5:$M$10,3,0)</f>
        <v>1.1499999999999999</v>
      </c>
      <c r="L4" s="35" t="s">
        <v>9</v>
      </c>
      <c r="N4" s="37" t="s">
        <v>59</v>
      </c>
      <c r="O4" s="40">
        <f>HLOOKUP($F$4,'Bang tra'!$B$5:$M$10,6,0)</f>
        <v>32500</v>
      </c>
      <c r="P4" s="41" t="s">
        <v>9</v>
      </c>
      <c r="AF4" s="59"/>
      <c r="AG4" s="59"/>
      <c r="AH4" s="59"/>
      <c r="AI4" s="59"/>
      <c r="AJ4" s="59"/>
      <c r="AK4" s="59"/>
      <c r="AL4" s="111"/>
      <c r="AM4" s="111"/>
      <c r="AN4" s="111"/>
      <c r="AO4" s="111"/>
      <c r="AP4" s="111"/>
      <c r="AQ4" s="120"/>
      <c r="AR4" s="111"/>
      <c r="AS4" s="111"/>
      <c r="AT4" s="111"/>
      <c r="AU4" s="27"/>
      <c r="AV4" s="27" t="s">
        <v>253</v>
      </c>
      <c r="AX4" s="27" t="s">
        <v>252</v>
      </c>
      <c r="AZ4" s="143"/>
      <c r="BA4" s="27" t="s">
        <v>248</v>
      </c>
      <c r="BB4" s="143"/>
      <c r="BC4" s="143"/>
      <c r="BG4" s="143"/>
      <c r="BI4" s="143"/>
      <c r="BJ4" s="143"/>
      <c r="BK4" s="143"/>
      <c r="BL4" s="143"/>
      <c r="BM4" s="143"/>
      <c r="BN4" s="143"/>
      <c r="BO4" s="143"/>
      <c r="BP4" s="143"/>
      <c r="BR4" s="143"/>
      <c r="BS4" s="65"/>
    </row>
    <row r="5" spans="1:112" ht="13.5" customHeight="1">
      <c r="A5" s="29"/>
      <c r="B5" s="29"/>
      <c r="C5" s="29"/>
      <c r="F5" s="45"/>
      <c r="J5" s="37" t="s">
        <v>61</v>
      </c>
      <c r="K5" s="39">
        <f>HLOOKUP($F$4,'Bang tra'!$B$5:$M$10,4,0)</f>
        <v>22</v>
      </c>
      <c r="L5" s="35" t="s">
        <v>9</v>
      </c>
      <c r="U5" s="46"/>
      <c r="AF5" s="59"/>
      <c r="AG5" s="59"/>
      <c r="AH5" s="59"/>
      <c r="AI5" s="59"/>
      <c r="AJ5" s="59"/>
      <c r="AK5" s="59"/>
      <c r="AL5" s="111"/>
      <c r="AM5" s="111"/>
      <c r="AN5" s="111"/>
      <c r="AO5" s="111"/>
      <c r="AP5" s="111"/>
      <c r="AQ5" s="120"/>
      <c r="AR5" s="111"/>
      <c r="AS5" s="111"/>
      <c r="AT5" s="111"/>
      <c r="AU5" s="27"/>
      <c r="AV5" s="27" t="s">
        <v>249</v>
      </c>
      <c r="AZ5" s="144"/>
      <c r="BB5" s="27" t="s">
        <v>251</v>
      </c>
      <c r="BI5" s="143"/>
      <c r="BJ5" s="143"/>
      <c r="BK5" s="143"/>
      <c r="BL5" s="143"/>
      <c r="BM5" s="143"/>
      <c r="BN5" s="143"/>
      <c r="BO5" s="143"/>
      <c r="BP5" s="143"/>
      <c r="BQ5" s="143"/>
      <c r="BR5" s="143"/>
      <c r="BS5" s="65"/>
    </row>
    <row r="6" spans="1:112" ht="14.25" customHeight="1">
      <c r="D6" s="28" t="s">
        <v>29</v>
      </c>
      <c r="E6" s="37" t="s">
        <v>227</v>
      </c>
      <c r="F6" s="49" t="s">
        <v>46</v>
      </c>
      <c r="G6" s="37" t="s">
        <v>63</v>
      </c>
      <c r="H6" s="40">
        <f>HLOOKUP($F$6,'Bang tra'!$B$14:$I$19,3,0)</f>
        <v>435</v>
      </c>
      <c r="I6" s="35" t="s">
        <v>9</v>
      </c>
      <c r="J6" s="37" t="s">
        <v>64</v>
      </c>
      <c r="K6" s="40">
        <f>HLOOKUP($F$6,'Bang tra'!$B$14:$I$19,4,0)</f>
        <v>400</v>
      </c>
      <c r="L6" s="35" t="s">
        <v>9</v>
      </c>
      <c r="N6" s="37" t="s">
        <v>65</v>
      </c>
      <c r="O6" s="40">
        <f>HLOOKUP($F$6,'Bang tra'!$B$14:$I$19,5,0)</f>
        <v>300</v>
      </c>
      <c r="P6" s="35" t="s">
        <v>9</v>
      </c>
      <c r="R6" s="37" t="s">
        <v>66</v>
      </c>
      <c r="S6" s="40">
        <f>HLOOKUP($F$6,'Bang tra'!$B$14:$I$19,6,0)</f>
        <v>200000</v>
      </c>
      <c r="T6" s="41" t="s">
        <v>9</v>
      </c>
      <c r="U6" s="50"/>
      <c r="AF6" s="50"/>
      <c r="AG6" s="50"/>
      <c r="AH6" s="50"/>
      <c r="AI6" s="50"/>
      <c r="AJ6" s="50"/>
      <c r="AK6" s="50"/>
      <c r="AL6" s="112"/>
      <c r="AM6" s="112"/>
      <c r="AN6" s="112"/>
      <c r="AO6" s="112"/>
      <c r="AP6" s="112"/>
      <c r="AQ6" s="121"/>
      <c r="AR6" s="112"/>
      <c r="AS6" s="112"/>
      <c r="AT6" s="112"/>
      <c r="AU6" s="27"/>
      <c r="AV6" s="27" t="s">
        <v>267</v>
      </c>
      <c r="AX6" s="27" t="s">
        <v>268</v>
      </c>
      <c r="AZ6" s="144" t="s">
        <v>269</v>
      </c>
    </row>
    <row r="7" spans="1:112" ht="15.75" customHeight="1">
      <c r="E7" s="37" t="s">
        <v>22</v>
      </c>
      <c r="F7" s="49" t="s">
        <v>19</v>
      </c>
      <c r="G7" s="37" t="s">
        <v>63</v>
      </c>
      <c r="H7" s="40">
        <f>HLOOKUP($F$7,'Bang tra'!$B$14:$I$19,3,0)</f>
        <v>260</v>
      </c>
      <c r="I7" s="35" t="s">
        <v>9</v>
      </c>
      <c r="J7" s="37" t="s">
        <v>67</v>
      </c>
      <c r="K7" s="40">
        <f>HLOOKUP($F$7,'Bang tra'!$B$14:$I$19,4,0)</f>
        <v>260</v>
      </c>
      <c r="L7" s="35" t="s">
        <v>9</v>
      </c>
      <c r="N7" s="37" t="s">
        <v>65</v>
      </c>
      <c r="O7" s="40">
        <f>HLOOKUP($F$7,'Bang tra'!$B$14:$I$19,5,0)</f>
        <v>210</v>
      </c>
      <c r="P7" s="35" t="s">
        <v>9</v>
      </c>
      <c r="Q7" s="37"/>
      <c r="R7" s="37"/>
      <c r="S7" s="37"/>
      <c r="T7" s="37"/>
      <c r="U7" s="37"/>
      <c r="V7" s="37"/>
      <c r="W7" s="37"/>
      <c r="Y7" s="52"/>
      <c r="Z7" s="52"/>
      <c r="AA7" s="52"/>
      <c r="AB7" s="52"/>
      <c r="AC7" s="32"/>
      <c r="AD7" s="32"/>
      <c r="AF7" s="52"/>
      <c r="AG7" s="52"/>
      <c r="AH7" s="52"/>
      <c r="AI7" s="52"/>
      <c r="AJ7" s="52"/>
      <c r="AK7" s="52"/>
      <c r="AL7" s="113"/>
      <c r="AM7" s="113"/>
      <c r="AN7" s="113"/>
      <c r="AO7" s="113"/>
      <c r="AP7" s="113"/>
      <c r="AQ7" s="122"/>
      <c r="AR7" s="113"/>
      <c r="AS7" s="113"/>
      <c r="AT7" s="113"/>
      <c r="AU7" s="27">
        <v>2</v>
      </c>
      <c r="AV7" s="27" t="s">
        <v>250</v>
      </c>
      <c r="AZ7" s="144"/>
      <c r="BA7" s="143"/>
      <c r="BD7" s="143"/>
      <c r="BE7" s="143"/>
      <c r="BF7" s="143"/>
      <c r="BG7" s="143"/>
    </row>
    <row r="8" spans="1:112" ht="14.25" customHeight="1">
      <c r="E8" s="37" t="s">
        <v>228</v>
      </c>
      <c r="F8" s="49" t="s">
        <v>46</v>
      </c>
      <c r="G8" s="37" t="s">
        <v>63</v>
      </c>
      <c r="H8" s="40">
        <f>HLOOKUP(F8,'Bang tra'!$B$14:$I$19,3,0)</f>
        <v>435</v>
      </c>
      <c r="I8" s="35" t="s">
        <v>9</v>
      </c>
      <c r="J8" s="37" t="s">
        <v>67</v>
      </c>
      <c r="K8" s="40">
        <f>HLOOKUP(F8,'Bang tra'!$B$14:$I$19,4,0)</f>
        <v>400</v>
      </c>
      <c r="L8" s="35" t="s">
        <v>9</v>
      </c>
      <c r="N8" s="37" t="s">
        <v>65</v>
      </c>
      <c r="O8" s="40">
        <f>HLOOKUP(F8,'Bang tra'!$B$14:$I$19,5,0)</f>
        <v>300</v>
      </c>
      <c r="P8" s="35" t="s">
        <v>9</v>
      </c>
      <c r="Q8" s="37"/>
      <c r="R8" s="37"/>
      <c r="S8" s="37"/>
      <c r="T8" s="37"/>
      <c r="U8" s="37"/>
      <c r="V8" s="37"/>
      <c r="W8" s="37"/>
      <c r="Y8" s="52"/>
      <c r="Z8" s="52"/>
      <c r="AA8" s="52"/>
      <c r="AB8" s="52"/>
      <c r="AC8" s="32"/>
      <c r="AD8" s="32"/>
      <c r="AF8" s="52"/>
      <c r="AG8" s="52"/>
      <c r="AH8" s="52"/>
      <c r="AI8" s="52"/>
      <c r="AJ8" s="52"/>
      <c r="AK8" s="52"/>
      <c r="AL8" s="113"/>
      <c r="AM8" s="113"/>
      <c r="AN8" s="113"/>
      <c r="AO8" s="113"/>
      <c r="AP8" s="113"/>
      <c r="AQ8" s="122"/>
      <c r="AR8" s="113"/>
      <c r="AS8" s="113"/>
      <c r="AT8" s="113"/>
      <c r="AU8" s="27"/>
      <c r="AZ8" s="144"/>
      <c r="BB8" s="143"/>
      <c r="BC8" s="143"/>
    </row>
    <row r="9" spans="1:112" ht="15.75" customHeight="1">
      <c r="D9" s="28" t="s">
        <v>83</v>
      </c>
      <c r="E9" s="37"/>
      <c r="F9" s="57"/>
      <c r="G9" s="37"/>
      <c r="H9" s="40"/>
      <c r="I9" s="35"/>
      <c r="J9" s="37"/>
      <c r="K9" s="40"/>
      <c r="L9" s="40"/>
      <c r="M9" s="35"/>
      <c r="N9" s="37"/>
      <c r="O9" s="40"/>
      <c r="P9" s="35"/>
      <c r="Q9" s="37"/>
      <c r="R9" s="37"/>
      <c r="S9" s="37"/>
      <c r="T9" s="37"/>
      <c r="U9" s="37"/>
      <c r="V9" s="37"/>
      <c r="W9" s="37"/>
      <c r="Y9" s="52"/>
      <c r="Z9" s="52"/>
      <c r="AA9" s="52"/>
      <c r="AB9" s="52"/>
      <c r="AC9" s="32"/>
      <c r="AD9" s="32"/>
      <c r="AF9" s="52"/>
      <c r="AG9" s="52"/>
      <c r="AH9" s="52"/>
      <c r="AI9" s="52"/>
      <c r="AJ9" s="52"/>
      <c r="AK9" s="52"/>
      <c r="AL9" s="113"/>
      <c r="AM9" s="113"/>
      <c r="AN9" s="113"/>
      <c r="AO9" s="113"/>
      <c r="AP9" s="113"/>
      <c r="AQ9" s="122"/>
      <c r="AR9" s="113"/>
      <c r="AS9" s="113"/>
      <c r="AT9" s="113"/>
      <c r="AU9" s="27"/>
      <c r="AV9" s="145" t="s">
        <v>254</v>
      </c>
      <c r="AW9" s="136" t="s">
        <v>256</v>
      </c>
      <c r="AX9" s="136" t="s">
        <v>257</v>
      </c>
      <c r="AY9" s="136" t="s">
        <v>258</v>
      </c>
      <c r="AZ9" s="136" t="s">
        <v>255</v>
      </c>
      <c r="BB9" s="143"/>
      <c r="BC9" s="143"/>
    </row>
    <row r="10" spans="1:112" ht="15.75" customHeight="1">
      <c r="E10" s="33"/>
      <c r="F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52"/>
      <c r="U10" s="52"/>
      <c r="V10" s="52"/>
      <c r="W10" s="52"/>
      <c r="X10" s="52"/>
      <c r="Y10" s="52"/>
      <c r="Z10" s="52"/>
      <c r="AA10" s="52"/>
      <c r="AB10" s="52"/>
      <c r="AC10" s="52"/>
      <c r="AD10" s="32"/>
      <c r="AE10" s="32"/>
      <c r="AF10" s="52"/>
      <c r="AG10" s="52"/>
      <c r="AH10" s="52"/>
      <c r="AI10" s="52"/>
      <c r="AJ10" s="52"/>
      <c r="AK10" s="52"/>
      <c r="AL10" s="113"/>
      <c r="AM10" s="113"/>
      <c r="AN10" s="113"/>
      <c r="AO10" s="113"/>
      <c r="AP10" s="113"/>
      <c r="AQ10" s="122"/>
      <c r="AR10" s="113"/>
      <c r="AS10" s="113"/>
      <c r="AT10" s="113"/>
      <c r="AU10" s="27"/>
      <c r="AV10" s="145" t="s">
        <v>259</v>
      </c>
      <c r="AW10" s="145" t="s">
        <v>260</v>
      </c>
      <c r="AX10" s="145" t="s">
        <v>261</v>
      </c>
      <c r="AY10" s="145" t="s">
        <v>262</v>
      </c>
      <c r="AZ10" s="145" t="s">
        <v>263</v>
      </c>
      <c r="BA10" s="143"/>
      <c r="BB10" s="143"/>
      <c r="BC10" s="143"/>
      <c r="BG10" s="146"/>
    </row>
    <row r="11" spans="1:112" ht="15.75" customHeight="1">
      <c r="D11" s="42" t="s">
        <v>54</v>
      </c>
      <c r="F11" s="33"/>
      <c r="I11" s="43" t="s">
        <v>60</v>
      </c>
      <c r="J11" s="44">
        <v>0.9</v>
      </c>
      <c r="K11" s="33"/>
      <c r="L11" s="32"/>
      <c r="M11" s="32"/>
      <c r="N11" s="32"/>
      <c r="O11" s="32"/>
      <c r="P11" s="32"/>
      <c r="Q11" s="32"/>
      <c r="R11" s="32"/>
      <c r="S11" s="32"/>
      <c r="T11" s="52"/>
      <c r="U11" s="52"/>
      <c r="V11" s="52"/>
      <c r="W11" s="52"/>
      <c r="X11" s="52"/>
      <c r="Y11" s="52"/>
      <c r="Z11" s="52"/>
      <c r="AA11" s="52"/>
      <c r="AB11" s="52"/>
      <c r="AC11" s="52"/>
      <c r="AD11" s="32"/>
      <c r="AE11" s="32"/>
      <c r="AF11" s="52"/>
      <c r="AG11" s="52"/>
      <c r="AH11" s="52"/>
      <c r="AI11" s="52"/>
      <c r="AJ11" s="52"/>
      <c r="AK11" s="52"/>
      <c r="AL11" s="113"/>
      <c r="AM11" s="113"/>
      <c r="AN11" s="113"/>
      <c r="AO11" s="113"/>
      <c r="AP11" s="113"/>
      <c r="AQ11" s="122"/>
      <c r="AR11" s="113"/>
      <c r="AS11" s="113"/>
      <c r="AT11" s="113"/>
      <c r="AU11" s="27">
        <v>3</v>
      </c>
      <c r="AV11" s="143" t="s">
        <v>75</v>
      </c>
      <c r="AW11" s="143"/>
      <c r="AX11" s="143"/>
      <c r="AY11" s="143"/>
      <c r="AZ11" s="143"/>
      <c r="BA11" s="143"/>
      <c r="BB11" s="143"/>
      <c r="BC11" s="143"/>
      <c r="BD11" s="147"/>
      <c r="BE11" s="148"/>
      <c r="BF11" s="149"/>
    </row>
    <row r="12" spans="1:112" ht="15.75" customHeight="1">
      <c r="D12" s="47" t="s">
        <v>56</v>
      </c>
      <c r="F12" s="33"/>
      <c r="I12" s="43" t="s">
        <v>62</v>
      </c>
      <c r="J12" s="48">
        <v>60</v>
      </c>
      <c r="K12" s="47" t="s">
        <v>11</v>
      </c>
      <c r="L12" s="32"/>
      <c r="M12" s="32"/>
      <c r="N12" s="32"/>
      <c r="O12" s="32"/>
      <c r="P12" s="32"/>
      <c r="Q12" s="32"/>
      <c r="R12" s="32"/>
      <c r="S12" s="32"/>
      <c r="T12" s="52"/>
      <c r="U12" s="52"/>
      <c r="V12" s="52"/>
      <c r="W12" s="52"/>
      <c r="X12" s="52"/>
      <c r="Y12" s="52"/>
      <c r="Z12" s="52"/>
      <c r="AA12" s="52"/>
      <c r="AB12" s="52"/>
      <c r="AC12" s="52"/>
      <c r="AD12" s="32"/>
      <c r="AE12" s="32"/>
      <c r="AF12" s="52"/>
      <c r="AG12" s="52"/>
      <c r="AH12" s="52"/>
      <c r="AI12" s="52"/>
      <c r="AJ12" s="52"/>
      <c r="AK12" s="52"/>
      <c r="AL12" s="113"/>
      <c r="AM12" s="113"/>
      <c r="AN12" s="113"/>
      <c r="AO12" s="113"/>
      <c r="AP12" s="113"/>
      <c r="AQ12" s="122"/>
      <c r="AR12" s="113"/>
      <c r="AS12" s="113"/>
      <c r="AT12" s="113"/>
      <c r="AU12" s="27"/>
      <c r="AW12" s="143"/>
      <c r="AX12" s="143"/>
      <c r="AY12" s="143"/>
      <c r="AZ12" s="143"/>
      <c r="BA12" s="143"/>
      <c r="BB12" s="143"/>
      <c r="BC12" s="143"/>
      <c r="BD12" s="147"/>
      <c r="BE12" s="148"/>
      <c r="BF12" s="150"/>
      <c r="BG12" s="146"/>
    </row>
    <row r="13" spans="1:112" ht="15.75" customHeight="1">
      <c r="D13" s="42" t="s">
        <v>55</v>
      </c>
      <c r="F13" s="33"/>
      <c r="I13" s="37" t="s">
        <v>99</v>
      </c>
      <c r="J13" s="51">
        <f>0.8/(1+($H$6/$S$6)/0.0035)</f>
        <v>0.4933920704845815</v>
      </c>
      <c r="K13" s="33"/>
      <c r="L13" s="32"/>
      <c r="M13" s="32"/>
      <c r="N13" s="32"/>
      <c r="O13" s="32"/>
      <c r="P13" s="32"/>
      <c r="Q13" s="32"/>
      <c r="R13" s="32"/>
      <c r="S13" s="32"/>
      <c r="T13" s="52"/>
      <c r="U13" s="52"/>
      <c r="V13" s="52"/>
      <c r="W13" s="52"/>
      <c r="X13" s="52"/>
      <c r="Y13" s="52"/>
      <c r="Z13" s="52"/>
      <c r="AA13" s="52"/>
      <c r="AB13" s="52"/>
      <c r="AC13" s="52"/>
      <c r="AD13" s="32"/>
      <c r="AE13" s="32"/>
      <c r="AF13" s="52"/>
      <c r="AG13" s="52"/>
      <c r="AH13" s="52"/>
      <c r="AI13" s="52"/>
      <c r="AJ13" s="52"/>
      <c r="AK13" s="52"/>
      <c r="AL13" s="113"/>
      <c r="AM13" s="113"/>
      <c r="AN13" s="113"/>
      <c r="AO13" s="113"/>
      <c r="AP13" s="113"/>
      <c r="AQ13" s="122"/>
      <c r="AR13" s="113"/>
      <c r="AS13" s="113"/>
      <c r="AT13" s="113"/>
      <c r="AU13" s="27"/>
      <c r="AV13" s="143"/>
      <c r="AW13" s="143"/>
      <c r="AX13" s="143"/>
      <c r="AY13" s="143"/>
      <c r="AZ13" s="143"/>
      <c r="BA13" s="143"/>
      <c r="BB13" s="143"/>
      <c r="BC13" s="143"/>
      <c r="BD13" s="147"/>
      <c r="BE13" s="148"/>
      <c r="BF13" s="150"/>
    </row>
    <row r="14" spans="1:112" ht="15.75" hidden="1" customHeight="1">
      <c r="E14" s="33"/>
      <c r="F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52"/>
      <c r="U14" s="52"/>
      <c r="V14" s="52"/>
      <c r="W14" s="52"/>
      <c r="X14" s="52"/>
      <c r="Y14" s="52"/>
      <c r="Z14" s="52"/>
      <c r="AA14" s="52"/>
      <c r="AB14" s="52"/>
      <c r="AC14" s="52"/>
      <c r="AD14" s="32"/>
      <c r="AE14" s="32"/>
      <c r="AF14" s="52"/>
      <c r="AG14" s="52"/>
      <c r="AH14" s="52"/>
      <c r="AI14" s="52"/>
      <c r="AJ14" s="52"/>
      <c r="AK14" s="52"/>
      <c r="AL14" s="113"/>
      <c r="AM14" s="113"/>
      <c r="AN14" s="113"/>
      <c r="AO14" s="113"/>
      <c r="AP14" s="113"/>
      <c r="AQ14" s="122"/>
      <c r="AR14" s="113"/>
      <c r="AS14" s="113"/>
      <c r="AT14" s="113"/>
      <c r="AU14" s="27"/>
      <c r="AV14" s="143"/>
      <c r="AW14" s="143"/>
      <c r="AX14" s="143"/>
      <c r="AY14" s="143"/>
      <c r="AZ14" s="143"/>
      <c r="BA14" s="143"/>
      <c r="BB14" s="143"/>
      <c r="BC14" s="143"/>
      <c r="BD14" s="147"/>
      <c r="BE14" s="148"/>
      <c r="BF14" s="148"/>
      <c r="BG14" s="146"/>
    </row>
    <row r="15" spans="1:112" ht="15.75" hidden="1" customHeight="1">
      <c r="E15" s="33"/>
      <c r="F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52"/>
      <c r="U15" s="52"/>
      <c r="V15" s="52"/>
      <c r="W15" s="52"/>
      <c r="X15" s="52"/>
      <c r="Y15" s="52"/>
      <c r="Z15" s="52"/>
      <c r="AA15" s="52"/>
      <c r="AB15" s="52"/>
      <c r="AC15" s="52"/>
      <c r="AD15" s="32"/>
      <c r="AE15" s="32"/>
      <c r="AF15" s="52"/>
      <c r="AG15" s="52"/>
      <c r="AH15" s="52"/>
      <c r="AI15" s="52"/>
      <c r="AJ15" s="52"/>
      <c r="AK15" s="52"/>
      <c r="AL15" s="113"/>
      <c r="AM15" s="113"/>
      <c r="AN15" s="113"/>
      <c r="AO15" s="113"/>
      <c r="AP15" s="113"/>
      <c r="AQ15" s="122"/>
      <c r="AR15" s="113"/>
      <c r="AS15" s="113"/>
      <c r="AT15" s="113"/>
      <c r="AU15" s="27"/>
      <c r="AV15" s="143"/>
      <c r="AW15" s="143"/>
      <c r="AX15" s="143"/>
      <c r="AY15" s="143"/>
      <c r="AZ15" s="143"/>
      <c r="BA15" s="143"/>
      <c r="BB15" s="143"/>
      <c r="BC15" s="143"/>
      <c r="BD15" s="147"/>
      <c r="BE15" s="148"/>
      <c r="BF15" s="148"/>
      <c r="BG15" s="146"/>
    </row>
    <row r="16" spans="1:112" ht="15" customHeight="1">
      <c r="D16" s="64" t="s">
        <v>319</v>
      </c>
      <c r="E16" s="53"/>
      <c r="F16" s="33"/>
      <c r="G16" s="54"/>
      <c r="H16" s="50"/>
      <c r="I16" s="50"/>
      <c r="J16" s="54"/>
      <c r="K16" s="54"/>
      <c r="L16" s="33"/>
      <c r="M16" s="33"/>
      <c r="N16" s="33"/>
      <c r="O16" s="33"/>
      <c r="P16" s="33"/>
      <c r="Q16" s="33"/>
      <c r="R16" s="39"/>
      <c r="S16" s="55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33"/>
      <c r="AE16" s="33"/>
      <c r="AF16" s="56"/>
      <c r="AG16" s="56"/>
      <c r="AH16" s="56"/>
      <c r="AI16" s="56"/>
      <c r="AJ16" s="56"/>
      <c r="AK16" s="56"/>
      <c r="AL16" s="114"/>
      <c r="AM16" s="114"/>
      <c r="AN16" s="114"/>
      <c r="AO16" s="114"/>
      <c r="AP16" s="114"/>
      <c r="AQ16" s="123"/>
      <c r="AR16" s="114"/>
      <c r="AS16" s="114"/>
      <c r="AT16" s="114"/>
      <c r="AU16" s="27"/>
      <c r="BG16" s="146"/>
      <c r="BY16" s="206" t="s">
        <v>293</v>
      </c>
      <c r="BZ16" s="206"/>
      <c r="CA16" s="206"/>
      <c r="CB16" s="206"/>
      <c r="CC16" s="206"/>
      <c r="CD16" s="206"/>
      <c r="CE16" s="206"/>
      <c r="CF16" s="206"/>
      <c r="CG16" s="206"/>
      <c r="CH16" s="206"/>
      <c r="CI16" s="206"/>
      <c r="CJ16" s="206"/>
      <c r="CK16" s="206" t="s">
        <v>301</v>
      </c>
      <c r="CL16" s="206"/>
      <c r="CM16" s="206"/>
      <c r="CN16" s="206"/>
      <c r="CO16" s="206"/>
      <c r="CP16" s="206"/>
      <c r="CQ16" s="206"/>
      <c r="CR16" s="206"/>
      <c r="CS16" s="206"/>
      <c r="CT16" s="206"/>
      <c r="CU16" s="206"/>
      <c r="CV16" s="206"/>
      <c r="CW16" s="216" t="s">
        <v>308</v>
      </c>
      <c r="CX16" s="217"/>
      <c r="CY16" s="217"/>
      <c r="CZ16" s="218"/>
      <c r="DA16" s="206" t="s">
        <v>316</v>
      </c>
      <c r="DB16" s="206"/>
      <c r="DC16" s="206"/>
      <c r="DD16" s="206"/>
      <c r="DE16" s="206"/>
      <c r="DF16" s="206"/>
      <c r="DG16" s="206"/>
      <c r="DH16" s="206"/>
    </row>
    <row r="17" spans="4:112" ht="7.5" hidden="1" customHeight="1"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2"/>
      <c r="Y17" s="56"/>
      <c r="Z17" s="56"/>
      <c r="AA17" s="56"/>
      <c r="AB17" s="56"/>
      <c r="AC17" s="56"/>
      <c r="AD17" s="33"/>
      <c r="AE17" s="33"/>
      <c r="AF17" s="56"/>
      <c r="AG17" s="56"/>
      <c r="AH17" s="56"/>
      <c r="AI17" s="56"/>
      <c r="AJ17" s="56"/>
      <c r="AK17" s="56"/>
      <c r="AL17" s="114"/>
      <c r="AM17" s="114"/>
      <c r="AN17" s="114"/>
      <c r="AO17" s="114"/>
      <c r="AP17" s="114"/>
      <c r="AQ17" s="123"/>
      <c r="AR17" s="114"/>
      <c r="AS17" s="114"/>
      <c r="AT17" s="114"/>
      <c r="AU17" s="27"/>
      <c r="BY17" s="72" t="s">
        <v>95</v>
      </c>
      <c r="BZ17" s="73"/>
      <c r="CA17" s="73"/>
      <c r="CB17" s="73"/>
      <c r="CC17" s="73"/>
      <c r="CD17" s="73"/>
      <c r="CE17" s="73"/>
      <c r="CF17" s="73"/>
      <c r="CG17" s="73"/>
      <c r="CH17" s="73"/>
      <c r="CI17" s="73"/>
      <c r="CK17" s="72" t="s">
        <v>96</v>
      </c>
      <c r="CL17" s="73"/>
      <c r="CM17" s="73"/>
      <c r="CN17" s="73"/>
      <c r="CO17" s="73"/>
      <c r="CP17" s="73"/>
      <c r="CQ17" s="73"/>
      <c r="CR17" s="73"/>
      <c r="CS17" s="73"/>
      <c r="CT17" s="73"/>
      <c r="CU17" s="73"/>
      <c r="CW17" s="75"/>
      <c r="CX17" s="75"/>
      <c r="CY17" s="75"/>
      <c r="DA17" s="137"/>
      <c r="DB17" s="137"/>
    </row>
    <row r="18" spans="4:112" ht="15.75" customHeight="1">
      <c r="D18" s="205" t="s">
        <v>1</v>
      </c>
      <c r="E18" s="205" t="s">
        <v>329</v>
      </c>
      <c r="F18" s="205" t="s">
        <v>23</v>
      </c>
      <c r="G18" s="205" t="s">
        <v>1</v>
      </c>
      <c r="H18" s="205"/>
      <c r="I18" s="205"/>
      <c r="J18" s="205"/>
      <c r="K18" s="205" t="s">
        <v>10</v>
      </c>
      <c r="L18" s="205"/>
      <c r="M18" s="205"/>
      <c r="N18" s="205" t="s">
        <v>2</v>
      </c>
      <c r="O18" s="205"/>
      <c r="P18" s="205"/>
      <c r="Q18" s="207" t="s">
        <v>101</v>
      </c>
      <c r="R18" s="205" t="s">
        <v>27</v>
      </c>
      <c r="S18" s="205"/>
      <c r="T18" s="205" t="s">
        <v>3</v>
      </c>
      <c r="U18" s="205"/>
      <c r="V18" s="205"/>
      <c r="W18" s="205"/>
      <c r="X18" s="205"/>
      <c r="Y18" s="201" t="s">
        <v>74</v>
      </c>
      <c r="Z18" s="201" t="s">
        <v>337</v>
      </c>
      <c r="AA18" s="201" t="s">
        <v>31</v>
      </c>
      <c r="AB18" s="201" t="s">
        <v>68</v>
      </c>
      <c r="AC18" s="201" t="s">
        <v>69</v>
      </c>
      <c r="AD18" s="203" t="s">
        <v>86</v>
      </c>
      <c r="AE18" s="203" t="s">
        <v>87</v>
      </c>
      <c r="AF18" s="201" t="s">
        <v>70</v>
      </c>
      <c r="AG18" s="201" t="s">
        <v>78</v>
      </c>
      <c r="AH18" s="201"/>
      <c r="AI18" s="201"/>
      <c r="AJ18" s="205" t="s">
        <v>82</v>
      </c>
      <c r="AK18" s="191" t="s">
        <v>89</v>
      </c>
      <c r="AL18" s="115"/>
      <c r="AM18" s="115"/>
      <c r="AN18" s="115"/>
      <c r="AO18" s="115"/>
      <c r="AP18" s="116"/>
      <c r="AQ18" s="124"/>
      <c r="AR18" s="116"/>
      <c r="AS18" s="116"/>
      <c r="AT18" s="116"/>
      <c r="AU18" s="27"/>
      <c r="AV18" s="199" t="s">
        <v>266</v>
      </c>
      <c r="AW18" s="199" t="s">
        <v>270</v>
      </c>
      <c r="AX18" s="199" t="s">
        <v>264</v>
      </c>
      <c r="AY18" s="199" t="s">
        <v>265</v>
      </c>
      <c r="AZ18" s="199" t="s">
        <v>271</v>
      </c>
      <c r="BA18" s="199" t="s">
        <v>274</v>
      </c>
      <c r="BB18" s="199" t="s">
        <v>273</v>
      </c>
      <c r="BC18" s="199" t="s">
        <v>275</v>
      </c>
      <c r="BD18" s="202" t="s">
        <v>272</v>
      </c>
      <c r="BE18" s="199" t="s">
        <v>282</v>
      </c>
      <c r="BF18" s="199" t="s">
        <v>283</v>
      </c>
      <c r="BG18" s="199" t="s">
        <v>284</v>
      </c>
      <c r="BH18" s="199" t="s">
        <v>285</v>
      </c>
      <c r="BI18" s="199" t="s">
        <v>286</v>
      </c>
      <c r="BJ18" s="199" t="s">
        <v>287</v>
      </c>
      <c r="BK18" s="199" t="s">
        <v>276</v>
      </c>
      <c r="BL18" s="199" t="s">
        <v>277</v>
      </c>
      <c r="BM18" s="199" t="s">
        <v>278</v>
      </c>
      <c r="BN18" s="199" t="s">
        <v>279</v>
      </c>
      <c r="BO18" s="199" t="s">
        <v>280</v>
      </c>
      <c r="BP18" s="199" t="s">
        <v>281</v>
      </c>
      <c r="BQ18" s="199" t="s">
        <v>291</v>
      </c>
      <c r="BR18" s="199" t="s">
        <v>290</v>
      </c>
      <c r="BU18" s="201" t="s">
        <v>97</v>
      </c>
      <c r="BV18" s="201"/>
      <c r="BW18" s="191" t="s">
        <v>91</v>
      </c>
      <c r="BX18" s="193" t="s">
        <v>300</v>
      </c>
      <c r="BY18" s="191" t="s">
        <v>92</v>
      </c>
      <c r="BZ18" s="191" t="s">
        <v>93</v>
      </c>
      <c r="CA18" s="196" t="s">
        <v>94</v>
      </c>
      <c r="CB18" s="191" t="s">
        <v>295</v>
      </c>
      <c r="CC18" s="191" t="s">
        <v>296</v>
      </c>
      <c r="CD18" s="191" t="s">
        <v>297</v>
      </c>
      <c r="CE18" s="191" t="s">
        <v>298</v>
      </c>
      <c r="CF18" s="191" t="s">
        <v>302</v>
      </c>
      <c r="CG18" s="191" t="s">
        <v>303</v>
      </c>
      <c r="CH18" s="191" t="s">
        <v>304</v>
      </c>
      <c r="CI18" s="191" t="s">
        <v>305</v>
      </c>
      <c r="CJ18" s="191" t="s">
        <v>299</v>
      </c>
      <c r="CK18" s="191" t="s">
        <v>92</v>
      </c>
      <c r="CL18" s="191" t="s">
        <v>93</v>
      </c>
      <c r="CM18" s="196" t="s">
        <v>94</v>
      </c>
      <c r="CN18" s="191" t="s">
        <v>295</v>
      </c>
      <c r="CO18" s="191" t="s">
        <v>296</v>
      </c>
      <c r="CP18" s="191" t="s">
        <v>297</v>
      </c>
      <c r="CQ18" s="191" t="s">
        <v>298</v>
      </c>
      <c r="CR18" s="191" t="s">
        <v>302</v>
      </c>
      <c r="CS18" s="191" t="s">
        <v>303</v>
      </c>
      <c r="CT18" s="191" t="s">
        <v>304</v>
      </c>
      <c r="CU18" s="191" t="s">
        <v>305</v>
      </c>
      <c r="CV18" s="191" t="s">
        <v>299</v>
      </c>
      <c r="CW18" s="193" t="s">
        <v>310</v>
      </c>
      <c r="CX18" s="191" t="s">
        <v>306</v>
      </c>
      <c r="CY18" s="194" t="s">
        <v>307</v>
      </c>
      <c r="CZ18" s="194" t="s">
        <v>294</v>
      </c>
      <c r="DA18" s="190" t="s">
        <v>309</v>
      </c>
      <c r="DB18" s="190"/>
      <c r="DC18" s="190"/>
      <c r="DD18" s="190"/>
      <c r="DE18" s="190" t="s">
        <v>315</v>
      </c>
      <c r="DF18" s="190"/>
      <c r="DG18" s="190"/>
      <c r="DH18" s="190"/>
    </row>
    <row r="19" spans="4:112" ht="48" customHeight="1">
      <c r="D19" s="191"/>
      <c r="E19" s="191"/>
      <c r="F19" s="191"/>
      <c r="G19" s="151" t="s">
        <v>24</v>
      </c>
      <c r="H19" s="151" t="s">
        <v>25</v>
      </c>
      <c r="I19" s="173" t="s">
        <v>26</v>
      </c>
      <c r="J19" s="151" t="s">
        <v>71</v>
      </c>
      <c r="K19" s="173" t="s">
        <v>72</v>
      </c>
      <c r="L19" s="173" t="s">
        <v>73</v>
      </c>
      <c r="M19" s="173" t="s">
        <v>292</v>
      </c>
      <c r="N19" s="152" t="s">
        <v>84</v>
      </c>
      <c r="O19" s="152" t="s">
        <v>100</v>
      </c>
      <c r="P19" s="152" t="s">
        <v>102</v>
      </c>
      <c r="Q19" s="208"/>
      <c r="R19" s="154" t="s">
        <v>336</v>
      </c>
      <c r="S19" s="151" t="s">
        <v>85</v>
      </c>
      <c r="T19" s="191" t="s">
        <v>12</v>
      </c>
      <c r="U19" s="191"/>
      <c r="V19" s="174" t="s">
        <v>30</v>
      </c>
      <c r="W19" s="191" t="s">
        <v>13</v>
      </c>
      <c r="X19" s="191"/>
      <c r="Y19" s="194"/>
      <c r="Z19" s="194"/>
      <c r="AA19" s="194"/>
      <c r="AB19" s="194"/>
      <c r="AC19" s="194"/>
      <c r="AD19" s="204"/>
      <c r="AE19" s="204"/>
      <c r="AF19" s="194"/>
      <c r="AG19" s="154" t="s">
        <v>79</v>
      </c>
      <c r="AH19" s="154" t="s">
        <v>80</v>
      </c>
      <c r="AI19" s="154" t="s">
        <v>81</v>
      </c>
      <c r="AJ19" s="191"/>
      <c r="AK19" s="192"/>
      <c r="AL19" s="130" t="s">
        <v>229</v>
      </c>
      <c r="AM19" s="109" t="s">
        <v>338</v>
      </c>
      <c r="AT19" s="134" t="s">
        <v>288</v>
      </c>
      <c r="AU19" s="27"/>
      <c r="AV19" s="200"/>
      <c r="AW19" s="200"/>
      <c r="AX19" s="200"/>
      <c r="AY19" s="200"/>
      <c r="AZ19" s="200"/>
      <c r="BA19" s="200"/>
      <c r="BB19" s="200"/>
      <c r="BC19" s="200"/>
      <c r="BD19" s="200"/>
      <c r="BE19" s="200"/>
      <c r="BF19" s="200"/>
      <c r="BG19" s="200"/>
      <c r="BH19" s="200"/>
      <c r="BI19" s="200"/>
      <c r="BJ19" s="200"/>
      <c r="BK19" s="200"/>
      <c r="BL19" s="200"/>
      <c r="BM19" s="200"/>
      <c r="BN19" s="200"/>
      <c r="BO19" s="200"/>
      <c r="BP19" s="200"/>
      <c r="BQ19" s="200"/>
      <c r="BR19" s="200"/>
      <c r="BU19" s="69" t="s">
        <v>79</v>
      </c>
      <c r="BV19" s="69" t="s">
        <v>98</v>
      </c>
      <c r="BW19" s="192"/>
      <c r="BX19" s="198"/>
      <c r="BY19" s="192"/>
      <c r="BZ19" s="192"/>
      <c r="CA19" s="197"/>
      <c r="CB19" s="192"/>
      <c r="CC19" s="192"/>
      <c r="CD19" s="192"/>
      <c r="CE19" s="192"/>
      <c r="CF19" s="192"/>
      <c r="CG19" s="192"/>
      <c r="CH19" s="192"/>
      <c r="CI19" s="192"/>
      <c r="CJ19" s="192"/>
      <c r="CK19" s="192"/>
      <c r="CL19" s="192"/>
      <c r="CM19" s="197"/>
      <c r="CN19" s="192"/>
      <c r="CO19" s="192"/>
      <c r="CP19" s="192"/>
      <c r="CQ19" s="192"/>
      <c r="CR19" s="192"/>
      <c r="CS19" s="192"/>
      <c r="CT19" s="192"/>
      <c r="CU19" s="192"/>
      <c r="CV19" s="192"/>
      <c r="CW19" s="192"/>
      <c r="CX19" s="192"/>
      <c r="CY19" s="195"/>
      <c r="CZ19" s="195"/>
      <c r="DA19" s="138" t="s">
        <v>311</v>
      </c>
      <c r="DB19" s="138" t="s">
        <v>317</v>
      </c>
      <c r="DC19" s="138" t="s">
        <v>313</v>
      </c>
      <c r="DD19" s="138" t="s">
        <v>314</v>
      </c>
      <c r="DE19" s="138" t="s">
        <v>311</v>
      </c>
      <c r="DF19" s="138" t="s">
        <v>312</v>
      </c>
      <c r="DG19" s="138" t="s">
        <v>313</v>
      </c>
      <c r="DH19" s="138" t="s">
        <v>314</v>
      </c>
    </row>
    <row r="20" spans="4:112" ht="11.25" customHeight="1">
      <c r="D20" s="176" t="s">
        <v>321</v>
      </c>
      <c r="E20" s="176" t="s">
        <v>330</v>
      </c>
      <c r="F20" s="67" t="s">
        <v>327</v>
      </c>
      <c r="G20" s="78">
        <v>1000</v>
      </c>
      <c r="H20" s="78">
        <v>1000</v>
      </c>
      <c r="I20" s="79">
        <v>75</v>
      </c>
      <c r="J20" s="80">
        <f>H20-I20</f>
        <v>925</v>
      </c>
      <c r="K20" s="81">
        <v>1020</v>
      </c>
      <c r="L20" s="81">
        <v>300</v>
      </c>
      <c r="M20" s="81">
        <v>3</v>
      </c>
      <c r="N20" s="82">
        <f t="shared" ref="N20:N51" si="0">ABS(K20)*10^6/($J$11*$H$4*G20*J20^2)</f>
        <v>7.7915753591429271E-2</v>
      </c>
      <c r="O20" s="82">
        <f>ROUND(1-SQRT(1-2*N20),3)</f>
        <v>8.1000000000000003E-2</v>
      </c>
      <c r="P20" s="82">
        <f>1-0.5*O20</f>
        <v>0.95950000000000002</v>
      </c>
      <c r="Q20" s="83" t="str">
        <f t="shared" ref="Q20:Q51" si="1">IF(O20&lt;$J$13,"Ok","Not Ok")</f>
        <v>Ok</v>
      </c>
      <c r="R20" s="84">
        <f t="shared" ref="R20:R51" si="2">MAX(ABS(K20)*10^6/($H$6*P20*J20),0.001*G20*J20)/100</f>
        <v>26.419476204745116</v>
      </c>
      <c r="S20" s="131">
        <f>(R20)/(G20*J20/100)</f>
        <v>2.8561595897021747E-3</v>
      </c>
      <c r="T20" s="86">
        <v>2</v>
      </c>
      <c r="U20" s="77">
        <v>20</v>
      </c>
      <c r="V20" s="87" t="str">
        <f t="shared" ref="V20:V25" si="3">IF(X20="","","+")</f>
        <v>+</v>
      </c>
      <c r="W20" s="86">
        <v>0</v>
      </c>
      <c r="X20" s="77">
        <v>20</v>
      </c>
      <c r="Y20" s="88">
        <v>15.71</v>
      </c>
      <c r="Z20" s="89" t="str">
        <f t="shared" ref="Z20:Z25" si="4">IF(Y20&gt;R20,"Ok","Not Ok")</f>
        <v>Not Ok</v>
      </c>
      <c r="AA20" s="90">
        <f>($H$6*Y20*100-$H$6*(T21*PI()*U21^2/4))/($J$11*$H$4*G20)</f>
        <v>30.195880111210936</v>
      </c>
      <c r="AB20" s="80">
        <f>($J$11*$H$4*G20*ABS(AA20)*(J20-0.5*ABS(AA20))+$H$6*(T21*PI()*U21^2/4)*(J20-I21))*10^-6</f>
        <v>608.55181993358133</v>
      </c>
      <c r="AC20" s="89" t="str">
        <f>IF(ABS(K20)&lt;AB20,"Ok","Not Ok")</f>
        <v>Not Ok</v>
      </c>
      <c r="AD20" s="85">
        <f>(Y20*100)/(G20*H20)</f>
        <v>1.5709999999999999E-3</v>
      </c>
      <c r="AE20" s="85">
        <f t="shared" ref="AE20:AE51" si="5">$J$13*$H$4/$H$6</f>
        <v>1.9281988961466403E-2</v>
      </c>
      <c r="AF20" s="60" t="str">
        <f>IF(AND(AD20&gt;0.1%,AD20&lt;AE20),"Ok","No-Ok")</f>
        <v>Ok</v>
      </c>
      <c r="AG20" s="77">
        <v>12</v>
      </c>
      <c r="AH20" s="76">
        <v>3</v>
      </c>
      <c r="AI20" s="76">
        <v>200</v>
      </c>
      <c r="AJ20" s="60">
        <f t="shared" ref="AJ20:AJ51" si="6">(10/AI20)*2*(3.14*AG20^2)/4</f>
        <v>11.304000000000002</v>
      </c>
      <c r="AK20" s="60" t="str">
        <f t="shared" ref="AK20:AK51" si="7">IF(AND(AV20&gt;L20,BB20&gt;BA20,BJ20&gt;L20),"OK","NOT OK")</f>
        <v>OK</v>
      </c>
      <c r="AL20" s="109">
        <f t="shared" ref="AL20:AL51" si="8">IF(AG20&lt;10,$O$7,$O$8)</f>
        <v>300</v>
      </c>
      <c r="AM20" s="175">
        <f>Y20/R20</f>
        <v>0.59463707297794111</v>
      </c>
      <c r="AT20" s="133" t="str">
        <f t="shared" ref="AT20:AT51" si="9">IF(L20&gt;BP20, "need","no need")</f>
        <v>no need</v>
      </c>
      <c r="AU20" s="27"/>
      <c r="AV20" s="61">
        <f>0.3*$H$4*G20*J20/1000</f>
        <v>4717.5</v>
      </c>
      <c r="AW20" s="61" t="str">
        <f>IF(L20&lt;AV20,"OK","Not ok")</f>
        <v>OK</v>
      </c>
      <c r="AX20" s="63">
        <f>$K$4*G20*J20^2/(L20*1000)</f>
        <v>3279.8958333333335</v>
      </c>
      <c r="AY20" s="63">
        <f>MIN(1/2*J20,300)</f>
        <v>300</v>
      </c>
      <c r="AZ20" s="63">
        <f>AL20*AJ20*10/BA20</f>
        <v>117.95478260869568</v>
      </c>
      <c r="BA20" s="63">
        <f>0.25*$K$4*G20</f>
        <v>287.5</v>
      </c>
      <c r="BB20" s="63">
        <f>(AL20*AH20*(3.14*AG20^2/4)/AI20)</f>
        <v>508.68</v>
      </c>
      <c r="BC20" s="63" t="str">
        <f>IF(BB20&gt;BA20,"OK","NOT OK")</f>
        <v>OK</v>
      </c>
      <c r="BD20" s="63">
        <f>SQRT((2*$K$4*G20*J20^2)/BB20)</f>
        <v>1966.904706087133</v>
      </c>
      <c r="BE20" s="63">
        <f>2.5*$K$4*G20*J20/1000+(0.75*BB20*J20)/1000</f>
        <v>3012.2717499999999</v>
      </c>
      <c r="BF20" s="63">
        <f>1.5*$K$4*G20*J20/1000+(0.75*BB20*J20)/1000</f>
        <v>1948.5217499999999</v>
      </c>
      <c r="BG20" s="63">
        <f>IF(BD20&lt;J20,BF20,IF(BD20&lt;2*J20,(1.5*$K$4*H20*J20*J20/BD20)/1000+(0.75*BB20*BD20)/1000,(0.75*$K$4*H20*J20*J20/BD20)/1000+(1.5*BB20*BD20)/1000))</f>
        <v>1875.9845360482554</v>
      </c>
      <c r="BH20" s="63">
        <f>0.5*$K$4*G20*J20/1000+(1.5*BB20*J20)/1000</f>
        <v>1237.6685</v>
      </c>
      <c r="BI20" s="63">
        <f>0.5*$K$4*G20*J20/1000+(1.5*BB20*J20)/1000</f>
        <v>1237.6685</v>
      </c>
      <c r="BJ20" s="63">
        <f>MIN(BE20:BI20)</f>
        <v>1237.6685</v>
      </c>
      <c r="BK20" s="63" t="str">
        <f>IF(BJ20&gt;L20,"OK","NOT OK")</f>
        <v>OK</v>
      </c>
      <c r="BL20" s="63">
        <f>0.6*J20</f>
        <v>555</v>
      </c>
      <c r="BM20" s="63">
        <f>J20</f>
        <v>925</v>
      </c>
      <c r="BN20" s="63">
        <f>2*J20</f>
        <v>1850</v>
      </c>
      <c r="BO20" s="63">
        <f>3*J20</f>
        <v>2775</v>
      </c>
      <c r="BP20" s="63">
        <f>0.5*$K$4*G20*J20/1000</f>
        <v>531.875</v>
      </c>
      <c r="BQ20" s="63"/>
      <c r="BR20" s="63"/>
      <c r="BU20" s="139">
        <v>12</v>
      </c>
      <c r="BV20" s="139">
        <v>1</v>
      </c>
      <c r="BW20" s="139">
        <f t="shared" ref="BW20:BW51" si="10">0.1*$H$4*G20^2*H20/1000000</f>
        <v>1700.0000000000002</v>
      </c>
      <c r="BX20" s="139" t="str">
        <f>IF(BW20&gt;M20,"OK","NOT OK")</f>
        <v>OK</v>
      </c>
      <c r="BY20" s="139">
        <f>G20</f>
        <v>1000</v>
      </c>
      <c r="BZ20" s="139">
        <f>H20</f>
        <v>1000</v>
      </c>
      <c r="CA20" s="139">
        <f>BY20/(2*BZ20+BY20)</f>
        <v>0.33333333333333331</v>
      </c>
      <c r="CB20" s="140">
        <f>BB20</f>
        <v>508.68</v>
      </c>
      <c r="CC20" s="63">
        <f>Y21*100</f>
        <v>1571</v>
      </c>
      <c r="CD20" s="140">
        <f>IF(MIN(CF20:CG20)&gt;SQRT((2*BZ20+BY20)*2*BY20),SQRT((2*BZ20+BY20)*2*BY20),MIN(CF20:CG20))</f>
        <v>2449.4897427831779</v>
      </c>
      <c r="CE20" s="141">
        <f>IF(MIN(CF20:CG20)&gt;SQRT((2*BZ20+BY20)*0.6666667*BY20),SQRT((2*BZ20+BY20)*0.6666667*BY20),MIN(CF20:CG20))</f>
        <v>1414.2135977284336</v>
      </c>
      <c r="CF20" s="141">
        <f>2*BZ20+BY20</f>
        <v>3000</v>
      </c>
      <c r="CG20" s="141">
        <f>BY20*SQRT(2/CA20)</f>
        <v>2449.4897427831779</v>
      </c>
      <c r="CH20" s="63">
        <f>0.9*CB20*CA20*CD20*BZ20/1000000+0.9*$H$6*CC20*BY20*BZ20*(1/CD20)/1000000</f>
        <v>624.89361488846635</v>
      </c>
      <c r="CI20" s="141">
        <f>0.9*CB20*CA20*CE20*BZ20/1000000+0.9*$H$6*CC20*BY20*BZ20*(1/CE20)/1000000</f>
        <v>650.71819189021346</v>
      </c>
      <c r="CJ20" s="139" t="str">
        <f>IF(MIN(CH20:CI20)&gt;M20,"OK","NOT OK")</f>
        <v>OK</v>
      </c>
      <c r="CK20" s="135">
        <f>BZ20</f>
        <v>1000</v>
      </c>
      <c r="CL20" s="135">
        <f>BY20</f>
        <v>1000</v>
      </c>
      <c r="CM20" s="63">
        <f>CK20/(2*CL20+CK20)</f>
        <v>0.33333333333333331</v>
      </c>
      <c r="CN20" s="140">
        <f>CB20</f>
        <v>508.68</v>
      </c>
      <c r="CO20" s="63">
        <f>1*3.14*U20^2/4+1*3.14*U21^2/4+BV20*3.14*BU20^2/4</f>
        <v>681.38</v>
      </c>
      <c r="CP20" s="140">
        <f>IF(MIN(CR20:CS20)&gt;SQRT((2*CL20+CK20)*2*CK20),SQRT((2*CL20+CK20)*2*CK20),MIN(CR20:CS20))</f>
        <v>2449.4897427831779</v>
      </c>
      <c r="CQ20" s="63">
        <f>IF(MIN(CR20:CS20)&gt;SQRT((2*CL20+CK20)*0.6666667*CK20),SQRT((2*CL20+CK20)*0.6666667*CK20),MIN(CR20:CS20))</f>
        <v>1414.2135977284336</v>
      </c>
      <c r="CR20" s="133">
        <f>2*CL20+CK20</f>
        <v>3000</v>
      </c>
      <c r="CS20" s="133">
        <f>CK20*SQRT(2/CM20)</f>
        <v>2449.4897427831779</v>
      </c>
      <c r="CT20" s="63">
        <f>0.9*CN20*CM20*CP20*CL20/1000000+0.9*$H$6*CO20*CK20*CL20*(1/CP20)/1000000</f>
        <v>482.70635689886262</v>
      </c>
      <c r="CU20" s="141">
        <f>0.9*CN20*CM20*CQ20*CL20/1000000+0.9*$H$6*CO20*CK20*CL20*(1/CQ20)/1000000</f>
        <v>404.44264302020451</v>
      </c>
      <c r="CV20" s="139" t="str">
        <f>IF(MIN(CT20:CU20)&gt;W20,"OK","NOT OK")</f>
        <v>OK</v>
      </c>
      <c r="CW20" s="63">
        <f>MIN(CH20,CI20,CT20,CU20)</f>
        <v>404.44264302020451</v>
      </c>
      <c r="CX20" s="141">
        <f>AB20</f>
        <v>608.55181993358133</v>
      </c>
      <c r="CY20" s="63" t="e">
        <f>CW20*SQRT(1-(ABS(K20)/CX20)^2)</f>
        <v>#NUM!</v>
      </c>
      <c r="CZ20" s="136" t="e">
        <f>IF(M20&lt;CY20,"OK","NOT OK")</f>
        <v>#NUM!</v>
      </c>
      <c r="DA20" s="139">
        <f>BW20</f>
        <v>1700.0000000000002</v>
      </c>
      <c r="DB20" s="63">
        <f>AV20</f>
        <v>4717.5</v>
      </c>
      <c r="DC20" s="133">
        <f>DA20*(1-L20/DB20)</f>
        <v>1591.8918918918921</v>
      </c>
      <c r="DD20" s="139" t="str">
        <f>IF(M20&lt;DC20,"OK","NOT OK")</f>
        <v>OK</v>
      </c>
      <c r="DE20" s="63">
        <f>CW20</f>
        <v>404.44264302020451</v>
      </c>
      <c r="DF20" s="63">
        <f>BJ20</f>
        <v>1237.6685</v>
      </c>
      <c r="DG20" s="133">
        <f>DE20*(1-L20/DF20)</f>
        <v>306.40929006174969</v>
      </c>
      <c r="DH20" s="139" t="str">
        <f>IF(M20&lt;DG20,"OK","NOT OK")</f>
        <v>OK</v>
      </c>
    </row>
    <row r="21" spans="4:112" ht="16.5" customHeight="1">
      <c r="D21" s="177"/>
      <c r="E21" s="177"/>
      <c r="F21" s="68" t="s">
        <v>328</v>
      </c>
      <c r="G21" s="78">
        <v>1000</v>
      </c>
      <c r="H21" s="78">
        <v>1000</v>
      </c>
      <c r="I21" s="79">
        <v>75</v>
      </c>
      <c r="J21" s="80">
        <f t="shared" ref="J21:J25" si="11">H21-I21</f>
        <v>925</v>
      </c>
      <c r="K21" s="81">
        <v>-266.8</v>
      </c>
      <c r="L21" s="81">
        <v>300</v>
      </c>
      <c r="M21" s="81">
        <v>2.1</v>
      </c>
      <c r="N21" s="82">
        <f t="shared" si="0"/>
        <v>2.0380316723718948E-2</v>
      </c>
      <c r="O21" s="82">
        <f t="shared" ref="O21:O25" si="12">ROUND(1-SQRT(1-2*N21),3)</f>
        <v>2.1000000000000001E-2</v>
      </c>
      <c r="P21" s="82">
        <f t="shared" ref="P21:P25" si="13">1-0.5*O21</f>
        <v>0.98950000000000005</v>
      </c>
      <c r="Q21" s="83" t="str">
        <f t="shared" si="1"/>
        <v>Ok</v>
      </c>
      <c r="R21" s="84">
        <f t="shared" si="2"/>
        <v>9.25</v>
      </c>
      <c r="S21" s="131">
        <f t="shared" ref="S21:S84" si="14">(R21)/(G21*J21/100)</f>
        <v>1E-3</v>
      </c>
      <c r="T21" s="86">
        <v>2</v>
      </c>
      <c r="U21" s="77">
        <v>18</v>
      </c>
      <c r="V21" s="87" t="str">
        <f t="shared" si="3"/>
        <v>+</v>
      </c>
      <c r="W21" s="86">
        <v>0</v>
      </c>
      <c r="X21" s="77">
        <v>18</v>
      </c>
      <c r="Y21" s="88">
        <v>15.71</v>
      </c>
      <c r="Z21" s="89" t="str">
        <f t="shared" si="4"/>
        <v>Ok</v>
      </c>
      <c r="AA21" s="80">
        <f>($H$6*Y21*100-$H$6*(T22*PI()*U22^2/4))/($J$11*$H$4*G21)</f>
        <v>30.195880111210936</v>
      </c>
      <c r="AB21" s="80">
        <f>($J$11*$H$4*G21*AA21*(J21-0.5*AA21)+$H$6*(T22*PI()*U22^2/4)*(J21-I22))*10^-6</f>
        <v>605.28749153820104</v>
      </c>
      <c r="AC21" s="89" t="str">
        <f>IF(ABS(K21)&lt;AB21,"Ok","Not Ok")</f>
        <v>Ok</v>
      </c>
      <c r="AD21" s="85">
        <f t="shared" ref="AD21:AD25" si="15">(Y21*100)/(G21*H21)</f>
        <v>1.5709999999999999E-3</v>
      </c>
      <c r="AE21" s="85">
        <f t="shared" si="5"/>
        <v>1.9281988961466403E-2</v>
      </c>
      <c r="AF21" s="60" t="str">
        <f t="shared" ref="AF21:AF25" si="16">IF(AND(AD21&gt;0.1%,AD21&lt;AE21),"Ok","No-Ok")</f>
        <v>Ok</v>
      </c>
      <c r="AG21" s="77">
        <v>12</v>
      </c>
      <c r="AH21" s="76">
        <v>3</v>
      </c>
      <c r="AI21" s="76">
        <v>200</v>
      </c>
      <c r="AJ21" s="60">
        <f>(10/AI21)*2*(3.14*AG21^2)/4</f>
        <v>11.304000000000002</v>
      </c>
      <c r="AK21" s="60" t="s">
        <v>318</v>
      </c>
      <c r="AL21" s="109">
        <f t="shared" si="8"/>
        <v>300</v>
      </c>
      <c r="AM21" s="175">
        <f t="shared" ref="AM21:AM36" si="17">Y21/R21</f>
        <v>1.6983783783783786</v>
      </c>
      <c r="AT21" s="133" t="str">
        <f t="shared" si="9"/>
        <v>no need</v>
      </c>
      <c r="AU21" s="27"/>
      <c r="AV21" s="61">
        <f t="shared" ref="AV21:AV84" si="18">0.3*$H$4*G21*J21/1000</f>
        <v>4717.5</v>
      </c>
      <c r="AW21" s="61" t="str">
        <f t="shared" ref="AW21:AW84" si="19">IF(L21&lt;AV21,"OK","Not ok")</f>
        <v>OK</v>
      </c>
      <c r="AX21" s="63">
        <f t="shared" ref="AX21:AX84" si="20">$K$4*G21*J21^2/(L21*1000)</f>
        <v>3279.8958333333335</v>
      </c>
      <c r="AY21" s="63">
        <f t="shared" ref="AY21:AY84" si="21">MIN(1/2*J21,300)</f>
        <v>300</v>
      </c>
      <c r="AZ21" s="63">
        <f t="shared" ref="AZ21:AZ84" si="22">AL21*AJ21*10/BA21</f>
        <v>117.95478260869568</v>
      </c>
      <c r="BA21" s="63">
        <f>0.25*$K$4*G21</f>
        <v>287.5</v>
      </c>
      <c r="BB21" s="63">
        <f>(AL21*AH21*(3.14*AG21^2/4)/AI21)</f>
        <v>508.68</v>
      </c>
      <c r="BC21" s="63" t="str">
        <f>IF(BB21&gt;BA21,"OK","NOT OK")</f>
        <v>OK</v>
      </c>
      <c r="BD21" s="63">
        <f t="shared" ref="BD21:BD84" si="23">SQRT((2*$K$4*G21*J21^2)/BB21)</f>
        <v>1966.904706087133</v>
      </c>
      <c r="BE21" s="63">
        <f t="shared" ref="BE21:BE84" si="24">2.5*$K$4*G21*J21/1000+(0.75*BB21*J21)/1000</f>
        <v>3012.2717499999999</v>
      </c>
      <c r="BF21" s="63">
        <f t="shared" ref="BF21:BF84" si="25">1.5*$K$4*G21*J21/1000+(0.75*BB21*J21)/1000</f>
        <v>1948.5217499999999</v>
      </c>
      <c r="BG21" s="63">
        <f t="shared" ref="BG21:BG84" si="26">IF(BD21&lt;J21,BF21,IF(BD21&lt;2*J21,(1.5*$K$4*H21*J21*J21/BD21)/1000+(0.75*BB21*BD21)/1000,(0.75*$K$4*H21*J21*J21/BD21)/1000+(1.5*BB21*BD21)/1000))</f>
        <v>1875.9845360482554</v>
      </c>
      <c r="BH21" s="63">
        <f t="shared" ref="BH21:BH84" si="27">0.5*$K$4*G21*J21/1000+(1.5*BB21*J21)/1000</f>
        <v>1237.6685</v>
      </c>
      <c r="BI21" s="63">
        <f t="shared" ref="BI21:BI84" si="28">0.5*$K$4*G21*J21/1000+(1.5*BB21*J21)/1000</f>
        <v>1237.6685</v>
      </c>
      <c r="BJ21" s="63">
        <f t="shared" ref="BJ21:BJ84" si="29">MIN(BE21:BI21)</f>
        <v>1237.6685</v>
      </c>
      <c r="BK21" s="63" t="str">
        <f t="shared" ref="BK21:BK84" si="30">IF(BJ21&gt;L21,"OK","NOT OK")</f>
        <v>OK</v>
      </c>
      <c r="BL21" s="63">
        <f t="shared" ref="BL21:BL84" si="31">0.6*J21</f>
        <v>555</v>
      </c>
      <c r="BM21" s="63">
        <f t="shared" ref="BM21:BM84" si="32">J21</f>
        <v>925</v>
      </c>
      <c r="BN21" s="63">
        <f t="shared" ref="BN21:BN84" si="33">2*J21</f>
        <v>1850</v>
      </c>
      <c r="BO21" s="63">
        <f t="shared" ref="BO21:BO84" si="34">3*J21</f>
        <v>2775</v>
      </c>
      <c r="BP21" s="63">
        <f t="shared" ref="BP21:BP84" si="35">0.5*$K$4*G21*J21/1000</f>
        <v>531.875</v>
      </c>
      <c r="BQ21" s="63">
        <f>($H$6*Y20*100*0.9*J20+0.5*BB20*J20^2)/10^6</f>
        <v>786.53767500000004</v>
      </c>
      <c r="BR21" s="63" t="str">
        <f>IF(K20&lt;=BQ21,"OK","NOT OK")</f>
        <v>NOT OK</v>
      </c>
      <c r="BU21" s="139">
        <v>12</v>
      </c>
      <c r="BV21" s="139">
        <v>1</v>
      </c>
      <c r="BW21" s="139">
        <f t="shared" ref="BW21:BW22" si="36">0.1*$H$4*G21^2*H21/1000000</f>
        <v>1700.0000000000002</v>
      </c>
      <c r="BX21" s="139" t="str">
        <f t="shared" ref="BX21:BX22" si="37">IF(BW21&gt;M21,"OK","NOT OK")</f>
        <v>OK</v>
      </c>
      <c r="BY21" s="139">
        <f t="shared" ref="BY21:BY22" si="38">G21</f>
        <v>1000</v>
      </c>
      <c r="BZ21" s="139">
        <f t="shared" ref="BZ21:BZ22" si="39">H21</f>
        <v>1000</v>
      </c>
      <c r="CA21" s="139">
        <f t="shared" ref="CA21:CA22" si="40">BY21/(2*BZ21+BY21)</f>
        <v>0.33333333333333331</v>
      </c>
      <c r="CB21" s="140">
        <f t="shared" ref="CB21:CB22" si="41">BB21</f>
        <v>508.68</v>
      </c>
      <c r="CC21" s="63">
        <f t="shared" ref="CC21:CC22" si="42">Y22*100</f>
        <v>911.06186954103998</v>
      </c>
      <c r="CD21" s="140">
        <f t="shared" ref="CD21:CD22" si="43">IF(MIN(CF21:CG21)&gt;SQRT((2*BZ21+BY21)*2*BY21),SQRT((2*BZ21+BY21)*2*BY21),MIN(CF21:CG21))</f>
        <v>2449.4897427831779</v>
      </c>
      <c r="CE21" s="141">
        <f t="shared" ref="CE21:CE22" si="44">IF(MIN(CF21:CG21)&gt;SQRT((2*BZ21+BY21)*0.6666667*BY21),SQRT((2*BZ21+BY21)*0.6666667*BY21),MIN(CF21:CG21))</f>
        <v>1414.2135977284336</v>
      </c>
      <c r="CF21" s="141">
        <f t="shared" ref="CF21:CF22" si="45">2*BZ21+BY21</f>
        <v>3000</v>
      </c>
      <c r="CG21" s="141">
        <f t="shared" ref="CG21:CG22" si="46">BY21*SQRT(2/CA21)</f>
        <v>2449.4897427831779</v>
      </c>
      <c r="CH21" s="63">
        <f t="shared" ref="CH21:CH22" si="47">0.9*CB21*CA21*CD21*BZ21/1000000+0.9*$H$6*CC21*BY21*BZ21*(1/CD21)/1000000</f>
        <v>519.41622767511126</v>
      </c>
      <c r="CI21" s="141">
        <f t="shared" ref="CI21:CI22" si="48">0.9*CB21*CA21*CE21*BZ21/1000000+0.9*$H$6*CC21*BY21*BZ21*(1/CE21)/1000000</f>
        <v>468.02600275437123</v>
      </c>
      <c r="CJ21" s="139" t="str">
        <f t="shared" ref="CJ21:CJ22" si="49">IF(MIN(CH21:CI21)&gt;M21,"OK","NOT OK")</f>
        <v>OK</v>
      </c>
      <c r="CK21" s="135">
        <f t="shared" ref="CK21:CK22" si="50">BZ21</f>
        <v>1000</v>
      </c>
      <c r="CL21" s="135">
        <f t="shared" ref="CL21:CL22" si="51">BY21</f>
        <v>1000</v>
      </c>
      <c r="CM21" s="63">
        <f t="shared" ref="CM21:CM22" si="52">CK21/(2*CL21+CK21)</f>
        <v>0.33333333333333331</v>
      </c>
      <c r="CN21" s="140">
        <f t="shared" ref="CN21:CN22" si="53">CB21</f>
        <v>508.68</v>
      </c>
      <c r="CO21" s="63">
        <f t="shared" ref="CO21" si="54">1*3.14*U21^2/4+1*3.14*U22^2/4+BV21*3.14*BU21^2/4</f>
        <v>621.72</v>
      </c>
      <c r="CP21" s="140">
        <f t="shared" ref="CP21:CP22" si="55">IF(MIN(CR21:CS21)&gt;SQRT((2*CL21+CK21)*2*CK21),SQRT((2*CL21+CK21)*2*CK21),MIN(CR21:CS21))</f>
        <v>2449.4897427831779</v>
      </c>
      <c r="CQ21" s="63">
        <f t="shared" ref="CQ21:CQ22" si="56">IF(MIN(CR21:CS21)&gt;SQRT((2*CL21+CK21)*0.6666667*CK21),SQRT((2*CL21+CK21)*0.6666667*CK21),MIN(CR21:CS21))</f>
        <v>1414.2135977284336</v>
      </c>
      <c r="CR21" s="133">
        <f t="shared" ref="CR21:CR22" si="57">2*CL21+CK21</f>
        <v>3000</v>
      </c>
      <c r="CS21" s="133">
        <f t="shared" ref="CS21:CS22" si="58">CK21*SQRT(2/CM21)</f>
        <v>2449.4897427831779</v>
      </c>
      <c r="CT21" s="63">
        <f t="shared" ref="CT21:CT22" si="59">0.9*CN21*CM21*CP21*CL21/1000000+0.9*$H$6*CO21*CK21*CL21*(1/CP21)/1000000</f>
        <v>473.17094648581008</v>
      </c>
      <c r="CU21" s="141">
        <f t="shared" ref="CU21:CU22" si="60">0.9*CN21*CM21*CQ21*CL21/1000000+0.9*$H$6*CO21*CK21*CL21*(1/CQ21)/1000000</f>
        <v>387.92682812667158</v>
      </c>
      <c r="CV21" s="139" t="str">
        <f t="shared" ref="CV21:CV22" si="61">IF(MIN(CT21:CU21)&gt;W21,"OK","NOT OK")</f>
        <v>OK</v>
      </c>
      <c r="CW21" s="63">
        <f t="shared" ref="CW21:CW22" si="62">MIN(CH21,CI21,CT21,CU21)</f>
        <v>387.92682812667158</v>
      </c>
      <c r="CX21" s="141">
        <f t="shared" ref="CX21:CX22" si="63">AB21</f>
        <v>605.28749153820104</v>
      </c>
      <c r="CY21" s="63">
        <f t="shared" ref="CY21:CY22" si="64">CW21*SQRT(1-(ABS(K21)/CX21)^2)</f>
        <v>348.20857123772686</v>
      </c>
      <c r="CZ21" s="136" t="str">
        <f t="shared" ref="CZ21:CZ22" si="65">IF(M21&lt;CY21,"OK","NOT OK")</f>
        <v>OK</v>
      </c>
      <c r="DA21" s="139">
        <f t="shared" ref="DA21:DA22" si="66">BW21</f>
        <v>1700.0000000000002</v>
      </c>
      <c r="DB21" s="63">
        <f t="shared" ref="DB21:DB22" si="67">AV21</f>
        <v>4717.5</v>
      </c>
      <c r="DC21" s="133">
        <f t="shared" ref="DC21:DC22" si="68">DA21*(1-L21/DB21)</f>
        <v>1591.8918918918921</v>
      </c>
      <c r="DD21" s="139" t="str">
        <f t="shared" ref="DD21:DD22" si="69">IF(M21&lt;DC21,"OK","NOT OK")</f>
        <v>OK</v>
      </c>
      <c r="DE21" s="63">
        <f t="shared" ref="DE21:DE22" si="70">CW21</f>
        <v>387.92682812667158</v>
      </c>
      <c r="DF21" s="63">
        <f t="shared" ref="DF21:DF22" si="71">BJ21</f>
        <v>1237.6685</v>
      </c>
      <c r="DG21" s="133">
        <f t="shared" ref="DG21:DG22" si="72">DE21*(1-L21/DF21)</f>
        <v>293.89676398752488</v>
      </c>
      <c r="DH21" s="139" t="str">
        <f t="shared" ref="DH21:DH22" si="73">IF(M21&lt;DG21,"OK","NOT OK")</f>
        <v>OK</v>
      </c>
    </row>
    <row r="22" spans="4:112" ht="12" hidden="1" customHeight="1">
      <c r="D22" s="178"/>
      <c r="E22" s="178"/>
      <c r="F22" s="67" t="s">
        <v>15</v>
      </c>
      <c r="G22" s="78">
        <v>1000</v>
      </c>
      <c r="H22" s="78">
        <v>1000</v>
      </c>
      <c r="I22" s="79">
        <f t="shared" ref="I22:I51" si="74">$J$12+((T22*fi(U22)*U22/2+W22*fi(X22)*(U22+30+X22/2)))/(T22*fi(U22)+W22*fi(X22))</f>
        <v>89.744827586206895</v>
      </c>
      <c r="J22" s="80">
        <f t="shared" si="11"/>
        <v>910.25517241379316</v>
      </c>
      <c r="K22" s="81">
        <v>-6</v>
      </c>
      <c r="L22" s="81">
        <v>40</v>
      </c>
      <c r="M22" s="81">
        <v>1.7</v>
      </c>
      <c r="N22" s="82">
        <f t="shared" si="0"/>
        <v>4.7329673517123769E-4</v>
      </c>
      <c r="O22" s="82">
        <f t="shared" si="12"/>
        <v>0</v>
      </c>
      <c r="P22" s="82">
        <f t="shared" si="13"/>
        <v>1</v>
      </c>
      <c r="Q22" s="83" t="str">
        <f t="shared" si="1"/>
        <v>Ok</v>
      </c>
      <c r="R22" s="84">
        <f t="shared" si="2"/>
        <v>9.1025517241379319</v>
      </c>
      <c r="S22" s="131">
        <f t="shared" si="14"/>
        <v>1E-3</v>
      </c>
      <c r="T22" s="86">
        <v>2</v>
      </c>
      <c r="U22" s="77">
        <v>18</v>
      </c>
      <c r="V22" s="87" t="str">
        <f t="shared" si="3"/>
        <v>+</v>
      </c>
      <c r="W22" s="86">
        <v>2</v>
      </c>
      <c r="X22" s="77">
        <v>16</v>
      </c>
      <c r="Y22" s="88">
        <f t="shared" ref="Y22:Y25" si="75">(T22*PI()*U22^2/4+W22*PI()*X22^2/4)/100</f>
        <v>9.1106186954104</v>
      </c>
      <c r="Z22" s="89" t="str">
        <f t="shared" si="4"/>
        <v>Ok</v>
      </c>
      <c r="AA22" s="80">
        <f>($H$6*Y22*100-$H$6*(T23*PI()*U23^2/4))/($J$11*$H$4*G22)</f>
        <v>-6.5203447525976435</v>
      </c>
      <c r="AB22" s="80">
        <f>($J$11*$H$4*G22*AA22*(J22-0.5*AA22)+$H$6*(T23*PI()*U23^2/4)*(J22-I21))*10^-6</f>
        <v>323.2142408759081</v>
      </c>
      <c r="AC22" s="89" t="str">
        <f>IF(ABS(K22)&lt;ABS(AB22),"Ok","Not  Ok")</f>
        <v>Ok</v>
      </c>
      <c r="AD22" s="85">
        <f t="shared" si="15"/>
        <v>9.1106186954103999E-4</v>
      </c>
      <c r="AE22" s="85">
        <f t="shared" si="5"/>
        <v>1.9281988961466403E-2</v>
      </c>
      <c r="AF22" s="60" t="str">
        <f>IF(AND(AD22&gt;0.1%,AD22&lt;AE22),"Ok","No-Ok")</f>
        <v>No-Ok</v>
      </c>
      <c r="AG22" s="77">
        <v>8</v>
      </c>
      <c r="AH22" s="76">
        <v>2</v>
      </c>
      <c r="AI22" s="76">
        <v>150</v>
      </c>
      <c r="AJ22" s="60">
        <f t="shared" si="6"/>
        <v>6.698666666666667</v>
      </c>
      <c r="AK22" s="60" t="str">
        <f t="shared" si="7"/>
        <v>NOT OK</v>
      </c>
      <c r="AL22" s="109">
        <f t="shared" si="8"/>
        <v>210</v>
      </c>
      <c r="AM22" s="175">
        <f t="shared" si="17"/>
        <v>1.0008862318520066</v>
      </c>
      <c r="AP22" s="109">
        <f>3.14*6^2/4*2</f>
        <v>56.52</v>
      </c>
      <c r="AT22" s="133" t="str">
        <f t="shared" si="9"/>
        <v>no need</v>
      </c>
      <c r="AU22" s="27"/>
      <c r="AV22" s="61">
        <f t="shared" si="18"/>
        <v>4642.3013793103455</v>
      </c>
      <c r="AW22" s="61" t="str">
        <f t="shared" si="19"/>
        <v>OK</v>
      </c>
      <c r="AX22" s="63">
        <f t="shared" si="20"/>
        <v>23821.22876854935</v>
      </c>
      <c r="AY22" s="63">
        <f t="shared" si="21"/>
        <v>300</v>
      </c>
      <c r="AZ22" s="63">
        <f t="shared" si="22"/>
        <v>48.929391304347831</v>
      </c>
      <c r="BA22" s="63">
        <f t="shared" ref="BA22:BA84" si="76">0.25*$K$4*G22</f>
        <v>287.5</v>
      </c>
      <c r="BB22" s="63">
        <f t="shared" ref="BB22:BB84" si="77">(AL22*AH22*(3.14*AG22^2/4)/AI22)</f>
        <v>140.672</v>
      </c>
      <c r="BC22" s="63" t="str">
        <f t="shared" ref="BC22:BC84" si="78">IF(BB22&gt;BA22,"OK","NOT OK")</f>
        <v>NOT OK</v>
      </c>
      <c r="BD22" s="63">
        <f t="shared" si="23"/>
        <v>3680.6391595341697</v>
      </c>
      <c r="BE22" s="63">
        <f t="shared" si="24"/>
        <v>2713.0191824000003</v>
      </c>
      <c r="BF22" s="63">
        <f t="shared" si="25"/>
        <v>1666.2257341241377</v>
      </c>
      <c r="BG22" s="63">
        <f t="shared" si="26"/>
        <v>970.80538471873251</v>
      </c>
      <c r="BH22" s="63">
        <f t="shared" si="27"/>
        <v>715.46784755862075</v>
      </c>
      <c r="BI22" s="63">
        <f t="shared" si="28"/>
        <v>715.46784755862075</v>
      </c>
      <c r="BJ22" s="63">
        <f t="shared" si="29"/>
        <v>715.46784755862075</v>
      </c>
      <c r="BK22" s="63" t="str">
        <f t="shared" si="30"/>
        <v>OK</v>
      </c>
      <c r="BL22" s="63">
        <f t="shared" si="31"/>
        <v>546.15310344827583</v>
      </c>
      <c r="BM22" s="63">
        <f t="shared" si="32"/>
        <v>910.25517241379316</v>
      </c>
      <c r="BN22" s="63">
        <f t="shared" si="33"/>
        <v>1820.5103448275863</v>
      </c>
      <c r="BO22" s="63">
        <f t="shared" si="34"/>
        <v>2730.7655172413797</v>
      </c>
      <c r="BP22" s="63">
        <f t="shared" si="35"/>
        <v>523.39672413793107</v>
      </c>
      <c r="BQ22" s="63">
        <f t="shared" ref="BQ22:BQ85" si="79">($H$6*Y21*100*0.9*J21+0.5*BB21*J21^2)/10^6</f>
        <v>786.53767500000004</v>
      </c>
      <c r="BR22" s="63" t="str">
        <f t="shared" ref="BR22:BR85" si="80">IF(K21&lt;=BQ22,"OK","NOT OK")</f>
        <v>OK</v>
      </c>
      <c r="BU22" s="139">
        <v>12</v>
      </c>
      <c r="BV22" s="139">
        <v>1</v>
      </c>
      <c r="BW22" s="139">
        <f t="shared" si="36"/>
        <v>1700.0000000000002</v>
      </c>
      <c r="BX22" s="139" t="str">
        <f t="shared" si="37"/>
        <v>OK</v>
      </c>
      <c r="BY22" s="139">
        <f t="shared" si="38"/>
        <v>1000</v>
      </c>
      <c r="BZ22" s="139">
        <f t="shared" si="39"/>
        <v>1000</v>
      </c>
      <c r="CA22" s="139">
        <f t="shared" si="40"/>
        <v>0.33333333333333331</v>
      </c>
      <c r="CB22" s="140">
        <f t="shared" si="41"/>
        <v>140.672</v>
      </c>
      <c r="CC22" s="63">
        <f t="shared" si="42"/>
        <v>7728</v>
      </c>
      <c r="CD22" s="140">
        <f t="shared" si="43"/>
        <v>2449.4897427831779</v>
      </c>
      <c r="CE22" s="141">
        <f t="shared" si="44"/>
        <v>1414.2135977284336</v>
      </c>
      <c r="CF22" s="141">
        <f t="shared" si="45"/>
        <v>3000</v>
      </c>
      <c r="CG22" s="141">
        <f t="shared" si="46"/>
        <v>2449.4897427831779</v>
      </c>
      <c r="CH22" s="63">
        <f t="shared" si="47"/>
        <v>1338.5324881069416</v>
      </c>
      <c r="CI22" s="141">
        <f t="shared" si="48"/>
        <v>2199.0420748431711</v>
      </c>
      <c r="CJ22" s="139" t="str">
        <f t="shared" si="49"/>
        <v>OK</v>
      </c>
      <c r="CK22" s="135">
        <f t="shared" si="50"/>
        <v>1000</v>
      </c>
      <c r="CL22" s="135">
        <f t="shared" si="51"/>
        <v>1000</v>
      </c>
      <c r="CM22" s="63">
        <f t="shared" si="52"/>
        <v>0.33333333333333331</v>
      </c>
      <c r="CN22" s="140">
        <f t="shared" si="53"/>
        <v>140.672</v>
      </c>
      <c r="CO22" s="63">
        <f>CO20</f>
        <v>681.38</v>
      </c>
      <c r="CP22" s="140">
        <f t="shared" si="55"/>
        <v>2449.4897427831779</v>
      </c>
      <c r="CQ22" s="63">
        <f t="shared" si="56"/>
        <v>1414.2135977284336</v>
      </c>
      <c r="CR22" s="133">
        <f t="shared" si="57"/>
        <v>3000</v>
      </c>
      <c r="CS22" s="133">
        <f t="shared" si="58"/>
        <v>2449.4897427831779</v>
      </c>
      <c r="CT22" s="63">
        <f t="shared" si="59"/>
        <v>212.27681052021711</v>
      </c>
      <c r="CU22" s="141">
        <f t="shared" si="60"/>
        <v>248.31006771835092</v>
      </c>
      <c r="CV22" s="139" t="str">
        <f t="shared" si="61"/>
        <v>OK</v>
      </c>
      <c r="CW22" s="63">
        <f t="shared" si="62"/>
        <v>212.27681052021711</v>
      </c>
      <c r="CX22" s="141">
        <f t="shared" si="63"/>
        <v>323.2142408759081</v>
      </c>
      <c r="CY22" s="63">
        <f t="shared" si="64"/>
        <v>212.24023154760022</v>
      </c>
      <c r="CZ22" s="136" t="str">
        <f t="shared" si="65"/>
        <v>OK</v>
      </c>
      <c r="DA22" s="139">
        <f t="shared" si="66"/>
        <v>1700.0000000000002</v>
      </c>
      <c r="DB22" s="63">
        <f t="shared" si="67"/>
        <v>4642.3013793103455</v>
      </c>
      <c r="DC22" s="133">
        <f t="shared" si="68"/>
        <v>1685.3520927566101</v>
      </c>
      <c r="DD22" s="139" t="str">
        <f t="shared" si="69"/>
        <v>OK</v>
      </c>
      <c r="DE22" s="63">
        <f t="shared" si="70"/>
        <v>212.27681052021711</v>
      </c>
      <c r="DF22" s="63">
        <f t="shared" si="71"/>
        <v>715.46784755862075</v>
      </c>
      <c r="DG22" s="133">
        <f t="shared" si="72"/>
        <v>200.40895028053947</v>
      </c>
      <c r="DH22" s="139" t="str">
        <f t="shared" si="73"/>
        <v>OK</v>
      </c>
    </row>
    <row r="23" spans="4:112" ht="12.75" customHeight="1">
      <c r="D23" s="182" t="s">
        <v>322</v>
      </c>
      <c r="E23" s="185" t="s">
        <v>331</v>
      </c>
      <c r="F23" s="155" t="s">
        <v>327</v>
      </c>
      <c r="G23" s="156">
        <v>1000</v>
      </c>
      <c r="H23" s="156">
        <v>1000</v>
      </c>
      <c r="I23" s="157">
        <v>95</v>
      </c>
      <c r="J23" s="158">
        <f t="shared" si="11"/>
        <v>905</v>
      </c>
      <c r="K23" s="159">
        <v>1290</v>
      </c>
      <c r="L23" s="159">
        <v>300</v>
      </c>
      <c r="M23" s="159">
        <v>2</v>
      </c>
      <c r="N23" s="160">
        <f t="shared" si="0"/>
        <v>0.10294401940135658</v>
      </c>
      <c r="O23" s="160">
        <f t="shared" si="12"/>
        <v>0.109</v>
      </c>
      <c r="P23" s="160">
        <f t="shared" si="13"/>
        <v>0.94550000000000001</v>
      </c>
      <c r="Q23" s="161" t="str">
        <f t="shared" si="1"/>
        <v>Ok</v>
      </c>
      <c r="R23" s="162">
        <f t="shared" si="2"/>
        <v>34.656950093689623</v>
      </c>
      <c r="S23" s="163">
        <f t="shared" si="14"/>
        <v>3.8294972479215052E-3</v>
      </c>
      <c r="T23" s="164">
        <v>3</v>
      </c>
      <c r="U23" s="165">
        <v>22</v>
      </c>
      <c r="V23" s="166" t="str">
        <f t="shared" si="3"/>
        <v>+</v>
      </c>
      <c r="W23" s="164">
        <v>2</v>
      </c>
      <c r="X23" s="165">
        <v>22</v>
      </c>
      <c r="Y23" s="167">
        <v>77.28</v>
      </c>
      <c r="Z23" s="168" t="str">
        <f t="shared" si="4"/>
        <v>Ok</v>
      </c>
      <c r="AA23" s="158">
        <f t="shared" ref="AA23:AA51" si="81">($H$6*Y23*100-$H$6*(T24*PI()*U24^2/4))/($J$11*$H$4*G23)</f>
        <v>187.2945628780983</v>
      </c>
      <c r="AB23" s="158">
        <f t="shared" ref="AB23:AB25" si="82">($J$11*$H$4*G23*AA23*(J23-0.5*AA23)+$H$6*(T24*PI()*U24^2/4)*(J23-I24))*10^-6</f>
        <v>2726.8371595230269</v>
      </c>
      <c r="AC23" s="168" t="str">
        <f t="shared" ref="AC23:AC84" si="83">IF(ABS(K23)&lt;AB23,"Ok","Not Ok")</f>
        <v>Ok</v>
      </c>
      <c r="AD23" s="169">
        <f t="shared" si="15"/>
        <v>7.7279999999999996E-3</v>
      </c>
      <c r="AE23" s="169">
        <f t="shared" si="5"/>
        <v>1.9281988961466403E-2</v>
      </c>
      <c r="AF23" s="170" t="str">
        <f t="shared" si="16"/>
        <v>Ok</v>
      </c>
      <c r="AG23" s="165">
        <v>12</v>
      </c>
      <c r="AH23" s="171">
        <v>3</v>
      </c>
      <c r="AI23" s="171">
        <v>200</v>
      </c>
      <c r="AJ23" s="170">
        <f t="shared" si="6"/>
        <v>11.304000000000002</v>
      </c>
      <c r="AK23" s="170" t="str">
        <f t="shared" si="7"/>
        <v>OK</v>
      </c>
      <c r="AL23" s="109">
        <f t="shared" si="8"/>
        <v>300</v>
      </c>
      <c r="AM23" s="175">
        <f t="shared" si="17"/>
        <v>2.2298557660465117</v>
      </c>
      <c r="AT23" s="133" t="str">
        <f t="shared" si="9"/>
        <v>no need</v>
      </c>
      <c r="AU23" s="27"/>
      <c r="AV23" s="61">
        <f t="shared" si="18"/>
        <v>4615.5</v>
      </c>
      <c r="AW23" s="61" t="str">
        <f t="shared" si="19"/>
        <v>OK</v>
      </c>
      <c r="AX23" s="63">
        <f t="shared" si="20"/>
        <v>3139.5958333333333</v>
      </c>
      <c r="AY23" s="63">
        <f t="shared" si="21"/>
        <v>300</v>
      </c>
      <c r="AZ23" s="63">
        <f t="shared" si="22"/>
        <v>117.95478260869568</v>
      </c>
      <c r="BA23" s="63">
        <f t="shared" si="76"/>
        <v>287.5</v>
      </c>
      <c r="BB23" s="63">
        <f t="shared" si="77"/>
        <v>508.68</v>
      </c>
      <c r="BC23" s="63" t="str">
        <f t="shared" si="78"/>
        <v>OK</v>
      </c>
      <c r="BD23" s="63">
        <f t="shared" si="23"/>
        <v>1924.3770367663301</v>
      </c>
      <c r="BE23" s="63">
        <f t="shared" si="24"/>
        <v>2947.1415499999998</v>
      </c>
      <c r="BF23" s="63">
        <f t="shared" si="25"/>
        <v>1906.3915499999998</v>
      </c>
      <c r="BG23" s="63">
        <f t="shared" si="26"/>
        <v>1835.4227082418065</v>
      </c>
      <c r="BH23" s="63">
        <f t="shared" si="27"/>
        <v>1210.9081000000001</v>
      </c>
      <c r="BI23" s="63">
        <f t="shared" si="28"/>
        <v>1210.9081000000001</v>
      </c>
      <c r="BJ23" s="63">
        <f t="shared" si="29"/>
        <v>1210.9081000000001</v>
      </c>
      <c r="BK23" s="63" t="str">
        <f t="shared" si="30"/>
        <v>OK</v>
      </c>
      <c r="BL23" s="63">
        <f t="shared" si="31"/>
        <v>543</v>
      </c>
      <c r="BM23" s="63">
        <f t="shared" si="32"/>
        <v>905</v>
      </c>
      <c r="BN23" s="63">
        <f t="shared" si="33"/>
        <v>1810</v>
      </c>
      <c r="BO23" s="63">
        <f t="shared" si="34"/>
        <v>2715</v>
      </c>
      <c r="BP23" s="63">
        <f t="shared" si="35"/>
        <v>520.375</v>
      </c>
      <c r="BQ23" s="63">
        <f t="shared" si="79"/>
        <v>382.94838322114265</v>
      </c>
      <c r="BR23" s="63" t="str">
        <f t="shared" si="80"/>
        <v>OK</v>
      </c>
      <c r="BW23" s="70">
        <f t="shared" si="10"/>
        <v>1700.0000000000002</v>
      </c>
    </row>
    <row r="24" spans="4:112" ht="12" customHeight="1">
      <c r="D24" s="183"/>
      <c r="E24" s="183"/>
      <c r="F24" s="172" t="s">
        <v>328</v>
      </c>
      <c r="G24" s="156">
        <v>1000</v>
      </c>
      <c r="H24" s="156">
        <v>1000</v>
      </c>
      <c r="I24" s="157">
        <v>95</v>
      </c>
      <c r="J24" s="158">
        <f t="shared" si="11"/>
        <v>905</v>
      </c>
      <c r="K24" s="159">
        <v>-1197.5</v>
      </c>
      <c r="L24" s="159">
        <v>300</v>
      </c>
      <c r="M24" s="159">
        <v>5</v>
      </c>
      <c r="N24" s="160">
        <f t="shared" si="0"/>
        <v>9.5562374599321334E-2</v>
      </c>
      <c r="O24" s="160">
        <f t="shared" si="12"/>
        <v>0.10100000000000001</v>
      </c>
      <c r="P24" s="160">
        <f t="shared" si="13"/>
        <v>0.94950000000000001</v>
      </c>
      <c r="Q24" s="161" t="str">
        <f t="shared" si="1"/>
        <v>Ok</v>
      </c>
      <c r="R24" s="162">
        <f t="shared" si="2"/>
        <v>32.036326920750852</v>
      </c>
      <c r="S24" s="163">
        <f t="shared" si="14"/>
        <v>3.5399256266023041E-3</v>
      </c>
      <c r="T24" s="164">
        <v>3</v>
      </c>
      <c r="U24" s="165">
        <v>22</v>
      </c>
      <c r="V24" s="166" t="str">
        <f t="shared" si="3"/>
        <v>+</v>
      </c>
      <c r="W24" s="164">
        <v>0</v>
      </c>
      <c r="X24" s="165">
        <v>25</v>
      </c>
      <c r="Y24" s="167">
        <v>40.25</v>
      </c>
      <c r="Z24" s="168" t="str">
        <f t="shared" si="4"/>
        <v>Ok</v>
      </c>
      <c r="AA24" s="158">
        <f t="shared" si="81"/>
        <v>82.013190329078668</v>
      </c>
      <c r="AB24" s="158">
        <f t="shared" si="82"/>
        <v>1487.5472064269582</v>
      </c>
      <c r="AC24" s="168" t="str">
        <f t="shared" si="83"/>
        <v>Ok</v>
      </c>
      <c r="AD24" s="169">
        <f t="shared" si="15"/>
        <v>4.0249999999999999E-3</v>
      </c>
      <c r="AE24" s="169">
        <f t="shared" si="5"/>
        <v>1.9281988961466403E-2</v>
      </c>
      <c r="AF24" s="170" t="str">
        <f t="shared" si="16"/>
        <v>Ok</v>
      </c>
      <c r="AG24" s="165">
        <v>12</v>
      </c>
      <c r="AH24" s="171">
        <v>3</v>
      </c>
      <c r="AI24" s="171">
        <v>200</v>
      </c>
      <c r="AJ24" s="170">
        <f t="shared" si="6"/>
        <v>11.304000000000002</v>
      </c>
      <c r="AK24" s="170" t="str">
        <f t="shared" si="7"/>
        <v>OK</v>
      </c>
      <c r="AL24" s="109">
        <f t="shared" si="8"/>
        <v>300</v>
      </c>
      <c r="AM24" s="175">
        <f t="shared" si="17"/>
        <v>1.2563862299060544</v>
      </c>
      <c r="AT24" s="133" t="str">
        <f t="shared" si="9"/>
        <v>no need</v>
      </c>
      <c r="AU24" s="27"/>
      <c r="AV24" s="61">
        <f t="shared" si="18"/>
        <v>4615.5</v>
      </c>
      <c r="AW24" s="61" t="str">
        <f t="shared" si="19"/>
        <v>OK</v>
      </c>
      <c r="AX24" s="63">
        <f t="shared" si="20"/>
        <v>3139.5958333333333</v>
      </c>
      <c r="AY24" s="63">
        <f t="shared" si="21"/>
        <v>300</v>
      </c>
      <c r="AZ24" s="63">
        <f t="shared" si="22"/>
        <v>117.95478260869568</v>
      </c>
      <c r="BA24" s="63">
        <f t="shared" si="76"/>
        <v>287.5</v>
      </c>
      <c r="BB24" s="63">
        <f t="shared" si="77"/>
        <v>508.68</v>
      </c>
      <c r="BC24" s="63" t="str">
        <f t="shared" si="78"/>
        <v>OK</v>
      </c>
      <c r="BD24" s="63">
        <f t="shared" si="23"/>
        <v>1924.3770367663301</v>
      </c>
      <c r="BE24" s="63">
        <f t="shared" si="24"/>
        <v>2947.1415499999998</v>
      </c>
      <c r="BF24" s="63">
        <f t="shared" si="25"/>
        <v>1906.3915499999998</v>
      </c>
      <c r="BG24" s="63">
        <f t="shared" si="26"/>
        <v>1835.4227082418065</v>
      </c>
      <c r="BH24" s="63">
        <f t="shared" si="27"/>
        <v>1210.9081000000001</v>
      </c>
      <c r="BI24" s="63">
        <f t="shared" si="28"/>
        <v>1210.9081000000001</v>
      </c>
      <c r="BJ24" s="63">
        <f t="shared" si="29"/>
        <v>1210.9081000000001</v>
      </c>
      <c r="BK24" s="63" t="str">
        <f t="shared" si="30"/>
        <v>OK</v>
      </c>
      <c r="BL24" s="63">
        <f t="shared" si="31"/>
        <v>543</v>
      </c>
      <c r="BM24" s="63">
        <f t="shared" si="32"/>
        <v>905</v>
      </c>
      <c r="BN24" s="63">
        <f t="shared" si="33"/>
        <v>1810</v>
      </c>
      <c r="BO24" s="63">
        <f t="shared" si="34"/>
        <v>2715</v>
      </c>
      <c r="BP24" s="63">
        <f t="shared" si="35"/>
        <v>520.375</v>
      </c>
      <c r="BQ24" s="63">
        <f t="shared" si="79"/>
        <v>2946.3991785000003</v>
      </c>
      <c r="BR24" s="63" t="str">
        <f t="shared" si="80"/>
        <v>OK</v>
      </c>
      <c r="BW24" s="70">
        <f t="shared" si="10"/>
        <v>1700.0000000000002</v>
      </c>
    </row>
    <row r="25" spans="4:112" ht="11.25" hidden="1" customHeight="1">
      <c r="D25" s="184"/>
      <c r="E25" s="184"/>
      <c r="F25" s="155" t="s">
        <v>15</v>
      </c>
      <c r="G25" s="156">
        <v>1000</v>
      </c>
      <c r="H25" s="156">
        <v>1000</v>
      </c>
      <c r="I25" s="157">
        <f t="shared" si="74"/>
        <v>91.8</v>
      </c>
      <c r="J25" s="158">
        <f t="shared" si="11"/>
        <v>908.2</v>
      </c>
      <c r="K25" s="159">
        <v>-30</v>
      </c>
      <c r="L25" s="159">
        <v>19</v>
      </c>
      <c r="M25" s="159">
        <v>3</v>
      </c>
      <c r="N25" s="160">
        <f t="shared" si="0"/>
        <v>2.3772060604175609E-3</v>
      </c>
      <c r="O25" s="160">
        <f t="shared" si="12"/>
        <v>2E-3</v>
      </c>
      <c r="P25" s="160">
        <f t="shared" si="13"/>
        <v>0.999</v>
      </c>
      <c r="Q25" s="161" t="str">
        <f t="shared" si="1"/>
        <v>Ok</v>
      </c>
      <c r="R25" s="162">
        <f t="shared" si="2"/>
        <v>9.0820000000000007</v>
      </c>
      <c r="S25" s="163">
        <f t="shared" si="14"/>
        <v>1E-3</v>
      </c>
      <c r="T25" s="164">
        <v>3</v>
      </c>
      <c r="U25" s="165">
        <v>22</v>
      </c>
      <c r="V25" s="166" t="str">
        <f t="shared" si="3"/>
        <v>+</v>
      </c>
      <c r="W25" s="164">
        <v>2</v>
      </c>
      <c r="X25" s="165">
        <v>22</v>
      </c>
      <c r="Y25" s="167">
        <f t="shared" si="75"/>
        <v>19.006635554218249</v>
      </c>
      <c r="Z25" s="168" t="str">
        <f t="shared" si="4"/>
        <v>Ok</v>
      </c>
      <c r="AA25" s="158">
        <f t="shared" si="81"/>
        <v>21.615389453816825</v>
      </c>
      <c r="AB25" s="158">
        <f t="shared" si="82"/>
        <v>700.18822427466262</v>
      </c>
      <c r="AC25" s="168" t="str">
        <f t="shared" si="83"/>
        <v>Ok</v>
      </c>
      <c r="AD25" s="169">
        <f t="shared" si="15"/>
        <v>1.9006635554218248E-3</v>
      </c>
      <c r="AE25" s="169">
        <f t="shared" si="5"/>
        <v>1.9281988961466403E-2</v>
      </c>
      <c r="AF25" s="170" t="str">
        <f t="shared" si="16"/>
        <v>Ok</v>
      </c>
      <c r="AG25" s="165">
        <v>10</v>
      </c>
      <c r="AH25" s="171">
        <v>2</v>
      </c>
      <c r="AI25" s="171">
        <v>150</v>
      </c>
      <c r="AJ25" s="170">
        <f t="shared" si="6"/>
        <v>10.466666666666667</v>
      </c>
      <c r="AK25" s="170" t="str">
        <f t="shared" si="7"/>
        <v>OK</v>
      </c>
      <c r="AL25" s="109">
        <f t="shared" si="8"/>
        <v>300</v>
      </c>
      <c r="AM25" s="175">
        <f t="shared" si="17"/>
        <v>2.0927808361834672</v>
      </c>
      <c r="AT25" s="133" t="str">
        <f t="shared" si="9"/>
        <v>no need</v>
      </c>
      <c r="AU25" s="27"/>
      <c r="AV25" s="61">
        <f t="shared" si="18"/>
        <v>4631.82</v>
      </c>
      <c r="AW25" s="61" t="str">
        <f t="shared" si="19"/>
        <v>OK</v>
      </c>
      <c r="AX25" s="63">
        <f t="shared" si="20"/>
        <v>49923.754000000008</v>
      </c>
      <c r="AY25" s="63">
        <f t="shared" si="21"/>
        <v>300</v>
      </c>
      <c r="AZ25" s="63">
        <f t="shared" si="22"/>
        <v>109.21739130434783</v>
      </c>
      <c r="BA25" s="63">
        <f t="shared" si="76"/>
        <v>287.5</v>
      </c>
      <c r="BB25" s="63">
        <f t="shared" si="77"/>
        <v>314</v>
      </c>
      <c r="BC25" s="63" t="str">
        <f t="shared" si="78"/>
        <v>OK</v>
      </c>
      <c r="BD25" s="63">
        <f t="shared" si="23"/>
        <v>2457.9927158319251</v>
      </c>
      <c r="BE25" s="63">
        <f t="shared" si="24"/>
        <v>2824.9560999999999</v>
      </c>
      <c r="BF25" s="63">
        <f t="shared" si="25"/>
        <v>1780.5260999999998</v>
      </c>
      <c r="BG25" s="63">
        <f t="shared" si="26"/>
        <v>1447.1432114460458</v>
      </c>
      <c r="BH25" s="63">
        <f t="shared" si="27"/>
        <v>949.97720000000004</v>
      </c>
      <c r="BI25" s="63">
        <f t="shared" si="28"/>
        <v>949.97720000000004</v>
      </c>
      <c r="BJ25" s="63">
        <f t="shared" si="29"/>
        <v>949.97720000000004</v>
      </c>
      <c r="BK25" s="63" t="str">
        <f t="shared" si="30"/>
        <v>OK</v>
      </c>
      <c r="BL25" s="63">
        <f t="shared" si="31"/>
        <v>544.91999999999996</v>
      </c>
      <c r="BM25" s="63">
        <f t="shared" si="32"/>
        <v>908.2</v>
      </c>
      <c r="BN25" s="63">
        <f t="shared" si="33"/>
        <v>1816.4</v>
      </c>
      <c r="BO25" s="63">
        <f t="shared" si="34"/>
        <v>2724.6000000000004</v>
      </c>
      <c r="BP25" s="63">
        <f t="shared" si="35"/>
        <v>522.21500000000003</v>
      </c>
      <c r="BQ25" s="63">
        <f t="shared" si="79"/>
        <v>1634.398506</v>
      </c>
      <c r="BR25" s="63" t="str">
        <f t="shared" si="80"/>
        <v>OK</v>
      </c>
      <c r="BW25" s="70">
        <f t="shared" si="10"/>
        <v>1700.0000000000002</v>
      </c>
    </row>
    <row r="26" spans="4:112" ht="12.75" customHeight="1">
      <c r="D26" s="186" t="s">
        <v>323</v>
      </c>
      <c r="E26" s="189" t="s">
        <v>332</v>
      </c>
      <c r="F26" s="67" t="s">
        <v>327</v>
      </c>
      <c r="G26" s="78">
        <v>1000</v>
      </c>
      <c r="H26" s="78">
        <v>1000</v>
      </c>
      <c r="I26" s="79">
        <v>95</v>
      </c>
      <c r="J26" s="80">
        <f t="shared" ref="J26:J37" si="84">H26-I26</f>
        <v>905</v>
      </c>
      <c r="K26" s="81">
        <v>2550</v>
      </c>
      <c r="L26" s="81">
        <v>1209</v>
      </c>
      <c r="M26" s="81">
        <v>2</v>
      </c>
      <c r="N26" s="82">
        <f t="shared" ref="N26:N37" si="85">ABS(K26)*10^6/($J$11*$H$4*G26*J26^2)</f>
        <v>0.20349399183989092</v>
      </c>
      <c r="O26" s="82">
        <f t="shared" ref="O26:O37" si="86">ROUND(1-SQRT(1-2*N26),3)</f>
        <v>0.23</v>
      </c>
      <c r="P26" s="82">
        <f t="shared" ref="P26:P37" si="87">1-0.5*O26</f>
        <v>0.88500000000000001</v>
      </c>
      <c r="Q26" s="83" t="str">
        <f t="shared" ref="Q26:Q37" si="88">IF(O26&lt;$J$13,"Ok","Not Ok")</f>
        <v>Ok</v>
      </c>
      <c r="R26" s="84">
        <f t="shared" ref="R26:R37" si="89">MAX(ABS(K26)*10^6/($H$6*P26*J26),0.001*G26*J26)/100</f>
        <v>73.1912347038392</v>
      </c>
      <c r="S26" s="131">
        <f t="shared" ref="S26:S37" si="90">(R26)/(G26*J26/100)</f>
        <v>8.0874292490430051E-3</v>
      </c>
      <c r="T26" s="86">
        <v>3</v>
      </c>
      <c r="U26" s="77">
        <v>22</v>
      </c>
      <c r="V26" s="87" t="str">
        <f t="shared" ref="V26:V37" si="91">IF(X26="","","+")</f>
        <v>+</v>
      </c>
      <c r="W26" s="86">
        <v>2</v>
      </c>
      <c r="X26" s="77">
        <v>22</v>
      </c>
      <c r="Y26" s="88">
        <v>117.5</v>
      </c>
      <c r="Z26" s="89" t="str">
        <f t="shared" ref="Z26:Z37" si="92">IF(Y26&gt;R26,"Ok","Not Ok")</f>
        <v>Ok</v>
      </c>
      <c r="AA26" s="80">
        <f t="shared" ref="AA26:AA37" si="93">($H$6*Y26*100-$H$6*(T27*PI()*U27^2/4))/($J$11*$H$4*G26)</f>
        <v>301.64554327025519</v>
      </c>
      <c r="AB26" s="80">
        <f t="shared" ref="AB26:AB37" si="94">($J$11*$H$4*G26*AA26*(J26-0.5*AA26)+$H$6*(T27*PI()*U27^2/4)*(J26-I27))*10^-6</f>
        <v>3882.4805387660399</v>
      </c>
      <c r="AC26" s="89" t="str">
        <f t="shared" ref="AC26:AC37" si="95">IF(ABS(K26)&lt;AB26,"Ok","Not Ok")</f>
        <v>Ok</v>
      </c>
      <c r="AD26" s="85">
        <f t="shared" ref="AD26:AD37" si="96">(Y26*100)/(G26*H26)</f>
        <v>1.175E-2</v>
      </c>
      <c r="AE26" s="85">
        <f t="shared" si="5"/>
        <v>1.9281988961466403E-2</v>
      </c>
      <c r="AF26" s="60" t="str">
        <f t="shared" ref="AF26:AF37" si="97">IF(AND(AD26&gt;0.1%,AD26&lt;AE26),"Ok","No-Ok")</f>
        <v>Ok</v>
      </c>
      <c r="AG26" s="77">
        <v>12</v>
      </c>
      <c r="AH26" s="76">
        <v>3</v>
      </c>
      <c r="AI26" s="76">
        <v>200</v>
      </c>
      <c r="AJ26" s="60">
        <f t="shared" ref="AJ26:AJ37" si="98">(10/AI26)*2*(3.14*AG26^2)/4</f>
        <v>11.304000000000002</v>
      </c>
      <c r="AK26" s="60" t="str">
        <f t="shared" ref="AK26:AK37" si="99">IF(AND(AV26&gt;L26,BB26&gt;BA26,BJ26&gt;L26),"OK","NOT OK")</f>
        <v>OK</v>
      </c>
      <c r="AL26" s="109">
        <f t="shared" ref="AL26:AL37" si="100">IF(AG26&lt;10,$O$7,$O$8)</f>
        <v>300</v>
      </c>
      <c r="AM26" s="175">
        <f t="shared" si="17"/>
        <v>1.6053834926470589</v>
      </c>
      <c r="AT26" s="133" t="str">
        <f t="shared" ref="AT26:AT37" si="101">IF(L26&gt;BP26, "need","no need")</f>
        <v>need</v>
      </c>
      <c r="AU26" s="27"/>
      <c r="AV26" s="61">
        <f t="shared" ref="AV26:AV37" si="102">0.3*$H$4*G26*J26/1000</f>
        <v>4615.5</v>
      </c>
      <c r="AW26" s="61" t="str">
        <f t="shared" ref="AW26:AW37" si="103">IF(L26&lt;AV26,"OK","Not ok")</f>
        <v>OK</v>
      </c>
      <c r="AX26" s="63">
        <f t="shared" ref="AX26:AX37" si="104">$K$4*G26*J26^2/(L26*1000)</f>
        <v>779.05603804797352</v>
      </c>
      <c r="AY26" s="63">
        <f t="shared" ref="AY26:AY37" si="105">MIN(1/2*J26,300)</f>
        <v>300</v>
      </c>
      <c r="AZ26" s="63">
        <f t="shared" ref="AZ26:AZ37" si="106">AL26*AJ26*10/BA26</f>
        <v>117.95478260869568</v>
      </c>
      <c r="BA26" s="63">
        <f t="shared" ref="BA26:BA37" si="107">0.25*$K$4*G26</f>
        <v>287.5</v>
      </c>
      <c r="BB26" s="63">
        <f t="shared" ref="BB26:BB37" si="108">(AL26*AH26*(3.14*AG26^2/4)/AI26)</f>
        <v>508.68</v>
      </c>
      <c r="BC26" s="63" t="str">
        <f t="shared" ref="BC26:BC37" si="109">IF(BB26&gt;BA26,"OK","NOT OK")</f>
        <v>OK</v>
      </c>
      <c r="BD26" s="63">
        <f t="shared" ref="BD26:BD37" si="110">SQRT((2*$K$4*G26*J26^2)/BB26)</f>
        <v>1924.3770367663301</v>
      </c>
      <c r="BE26" s="63">
        <f t="shared" ref="BE26:BE37" si="111">2.5*$K$4*G26*J26/1000+(0.75*BB26*J26)/1000</f>
        <v>2947.1415499999998</v>
      </c>
      <c r="BF26" s="63">
        <f t="shared" ref="BF26:BF37" si="112">1.5*$K$4*G26*J26/1000+(0.75*BB26*J26)/1000</f>
        <v>1906.3915499999998</v>
      </c>
      <c r="BG26" s="63">
        <f t="shared" ref="BG26:BG37" si="113">IF(BD26&lt;J26,BF26,IF(BD26&lt;2*J26,(1.5*$K$4*H26*J26*J26/BD26)/1000+(0.75*BB26*BD26)/1000,(0.75*$K$4*H26*J26*J26/BD26)/1000+(1.5*BB26*BD26)/1000))</f>
        <v>1835.4227082418065</v>
      </c>
      <c r="BH26" s="63">
        <f t="shared" ref="BH26:BH37" si="114">0.5*$K$4*G26*J26/1000+(1.5*BB26*J26)/1000</f>
        <v>1210.9081000000001</v>
      </c>
      <c r="BI26" s="63">
        <f t="shared" ref="BI26:BI37" si="115">0.5*$K$4*G26*J26/1000+(1.5*BB26*J26)/1000</f>
        <v>1210.9081000000001</v>
      </c>
      <c r="BJ26" s="63">
        <f t="shared" ref="BJ26:BJ37" si="116">MIN(BE26:BI26)</f>
        <v>1210.9081000000001</v>
      </c>
      <c r="BK26" s="63" t="str">
        <f t="shared" ref="BK26:BK37" si="117">IF(BJ26&gt;L26,"OK","NOT OK")</f>
        <v>OK</v>
      </c>
      <c r="BL26" s="63">
        <f t="shared" ref="BL26:BL37" si="118">0.6*J26</f>
        <v>543</v>
      </c>
      <c r="BM26" s="63">
        <f t="shared" ref="BM26:BM37" si="119">J26</f>
        <v>905</v>
      </c>
      <c r="BN26" s="63">
        <f t="shared" ref="BN26:BN37" si="120">2*J26</f>
        <v>1810</v>
      </c>
      <c r="BO26" s="63">
        <f t="shared" ref="BO26:BO37" si="121">3*J26</f>
        <v>2715</v>
      </c>
      <c r="BP26" s="63">
        <f t="shared" ref="BP26:BP37" si="122">0.5*$K$4*G26*J26/1000</f>
        <v>520.375</v>
      </c>
      <c r="BQ26" s="63">
        <f t="shared" ref="BQ26:BQ37" si="123">($H$6*Y25*100*0.9*J25+0.5*BB25*J25^2)/10^6</f>
        <v>805.29838064485068</v>
      </c>
      <c r="BR26" s="63" t="str">
        <f t="shared" ref="BR26:BR37" si="124">IF(K25&lt;=BQ26,"OK","NOT OK")</f>
        <v>OK</v>
      </c>
      <c r="BW26" s="70">
        <f t="shared" ref="BW26:BW37" si="125">0.1*$H$4*G26^2*H26/1000000</f>
        <v>1700.0000000000002</v>
      </c>
    </row>
    <row r="27" spans="4:112" ht="12" customHeight="1">
      <c r="D27" s="187"/>
      <c r="E27" s="187"/>
      <c r="F27" s="68" t="s">
        <v>328</v>
      </c>
      <c r="G27" s="78">
        <v>1000</v>
      </c>
      <c r="H27" s="78">
        <v>1000</v>
      </c>
      <c r="I27" s="79">
        <v>95</v>
      </c>
      <c r="J27" s="80">
        <f t="shared" si="84"/>
        <v>905</v>
      </c>
      <c r="K27" s="81">
        <v>-1821.7</v>
      </c>
      <c r="L27" s="81">
        <v>1209</v>
      </c>
      <c r="M27" s="81">
        <v>5</v>
      </c>
      <c r="N27" s="82">
        <f t="shared" si="85"/>
        <v>0.14537451173910954</v>
      </c>
      <c r="O27" s="82">
        <f t="shared" si="86"/>
        <v>0.158</v>
      </c>
      <c r="P27" s="82">
        <f t="shared" si="87"/>
        <v>0.92100000000000004</v>
      </c>
      <c r="Q27" s="83" t="str">
        <f t="shared" si="88"/>
        <v>Ok</v>
      </c>
      <c r="R27" s="84">
        <f t="shared" si="89"/>
        <v>50.243442954199708</v>
      </c>
      <c r="S27" s="131">
        <f t="shared" si="90"/>
        <v>5.5517616523977579E-3</v>
      </c>
      <c r="T27" s="86">
        <v>3</v>
      </c>
      <c r="U27" s="77">
        <v>22</v>
      </c>
      <c r="V27" s="87" t="str">
        <f t="shared" si="91"/>
        <v>+</v>
      </c>
      <c r="W27" s="86">
        <v>0</v>
      </c>
      <c r="X27" s="77">
        <v>25</v>
      </c>
      <c r="Y27" s="88">
        <v>120.7</v>
      </c>
      <c r="Z27" s="89" t="str">
        <f t="shared" si="92"/>
        <v>Ok</v>
      </c>
      <c r="AA27" s="80">
        <f t="shared" si="93"/>
        <v>310.74358248594143</v>
      </c>
      <c r="AB27" s="80">
        <f t="shared" si="94"/>
        <v>3967.421689814897</v>
      </c>
      <c r="AC27" s="89" t="str">
        <f t="shared" si="95"/>
        <v>Ok</v>
      </c>
      <c r="AD27" s="85">
        <f t="shared" si="96"/>
        <v>1.2070000000000001E-2</v>
      </c>
      <c r="AE27" s="85">
        <f t="shared" si="5"/>
        <v>1.9281988961466403E-2</v>
      </c>
      <c r="AF27" s="60" t="str">
        <f t="shared" si="97"/>
        <v>Ok</v>
      </c>
      <c r="AG27" s="77">
        <v>12</v>
      </c>
      <c r="AH27" s="76">
        <v>3</v>
      </c>
      <c r="AI27" s="76">
        <v>200</v>
      </c>
      <c r="AJ27" s="60">
        <f t="shared" si="98"/>
        <v>11.304000000000002</v>
      </c>
      <c r="AK27" s="60" t="str">
        <f t="shared" si="99"/>
        <v>OK</v>
      </c>
      <c r="AL27" s="109">
        <f t="shared" si="100"/>
        <v>300</v>
      </c>
      <c r="AM27" s="175">
        <f t="shared" si="17"/>
        <v>2.4023035226711316</v>
      </c>
      <c r="AT27" s="133" t="str">
        <f t="shared" si="101"/>
        <v>need</v>
      </c>
      <c r="AU27" s="27"/>
      <c r="AV27" s="61">
        <f t="shared" si="102"/>
        <v>4615.5</v>
      </c>
      <c r="AW27" s="61" t="str">
        <f t="shared" si="103"/>
        <v>OK</v>
      </c>
      <c r="AX27" s="63">
        <f t="shared" si="104"/>
        <v>779.05603804797352</v>
      </c>
      <c r="AY27" s="63">
        <f t="shared" si="105"/>
        <v>300</v>
      </c>
      <c r="AZ27" s="63">
        <f t="shared" si="106"/>
        <v>117.95478260869568</v>
      </c>
      <c r="BA27" s="63">
        <f t="shared" si="107"/>
        <v>287.5</v>
      </c>
      <c r="BB27" s="63">
        <f t="shared" si="108"/>
        <v>508.68</v>
      </c>
      <c r="BC27" s="63" t="str">
        <f t="shared" si="109"/>
        <v>OK</v>
      </c>
      <c r="BD27" s="63">
        <f t="shared" si="110"/>
        <v>1924.3770367663301</v>
      </c>
      <c r="BE27" s="63">
        <f t="shared" si="111"/>
        <v>2947.1415499999998</v>
      </c>
      <c r="BF27" s="63">
        <f t="shared" si="112"/>
        <v>1906.3915499999998</v>
      </c>
      <c r="BG27" s="63">
        <f t="shared" si="113"/>
        <v>1835.4227082418065</v>
      </c>
      <c r="BH27" s="63">
        <f t="shared" si="114"/>
        <v>1210.9081000000001</v>
      </c>
      <c r="BI27" s="63">
        <f t="shared" si="115"/>
        <v>1210.9081000000001</v>
      </c>
      <c r="BJ27" s="63">
        <f t="shared" si="116"/>
        <v>1210.9081000000001</v>
      </c>
      <c r="BK27" s="63" t="str">
        <f t="shared" si="117"/>
        <v>OK</v>
      </c>
      <c r="BL27" s="63">
        <f t="shared" si="118"/>
        <v>543</v>
      </c>
      <c r="BM27" s="63">
        <f t="shared" si="119"/>
        <v>905</v>
      </c>
      <c r="BN27" s="63">
        <f t="shared" si="120"/>
        <v>1810</v>
      </c>
      <c r="BO27" s="63">
        <f t="shared" si="121"/>
        <v>2715</v>
      </c>
      <c r="BP27" s="63">
        <f t="shared" si="122"/>
        <v>520.375</v>
      </c>
      <c r="BQ27" s="63">
        <f t="shared" si="123"/>
        <v>4371.4239435</v>
      </c>
      <c r="BR27" s="63" t="str">
        <f t="shared" si="124"/>
        <v>OK</v>
      </c>
      <c r="BW27" s="70">
        <f t="shared" si="125"/>
        <v>1700.0000000000002</v>
      </c>
    </row>
    <row r="28" spans="4:112" ht="11.25" hidden="1" customHeight="1">
      <c r="D28" s="188"/>
      <c r="E28" s="188"/>
      <c r="F28" s="67" t="s">
        <v>15</v>
      </c>
      <c r="G28" s="78">
        <v>1000</v>
      </c>
      <c r="H28" s="78">
        <v>1000</v>
      </c>
      <c r="I28" s="79">
        <f t="shared" ref="I28:I37" si="126">$J$12+((T28*fi(U28)*U28/2+W28*fi(X28)*(U28+30+X28/2)))/(T28*fi(U28)+W28*fi(X28))</f>
        <v>91.8</v>
      </c>
      <c r="J28" s="80">
        <f t="shared" si="84"/>
        <v>908.2</v>
      </c>
      <c r="K28" s="81">
        <v>-30</v>
      </c>
      <c r="L28" s="81">
        <v>19</v>
      </c>
      <c r="M28" s="81">
        <v>3</v>
      </c>
      <c r="N28" s="82">
        <f t="shared" si="85"/>
        <v>2.3772060604175609E-3</v>
      </c>
      <c r="O28" s="82">
        <f t="shared" si="86"/>
        <v>2E-3</v>
      </c>
      <c r="P28" s="82">
        <f t="shared" si="87"/>
        <v>0.999</v>
      </c>
      <c r="Q28" s="83" t="str">
        <f t="shared" si="88"/>
        <v>Ok</v>
      </c>
      <c r="R28" s="84">
        <f t="shared" si="89"/>
        <v>9.0820000000000007</v>
      </c>
      <c r="S28" s="131">
        <f t="shared" si="90"/>
        <v>1E-3</v>
      </c>
      <c r="T28" s="86">
        <v>3</v>
      </c>
      <c r="U28" s="77">
        <v>22</v>
      </c>
      <c r="V28" s="87" t="str">
        <f t="shared" si="91"/>
        <v>+</v>
      </c>
      <c r="W28" s="86">
        <v>2</v>
      </c>
      <c r="X28" s="77">
        <v>22</v>
      </c>
      <c r="Y28" s="88">
        <f t="shared" ref="Y28:Y37" si="127">(T28*PI()*U28^2/4+W28*PI()*X28^2/4)/100</f>
        <v>19.006635554218249</v>
      </c>
      <c r="Z28" s="89" t="str">
        <f t="shared" si="92"/>
        <v>Ok</v>
      </c>
      <c r="AA28" s="80">
        <f t="shared" si="93"/>
        <v>21.615389453816825</v>
      </c>
      <c r="AB28" s="80">
        <f t="shared" si="94"/>
        <v>700.18822427466262</v>
      </c>
      <c r="AC28" s="89" t="str">
        <f t="shared" si="95"/>
        <v>Ok</v>
      </c>
      <c r="AD28" s="85">
        <f t="shared" si="96"/>
        <v>1.9006635554218248E-3</v>
      </c>
      <c r="AE28" s="85">
        <f t="shared" si="5"/>
        <v>1.9281988961466403E-2</v>
      </c>
      <c r="AF28" s="60" t="str">
        <f t="shared" si="97"/>
        <v>Ok</v>
      </c>
      <c r="AG28" s="77">
        <v>10</v>
      </c>
      <c r="AH28" s="76">
        <v>2</v>
      </c>
      <c r="AI28" s="76">
        <v>150</v>
      </c>
      <c r="AJ28" s="60">
        <f t="shared" si="98"/>
        <v>10.466666666666667</v>
      </c>
      <c r="AK28" s="60" t="str">
        <f t="shared" si="99"/>
        <v>OK</v>
      </c>
      <c r="AL28" s="109">
        <f t="shared" si="100"/>
        <v>300</v>
      </c>
      <c r="AM28" s="175">
        <f t="shared" si="17"/>
        <v>2.0927808361834672</v>
      </c>
      <c r="AT28" s="133" t="str">
        <f t="shared" si="101"/>
        <v>no need</v>
      </c>
      <c r="AU28" s="27"/>
      <c r="AV28" s="61">
        <f t="shared" si="102"/>
        <v>4631.82</v>
      </c>
      <c r="AW28" s="61" t="str">
        <f t="shared" si="103"/>
        <v>OK</v>
      </c>
      <c r="AX28" s="63">
        <f t="shared" si="104"/>
        <v>49923.754000000008</v>
      </c>
      <c r="AY28" s="63">
        <f t="shared" si="105"/>
        <v>300</v>
      </c>
      <c r="AZ28" s="63">
        <f t="shared" si="106"/>
        <v>109.21739130434783</v>
      </c>
      <c r="BA28" s="63">
        <f t="shared" si="107"/>
        <v>287.5</v>
      </c>
      <c r="BB28" s="63">
        <f t="shared" si="108"/>
        <v>314</v>
      </c>
      <c r="BC28" s="63" t="str">
        <f t="shared" si="109"/>
        <v>OK</v>
      </c>
      <c r="BD28" s="63">
        <f t="shared" si="110"/>
        <v>2457.9927158319251</v>
      </c>
      <c r="BE28" s="63">
        <f t="shared" si="111"/>
        <v>2824.9560999999999</v>
      </c>
      <c r="BF28" s="63">
        <f t="shared" si="112"/>
        <v>1780.5260999999998</v>
      </c>
      <c r="BG28" s="63">
        <f t="shared" si="113"/>
        <v>1447.1432114460458</v>
      </c>
      <c r="BH28" s="63">
        <f t="shared" si="114"/>
        <v>949.97720000000004</v>
      </c>
      <c r="BI28" s="63">
        <f t="shared" si="115"/>
        <v>949.97720000000004</v>
      </c>
      <c r="BJ28" s="63">
        <f t="shared" si="116"/>
        <v>949.97720000000004</v>
      </c>
      <c r="BK28" s="63" t="str">
        <f t="shared" si="117"/>
        <v>OK</v>
      </c>
      <c r="BL28" s="63">
        <f t="shared" si="118"/>
        <v>544.91999999999996</v>
      </c>
      <c r="BM28" s="63">
        <f t="shared" si="119"/>
        <v>908.2</v>
      </c>
      <c r="BN28" s="63">
        <f t="shared" si="120"/>
        <v>1816.4</v>
      </c>
      <c r="BO28" s="63">
        <f t="shared" si="121"/>
        <v>2724.6000000000004</v>
      </c>
      <c r="BP28" s="63">
        <f t="shared" si="122"/>
        <v>522.21500000000003</v>
      </c>
      <c r="BQ28" s="63">
        <f t="shared" si="123"/>
        <v>4484.8023434999996</v>
      </c>
      <c r="BR28" s="63" t="str">
        <f t="shared" si="124"/>
        <v>OK</v>
      </c>
      <c r="BW28" s="70">
        <f t="shared" si="125"/>
        <v>1700.0000000000002</v>
      </c>
    </row>
    <row r="29" spans="4:112" ht="12.75" customHeight="1">
      <c r="D29" s="182" t="s">
        <v>324</v>
      </c>
      <c r="E29" s="185" t="s">
        <v>333</v>
      </c>
      <c r="F29" s="155" t="s">
        <v>327</v>
      </c>
      <c r="G29" s="156">
        <v>1000</v>
      </c>
      <c r="H29" s="156">
        <v>1000</v>
      </c>
      <c r="I29" s="157">
        <v>95</v>
      </c>
      <c r="J29" s="158">
        <f t="shared" si="84"/>
        <v>905</v>
      </c>
      <c r="K29" s="159">
        <v>978.5</v>
      </c>
      <c r="L29" s="159">
        <v>1209</v>
      </c>
      <c r="M29" s="159">
        <v>2</v>
      </c>
      <c r="N29" s="160">
        <f t="shared" si="85"/>
        <v>7.8085831770718928E-2</v>
      </c>
      <c r="O29" s="160">
        <f t="shared" si="86"/>
        <v>8.1000000000000003E-2</v>
      </c>
      <c r="P29" s="160">
        <f t="shared" si="87"/>
        <v>0.95950000000000002</v>
      </c>
      <c r="Q29" s="161" t="str">
        <f t="shared" si="88"/>
        <v>Ok</v>
      </c>
      <c r="R29" s="162">
        <f t="shared" si="89"/>
        <v>25.904667052721656</v>
      </c>
      <c r="S29" s="163">
        <f t="shared" si="90"/>
        <v>2.8623941494720063E-3</v>
      </c>
      <c r="T29" s="164">
        <v>3</v>
      </c>
      <c r="U29" s="165">
        <v>22</v>
      </c>
      <c r="V29" s="166" t="str">
        <f t="shared" si="91"/>
        <v>+</v>
      </c>
      <c r="W29" s="164">
        <v>2</v>
      </c>
      <c r="X29" s="165">
        <v>22</v>
      </c>
      <c r="Y29" s="167">
        <v>46.5</v>
      </c>
      <c r="Z29" s="168" t="str">
        <f t="shared" si="92"/>
        <v>Ok</v>
      </c>
      <c r="AA29" s="158">
        <f t="shared" si="93"/>
        <v>99.782798172215919</v>
      </c>
      <c r="AB29" s="158">
        <f t="shared" si="94"/>
        <v>1707.2937550385752</v>
      </c>
      <c r="AC29" s="168" t="str">
        <f t="shared" si="95"/>
        <v>Ok</v>
      </c>
      <c r="AD29" s="169">
        <f t="shared" si="96"/>
        <v>4.6499999999999996E-3</v>
      </c>
      <c r="AE29" s="169">
        <f t="shared" si="5"/>
        <v>1.9281988961466403E-2</v>
      </c>
      <c r="AF29" s="170" t="str">
        <f t="shared" si="97"/>
        <v>Ok</v>
      </c>
      <c r="AG29" s="165">
        <v>12</v>
      </c>
      <c r="AH29" s="171">
        <v>3</v>
      </c>
      <c r="AI29" s="171">
        <v>200</v>
      </c>
      <c r="AJ29" s="170">
        <f t="shared" si="98"/>
        <v>11.304000000000002</v>
      </c>
      <c r="AK29" s="170" t="str">
        <f t="shared" si="99"/>
        <v>OK</v>
      </c>
      <c r="AL29" s="109">
        <f t="shared" si="100"/>
        <v>300</v>
      </c>
      <c r="AM29" s="175">
        <f t="shared" si="17"/>
        <v>1.7950433373786407</v>
      </c>
      <c r="AT29" s="133" t="str">
        <f t="shared" si="101"/>
        <v>need</v>
      </c>
      <c r="AU29" s="27"/>
      <c r="AV29" s="61">
        <f t="shared" si="102"/>
        <v>4615.5</v>
      </c>
      <c r="AW29" s="61" t="str">
        <f t="shared" si="103"/>
        <v>OK</v>
      </c>
      <c r="AX29" s="63">
        <f t="shared" si="104"/>
        <v>779.05603804797352</v>
      </c>
      <c r="AY29" s="63">
        <f t="shared" si="105"/>
        <v>300</v>
      </c>
      <c r="AZ29" s="63">
        <f t="shared" si="106"/>
        <v>117.95478260869568</v>
      </c>
      <c r="BA29" s="63">
        <f t="shared" si="107"/>
        <v>287.5</v>
      </c>
      <c r="BB29" s="63">
        <f t="shared" si="108"/>
        <v>508.68</v>
      </c>
      <c r="BC29" s="63" t="str">
        <f t="shared" si="109"/>
        <v>OK</v>
      </c>
      <c r="BD29" s="63">
        <f t="shared" si="110"/>
        <v>1924.3770367663301</v>
      </c>
      <c r="BE29" s="63">
        <f t="shared" si="111"/>
        <v>2947.1415499999998</v>
      </c>
      <c r="BF29" s="63">
        <f t="shared" si="112"/>
        <v>1906.3915499999998</v>
      </c>
      <c r="BG29" s="63">
        <f t="shared" si="113"/>
        <v>1835.4227082418065</v>
      </c>
      <c r="BH29" s="63">
        <f t="shared" si="114"/>
        <v>1210.9081000000001</v>
      </c>
      <c r="BI29" s="63">
        <f t="shared" si="115"/>
        <v>1210.9081000000001</v>
      </c>
      <c r="BJ29" s="63">
        <f t="shared" si="116"/>
        <v>1210.9081000000001</v>
      </c>
      <c r="BK29" s="63" t="str">
        <f t="shared" si="117"/>
        <v>OK</v>
      </c>
      <c r="BL29" s="63">
        <f t="shared" si="118"/>
        <v>543</v>
      </c>
      <c r="BM29" s="63">
        <f t="shared" si="119"/>
        <v>905</v>
      </c>
      <c r="BN29" s="63">
        <f t="shared" si="120"/>
        <v>1810</v>
      </c>
      <c r="BO29" s="63">
        <f t="shared" si="121"/>
        <v>2715</v>
      </c>
      <c r="BP29" s="63">
        <f t="shared" si="122"/>
        <v>520.375</v>
      </c>
      <c r="BQ29" s="63">
        <f t="shared" si="123"/>
        <v>805.29838064485068</v>
      </c>
      <c r="BR29" s="63" t="str">
        <f t="shared" si="124"/>
        <v>OK</v>
      </c>
      <c r="BW29" s="70">
        <f t="shared" si="125"/>
        <v>1700.0000000000002</v>
      </c>
    </row>
    <row r="30" spans="4:112" ht="12" customHeight="1">
      <c r="D30" s="183"/>
      <c r="E30" s="183"/>
      <c r="F30" s="172" t="s">
        <v>328</v>
      </c>
      <c r="G30" s="156">
        <v>1000</v>
      </c>
      <c r="H30" s="156">
        <v>1000</v>
      </c>
      <c r="I30" s="157">
        <v>95</v>
      </c>
      <c r="J30" s="158">
        <f t="shared" si="84"/>
        <v>905</v>
      </c>
      <c r="K30" s="159">
        <v>-294.39999999999998</v>
      </c>
      <c r="L30" s="159">
        <v>1209</v>
      </c>
      <c r="M30" s="159">
        <v>5</v>
      </c>
      <c r="N30" s="160">
        <f t="shared" si="85"/>
        <v>2.3493580861828976E-2</v>
      </c>
      <c r="O30" s="160">
        <f t="shared" si="86"/>
        <v>2.4E-2</v>
      </c>
      <c r="P30" s="160">
        <f t="shared" si="87"/>
        <v>0.98799999999999999</v>
      </c>
      <c r="Q30" s="161" t="str">
        <f t="shared" si="88"/>
        <v>Ok</v>
      </c>
      <c r="R30" s="162">
        <f t="shared" si="89"/>
        <v>9.0500000000000007</v>
      </c>
      <c r="S30" s="163">
        <f t="shared" si="90"/>
        <v>1E-3</v>
      </c>
      <c r="T30" s="164">
        <v>3</v>
      </c>
      <c r="U30" s="165">
        <v>22</v>
      </c>
      <c r="V30" s="166" t="str">
        <f t="shared" si="91"/>
        <v>+</v>
      </c>
      <c r="W30" s="164">
        <v>0</v>
      </c>
      <c r="X30" s="165">
        <v>25</v>
      </c>
      <c r="Y30" s="167">
        <v>40.270000000000003</v>
      </c>
      <c r="Z30" s="168" t="str">
        <f t="shared" si="92"/>
        <v>Ok</v>
      </c>
      <c r="AA30" s="158">
        <f t="shared" si="93"/>
        <v>82.070053074176698</v>
      </c>
      <c r="AB30" s="158">
        <f t="shared" si="94"/>
        <v>1488.2631802160779</v>
      </c>
      <c r="AC30" s="168" t="str">
        <f t="shared" si="95"/>
        <v>Ok</v>
      </c>
      <c r="AD30" s="169">
        <f t="shared" si="96"/>
        <v>4.0270000000000002E-3</v>
      </c>
      <c r="AE30" s="169">
        <f t="shared" si="5"/>
        <v>1.9281988961466403E-2</v>
      </c>
      <c r="AF30" s="170" t="str">
        <f t="shared" si="97"/>
        <v>Ok</v>
      </c>
      <c r="AG30" s="165">
        <v>12</v>
      </c>
      <c r="AH30" s="171">
        <v>3</v>
      </c>
      <c r="AI30" s="171">
        <v>200</v>
      </c>
      <c r="AJ30" s="170">
        <f t="shared" si="98"/>
        <v>11.304000000000002</v>
      </c>
      <c r="AK30" s="170" t="str">
        <f t="shared" si="99"/>
        <v>OK</v>
      </c>
      <c r="AL30" s="109">
        <f t="shared" si="100"/>
        <v>300</v>
      </c>
      <c r="AM30" s="175">
        <f t="shared" si="17"/>
        <v>4.449723756906077</v>
      </c>
      <c r="AT30" s="133" t="str">
        <f t="shared" si="101"/>
        <v>need</v>
      </c>
      <c r="AU30" s="27"/>
      <c r="AV30" s="61">
        <f t="shared" si="102"/>
        <v>4615.5</v>
      </c>
      <c r="AW30" s="61" t="str">
        <f t="shared" si="103"/>
        <v>OK</v>
      </c>
      <c r="AX30" s="63">
        <f t="shared" si="104"/>
        <v>779.05603804797352</v>
      </c>
      <c r="AY30" s="63">
        <f t="shared" si="105"/>
        <v>300</v>
      </c>
      <c r="AZ30" s="63">
        <f t="shared" si="106"/>
        <v>117.95478260869568</v>
      </c>
      <c r="BA30" s="63">
        <f t="shared" si="107"/>
        <v>287.5</v>
      </c>
      <c r="BB30" s="63">
        <f t="shared" si="108"/>
        <v>508.68</v>
      </c>
      <c r="BC30" s="63" t="str">
        <f t="shared" si="109"/>
        <v>OK</v>
      </c>
      <c r="BD30" s="63">
        <f t="shared" si="110"/>
        <v>1924.3770367663301</v>
      </c>
      <c r="BE30" s="63">
        <f t="shared" si="111"/>
        <v>2947.1415499999998</v>
      </c>
      <c r="BF30" s="63">
        <f t="shared" si="112"/>
        <v>1906.3915499999998</v>
      </c>
      <c r="BG30" s="63">
        <f t="shared" si="113"/>
        <v>1835.4227082418065</v>
      </c>
      <c r="BH30" s="63">
        <f t="shared" si="114"/>
        <v>1210.9081000000001</v>
      </c>
      <c r="BI30" s="63">
        <f t="shared" si="115"/>
        <v>1210.9081000000001</v>
      </c>
      <c r="BJ30" s="63">
        <f t="shared" si="116"/>
        <v>1210.9081000000001</v>
      </c>
      <c r="BK30" s="63" t="str">
        <f t="shared" si="117"/>
        <v>OK</v>
      </c>
      <c r="BL30" s="63">
        <f t="shared" si="118"/>
        <v>543</v>
      </c>
      <c r="BM30" s="63">
        <f t="shared" si="119"/>
        <v>905</v>
      </c>
      <c r="BN30" s="63">
        <f t="shared" si="120"/>
        <v>1810</v>
      </c>
      <c r="BO30" s="63">
        <f t="shared" si="121"/>
        <v>2715</v>
      </c>
      <c r="BP30" s="63">
        <f t="shared" si="122"/>
        <v>520.375</v>
      </c>
      <c r="BQ30" s="63">
        <f t="shared" si="123"/>
        <v>1855.8406935</v>
      </c>
      <c r="BR30" s="63" t="str">
        <f t="shared" si="124"/>
        <v>OK</v>
      </c>
      <c r="BW30" s="70">
        <f t="shared" si="125"/>
        <v>1700.0000000000002</v>
      </c>
    </row>
    <row r="31" spans="4:112" ht="11.25" hidden="1" customHeight="1">
      <c r="D31" s="184"/>
      <c r="E31" s="184"/>
      <c r="F31" s="155" t="s">
        <v>15</v>
      </c>
      <c r="G31" s="156">
        <v>1000</v>
      </c>
      <c r="H31" s="156">
        <v>1000</v>
      </c>
      <c r="I31" s="157">
        <f t="shared" si="126"/>
        <v>91.8</v>
      </c>
      <c r="J31" s="158">
        <f t="shared" si="84"/>
        <v>908.2</v>
      </c>
      <c r="K31" s="159">
        <v>-30</v>
      </c>
      <c r="L31" s="159">
        <v>19</v>
      </c>
      <c r="M31" s="159">
        <v>3</v>
      </c>
      <c r="N31" s="160">
        <f t="shared" si="85"/>
        <v>2.3772060604175609E-3</v>
      </c>
      <c r="O31" s="160">
        <f t="shared" si="86"/>
        <v>2E-3</v>
      </c>
      <c r="P31" s="160">
        <f t="shared" si="87"/>
        <v>0.999</v>
      </c>
      <c r="Q31" s="161" t="str">
        <f t="shared" si="88"/>
        <v>Ok</v>
      </c>
      <c r="R31" s="162">
        <f t="shared" si="89"/>
        <v>9.0820000000000007</v>
      </c>
      <c r="S31" s="163">
        <f t="shared" si="90"/>
        <v>1E-3</v>
      </c>
      <c r="T31" s="164">
        <v>3</v>
      </c>
      <c r="U31" s="165">
        <v>22</v>
      </c>
      <c r="V31" s="166" t="str">
        <f t="shared" si="91"/>
        <v>+</v>
      </c>
      <c r="W31" s="164">
        <v>2</v>
      </c>
      <c r="X31" s="165">
        <v>22</v>
      </c>
      <c r="Y31" s="167">
        <f t="shared" si="127"/>
        <v>19.006635554218249</v>
      </c>
      <c r="Z31" s="168" t="str">
        <f t="shared" si="92"/>
        <v>Ok</v>
      </c>
      <c r="AA31" s="158">
        <f t="shared" si="93"/>
        <v>21.615389453816825</v>
      </c>
      <c r="AB31" s="158">
        <f t="shared" si="94"/>
        <v>710.10968803396452</v>
      </c>
      <c r="AC31" s="168" t="str">
        <f t="shared" si="95"/>
        <v>Ok</v>
      </c>
      <c r="AD31" s="169">
        <f t="shared" si="96"/>
        <v>1.9006635554218248E-3</v>
      </c>
      <c r="AE31" s="169">
        <f t="shared" si="5"/>
        <v>1.9281988961466403E-2</v>
      </c>
      <c r="AF31" s="170" t="str">
        <f t="shared" si="97"/>
        <v>Ok</v>
      </c>
      <c r="AG31" s="165">
        <v>10</v>
      </c>
      <c r="AH31" s="171">
        <v>2</v>
      </c>
      <c r="AI31" s="171">
        <v>150</v>
      </c>
      <c r="AJ31" s="170">
        <f t="shared" si="98"/>
        <v>10.466666666666667</v>
      </c>
      <c r="AK31" s="170" t="str">
        <f t="shared" si="99"/>
        <v>OK</v>
      </c>
      <c r="AL31" s="109">
        <f t="shared" si="100"/>
        <v>300</v>
      </c>
      <c r="AM31" s="175">
        <f t="shared" si="17"/>
        <v>2.0927808361834672</v>
      </c>
      <c r="AT31" s="133" t="str">
        <f t="shared" si="101"/>
        <v>no need</v>
      </c>
      <c r="AU31" s="27"/>
      <c r="AV31" s="61">
        <f t="shared" si="102"/>
        <v>4631.82</v>
      </c>
      <c r="AW31" s="61" t="str">
        <f t="shared" si="103"/>
        <v>OK</v>
      </c>
      <c r="AX31" s="63">
        <f t="shared" si="104"/>
        <v>49923.754000000008</v>
      </c>
      <c r="AY31" s="63">
        <f t="shared" si="105"/>
        <v>300</v>
      </c>
      <c r="AZ31" s="63">
        <f t="shared" si="106"/>
        <v>109.21739130434783</v>
      </c>
      <c r="BA31" s="63">
        <f t="shared" si="107"/>
        <v>287.5</v>
      </c>
      <c r="BB31" s="63">
        <f t="shared" si="108"/>
        <v>314</v>
      </c>
      <c r="BC31" s="63" t="str">
        <f t="shared" si="109"/>
        <v>OK</v>
      </c>
      <c r="BD31" s="63">
        <f t="shared" si="110"/>
        <v>2457.9927158319251</v>
      </c>
      <c r="BE31" s="63">
        <f t="shared" si="111"/>
        <v>2824.9560999999999</v>
      </c>
      <c r="BF31" s="63">
        <f t="shared" si="112"/>
        <v>1780.5260999999998</v>
      </c>
      <c r="BG31" s="63">
        <f t="shared" si="113"/>
        <v>1447.1432114460458</v>
      </c>
      <c r="BH31" s="63">
        <f t="shared" si="114"/>
        <v>949.97720000000004</v>
      </c>
      <c r="BI31" s="63">
        <f t="shared" si="115"/>
        <v>949.97720000000004</v>
      </c>
      <c r="BJ31" s="63">
        <f t="shared" si="116"/>
        <v>949.97720000000004</v>
      </c>
      <c r="BK31" s="63" t="str">
        <f t="shared" si="117"/>
        <v>OK</v>
      </c>
      <c r="BL31" s="63">
        <f t="shared" si="118"/>
        <v>544.91999999999996</v>
      </c>
      <c r="BM31" s="63">
        <f t="shared" si="119"/>
        <v>908.2</v>
      </c>
      <c r="BN31" s="63">
        <f t="shared" si="120"/>
        <v>1816.4</v>
      </c>
      <c r="BO31" s="63">
        <f t="shared" si="121"/>
        <v>2724.6000000000004</v>
      </c>
      <c r="BP31" s="63">
        <f t="shared" si="122"/>
        <v>522.21500000000003</v>
      </c>
      <c r="BQ31" s="63">
        <f t="shared" si="123"/>
        <v>1635.107121</v>
      </c>
      <c r="BR31" s="63" t="str">
        <f t="shared" si="124"/>
        <v>OK</v>
      </c>
      <c r="BW31" s="70">
        <f t="shared" si="125"/>
        <v>1700.0000000000002</v>
      </c>
    </row>
    <row r="32" spans="4:112" ht="12.75" customHeight="1">
      <c r="D32" s="186" t="s">
        <v>325</v>
      </c>
      <c r="E32" s="189" t="s">
        <v>334</v>
      </c>
      <c r="F32" s="67" t="s">
        <v>327</v>
      </c>
      <c r="G32" s="78">
        <v>1000</v>
      </c>
      <c r="H32" s="78">
        <v>1000</v>
      </c>
      <c r="I32" s="79">
        <v>75</v>
      </c>
      <c r="J32" s="80">
        <f t="shared" si="84"/>
        <v>925</v>
      </c>
      <c r="K32" s="81">
        <v>0</v>
      </c>
      <c r="L32" s="81">
        <v>331</v>
      </c>
      <c r="M32" s="81">
        <v>2</v>
      </c>
      <c r="N32" s="82">
        <f t="shared" si="85"/>
        <v>0</v>
      </c>
      <c r="O32" s="82">
        <f t="shared" si="86"/>
        <v>0</v>
      </c>
      <c r="P32" s="82">
        <f t="shared" si="87"/>
        <v>1</v>
      </c>
      <c r="Q32" s="83" t="str">
        <f t="shared" si="88"/>
        <v>Ok</v>
      </c>
      <c r="R32" s="84">
        <f t="shared" si="89"/>
        <v>9.25</v>
      </c>
      <c r="S32" s="131">
        <f t="shared" si="90"/>
        <v>1E-3</v>
      </c>
      <c r="T32" s="86">
        <v>3</v>
      </c>
      <c r="U32" s="77">
        <v>22</v>
      </c>
      <c r="V32" s="87" t="str">
        <f t="shared" si="91"/>
        <v>+</v>
      </c>
      <c r="W32" s="86">
        <v>2</v>
      </c>
      <c r="X32" s="77">
        <v>22</v>
      </c>
      <c r="Y32" s="88">
        <v>15.7</v>
      </c>
      <c r="Z32" s="89" t="str">
        <f t="shared" si="92"/>
        <v>Ok</v>
      </c>
      <c r="AA32" s="80">
        <f t="shared" si="93"/>
        <v>12.214170721235535</v>
      </c>
      <c r="AB32" s="80">
        <f t="shared" si="94"/>
        <v>593.38198825960035</v>
      </c>
      <c r="AC32" s="89" t="str">
        <f t="shared" si="95"/>
        <v>Ok</v>
      </c>
      <c r="AD32" s="85">
        <f t="shared" si="96"/>
        <v>1.57E-3</v>
      </c>
      <c r="AE32" s="85">
        <f t="shared" si="5"/>
        <v>1.9281988961466403E-2</v>
      </c>
      <c r="AF32" s="60" t="str">
        <f t="shared" si="97"/>
        <v>Ok</v>
      </c>
      <c r="AG32" s="77">
        <v>12</v>
      </c>
      <c r="AH32" s="76">
        <v>3</v>
      </c>
      <c r="AI32" s="76">
        <v>200</v>
      </c>
      <c r="AJ32" s="60">
        <f t="shared" si="98"/>
        <v>11.304000000000002</v>
      </c>
      <c r="AK32" s="60" t="str">
        <f t="shared" si="99"/>
        <v>OK</v>
      </c>
      <c r="AL32" s="109">
        <f t="shared" si="100"/>
        <v>300</v>
      </c>
      <c r="AM32" s="175">
        <f t="shared" si="17"/>
        <v>1.6972972972972973</v>
      </c>
      <c r="AT32" s="133" t="str">
        <f t="shared" si="101"/>
        <v>no need</v>
      </c>
      <c r="AU32" s="27"/>
      <c r="AV32" s="61">
        <f t="shared" si="102"/>
        <v>4717.5</v>
      </c>
      <c r="AW32" s="61" t="str">
        <f t="shared" si="103"/>
        <v>OK</v>
      </c>
      <c r="AX32" s="63">
        <f t="shared" si="104"/>
        <v>2972.7152567975832</v>
      </c>
      <c r="AY32" s="63">
        <f t="shared" si="105"/>
        <v>300</v>
      </c>
      <c r="AZ32" s="63">
        <f t="shared" si="106"/>
        <v>117.95478260869568</v>
      </c>
      <c r="BA32" s="63">
        <f t="shared" si="107"/>
        <v>287.5</v>
      </c>
      <c r="BB32" s="63">
        <f t="shared" si="108"/>
        <v>508.68</v>
      </c>
      <c r="BC32" s="63" t="str">
        <f t="shared" si="109"/>
        <v>OK</v>
      </c>
      <c r="BD32" s="63">
        <f t="shared" si="110"/>
        <v>1966.904706087133</v>
      </c>
      <c r="BE32" s="63">
        <f t="shared" si="111"/>
        <v>3012.2717499999999</v>
      </c>
      <c r="BF32" s="63">
        <f t="shared" si="112"/>
        <v>1948.5217499999999</v>
      </c>
      <c r="BG32" s="63">
        <f t="shared" si="113"/>
        <v>1875.9845360482554</v>
      </c>
      <c r="BH32" s="63">
        <f t="shared" si="114"/>
        <v>1237.6685</v>
      </c>
      <c r="BI32" s="63">
        <f t="shared" si="115"/>
        <v>1237.6685</v>
      </c>
      <c r="BJ32" s="63">
        <f t="shared" si="116"/>
        <v>1237.6685</v>
      </c>
      <c r="BK32" s="63" t="str">
        <f t="shared" si="117"/>
        <v>OK</v>
      </c>
      <c r="BL32" s="63">
        <f t="shared" si="118"/>
        <v>555</v>
      </c>
      <c r="BM32" s="63">
        <f t="shared" si="119"/>
        <v>925</v>
      </c>
      <c r="BN32" s="63">
        <f t="shared" si="120"/>
        <v>1850</v>
      </c>
      <c r="BO32" s="63">
        <f t="shared" si="121"/>
        <v>2775</v>
      </c>
      <c r="BP32" s="63">
        <f t="shared" si="122"/>
        <v>531.875</v>
      </c>
      <c r="BQ32" s="63">
        <f t="shared" si="123"/>
        <v>805.29838064485068</v>
      </c>
      <c r="BR32" s="63" t="str">
        <f t="shared" si="124"/>
        <v>OK</v>
      </c>
      <c r="BW32" s="70">
        <f t="shared" si="125"/>
        <v>1700.0000000000002</v>
      </c>
    </row>
    <row r="33" spans="4:104" ht="12" customHeight="1">
      <c r="D33" s="187"/>
      <c r="E33" s="187"/>
      <c r="F33" s="68" t="s">
        <v>328</v>
      </c>
      <c r="G33" s="78">
        <v>1000</v>
      </c>
      <c r="H33" s="78">
        <v>1000</v>
      </c>
      <c r="I33" s="79">
        <v>75</v>
      </c>
      <c r="J33" s="80">
        <f t="shared" si="84"/>
        <v>925</v>
      </c>
      <c r="K33" s="81">
        <v>-188.2</v>
      </c>
      <c r="L33" s="81">
        <v>331</v>
      </c>
      <c r="M33" s="81">
        <v>5</v>
      </c>
      <c r="N33" s="82">
        <f t="shared" si="85"/>
        <v>1.437622041755587E-2</v>
      </c>
      <c r="O33" s="82">
        <f t="shared" si="86"/>
        <v>1.4E-2</v>
      </c>
      <c r="P33" s="82">
        <f t="shared" si="87"/>
        <v>0.99299999999999999</v>
      </c>
      <c r="Q33" s="83" t="str">
        <f t="shared" si="88"/>
        <v>Ok</v>
      </c>
      <c r="R33" s="84">
        <f t="shared" si="89"/>
        <v>9.25</v>
      </c>
      <c r="S33" s="131">
        <f t="shared" si="90"/>
        <v>1E-3</v>
      </c>
      <c r="T33" s="86">
        <v>3</v>
      </c>
      <c r="U33" s="77">
        <v>22</v>
      </c>
      <c r="V33" s="87" t="str">
        <f t="shared" si="91"/>
        <v>+</v>
      </c>
      <c r="W33" s="86">
        <v>0</v>
      </c>
      <c r="X33" s="77">
        <v>25</v>
      </c>
      <c r="Y33" s="88">
        <v>15.7</v>
      </c>
      <c r="Z33" s="89" t="str">
        <f t="shared" si="92"/>
        <v>Ok</v>
      </c>
      <c r="AA33" s="80">
        <f t="shared" si="93"/>
        <v>12.214170721235535</v>
      </c>
      <c r="AB33" s="80">
        <f t="shared" si="94"/>
        <v>585.0479587017868</v>
      </c>
      <c r="AC33" s="89" t="str">
        <f t="shared" si="95"/>
        <v>Ok</v>
      </c>
      <c r="AD33" s="85">
        <f t="shared" si="96"/>
        <v>1.57E-3</v>
      </c>
      <c r="AE33" s="85">
        <f t="shared" si="5"/>
        <v>1.9281988961466403E-2</v>
      </c>
      <c r="AF33" s="60" t="str">
        <f t="shared" si="97"/>
        <v>Ok</v>
      </c>
      <c r="AG33" s="77">
        <v>12</v>
      </c>
      <c r="AH33" s="76">
        <v>3</v>
      </c>
      <c r="AI33" s="76">
        <v>200</v>
      </c>
      <c r="AJ33" s="60">
        <f t="shared" si="98"/>
        <v>11.304000000000002</v>
      </c>
      <c r="AK33" s="60" t="str">
        <f t="shared" si="99"/>
        <v>OK</v>
      </c>
      <c r="AL33" s="109">
        <f t="shared" si="100"/>
        <v>300</v>
      </c>
      <c r="AM33" s="175">
        <f t="shared" si="17"/>
        <v>1.6972972972972973</v>
      </c>
      <c r="AT33" s="133" t="str">
        <f t="shared" si="101"/>
        <v>no need</v>
      </c>
      <c r="AU33" s="27"/>
      <c r="AV33" s="61">
        <f t="shared" si="102"/>
        <v>4717.5</v>
      </c>
      <c r="AW33" s="61" t="str">
        <f t="shared" si="103"/>
        <v>OK</v>
      </c>
      <c r="AX33" s="63">
        <f t="shared" si="104"/>
        <v>2972.7152567975832</v>
      </c>
      <c r="AY33" s="63">
        <f t="shared" si="105"/>
        <v>300</v>
      </c>
      <c r="AZ33" s="63">
        <f t="shared" si="106"/>
        <v>117.95478260869568</v>
      </c>
      <c r="BA33" s="63">
        <f t="shared" si="107"/>
        <v>287.5</v>
      </c>
      <c r="BB33" s="63">
        <f t="shared" si="108"/>
        <v>508.68</v>
      </c>
      <c r="BC33" s="63" t="str">
        <f t="shared" si="109"/>
        <v>OK</v>
      </c>
      <c r="BD33" s="63">
        <f t="shared" si="110"/>
        <v>1966.904706087133</v>
      </c>
      <c r="BE33" s="63">
        <f t="shared" si="111"/>
        <v>3012.2717499999999</v>
      </c>
      <c r="BF33" s="63">
        <f t="shared" si="112"/>
        <v>1948.5217499999999</v>
      </c>
      <c r="BG33" s="63">
        <f t="shared" si="113"/>
        <v>1875.9845360482554</v>
      </c>
      <c r="BH33" s="63">
        <f t="shared" si="114"/>
        <v>1237.6685</v>
      </c>
      <c r="BI33" s="63">
        <f t="shared" si="115"/>
        <v>1237.6685</v>
      </c>
      <c r="BJ33" s="63">
        <f t="shared" si="116"/>
        <v>1237.6685</v>
      </c>
      <c r="BK33" s="63" t="str">
        <f t="shared" si="117"/>
        <v>OK</v>
      </c>
      <c r="BL33" s="63">
        <f t="shared" si="118"/>
        <v>555</v>
      </c>
      <c r="BM33" s="63">
        <f t="shared" si="119"/>
        <v>925</v>
      </c>
      <c r="BN33" s="63">
        <f t="shared" si="120"/>
        <v>1850</v>
      </c>
      <c r="BO33" s="63">
        <f t="shared" si="121"/>
        <v>2775</v>
      </c>
      <c r="BP33" s="63">
        <f t="shared" si="122"/>
        <v>531.875</v>
      </c>
      <c r="BQ33" s="63">
        <f t="shared" si="123"/>
        <v>786.17553750000002</v>
      </c>
      <c r="BR33" s="63" t="str">
        <f t="shared" si="124"/>
        <v>OK</v>
      </c>
      <c r="BW33" s="70">
        <f t="shared" si="125"/>
        <v>1700.0000000000002</v>
      </c>
    </row>
    <row r="34" spans="4:104" ht="11.25" hidden="1" customHeight="1">
      <c r="D34" s="188"/>
      <c r="E34" s="188"/>
      <c r="F34" s="67" t="s">
        <v>15</v>
      </c>
      <c r="G34" s="78">
        <v>1000</v>
      </c>
      <c r="H34" s="78">
        <v>1000</v>
      </c>
      <c r="I34" s="79">
        <f t="shared" si="126"/>
        <v>91.8</v>
      </c>
      <c r="J34" s="80">
        <f t="shared" si="84"/>
        <v>908.2</v>
      </c>
      <c r="K34" s="81">
        <v>-30</v>
      </c>
      <c r="L34" s="81">
        <v>19</v>
      </c>
      <c r="M34" s="81">
        <v>3</v>
      </c>
      <c r="N34" s="82">
        <f t="shared" si="85"/>
        <v>2.3772060604175609E-3</v>
      </c>
      <c r="O34" s="82">
        <f t="shared" si="86"/>
        <v>2E-3</v>
      </c>
      <c r="P34" s="82">
        <f t="shared" si="87"/>
        <v>0.999</v>
      </c>
      <c r="Q34" s="83" t="str">
        <f t="shared" si="88"/>
        <v>Ok</v>
      </c>
      <c r="R34" s="84">
        <f t="shared" si="89"/>
        <v>9.0820000000000007</v>
      </c>
      <c r="S34" s="131">
        <f t="shared" si="90"/>
        <v>1E-3</v>
      </c>
      <c r="T34" s="86">
        <v>3</v>
      </c>
      <c r="U34" s="77">
        <v>22</v>
      </c>
      <c r="V34" s="87" t="str">
        <f t="shared" si="91"/>
        <v>+</v>
      </c>
      <c r="W34" s="86">
        <v>2</v>
      </c>
      <c r="X34" s="77">
        <v>22</v>
      </c>
      <c r="Y34" s="88">
        <f t="shared" si="127"/>
        <v>19.006635554218249</v>
      </c>
      <c r="Z34" s="89" t="str">
        <f t="shared" si="92"/>
        <v>Ok</v>
      </c>
      <c r="AA34" s="80">
        <f t="shared" si="93"/>
        <v>21.615389453816825</v>
      </c>
      <c r="AB34" s="80">
        <f t="shared" si="94"/>
        <v>710.10968803396452</v>
      </c>
      <c r="AC34" s="89" t="str">
        <f t="shared" si="95"/>
        <v>Ok</v>
      </c>
      <c r="AD34" s="85">
        <f t="shared" si="96"/>
        <v>1.9006635554218248E-3</v>
      </c>
      <c r="AE34" s="85">
        <f t="shared" si="5"/>
        <v>1.9281988961466403E-2</v>
      </c>
      <c r="AF34" s="60" t="str">
        <f t="shared" si="97"/>
        <v>Ok</v>
      </c>
      <c r="AG34" s="77">
        <v>10</v>
      </c>
      <c r="AH34" s="76">
        <v>2</v>
      </c>
      <c r="AI34" s="76">
        <v>150</v>
      </c>
      <c r="AJ34" s="60">
        <f t="shared" si="98"/>
        <v>10.466666666666667</v>
      </c>
      <c r="AK34" s="60" t="str">
        <f t="shared" si="99"/>
        <v>OK</v>
      </c>
      <c r="AL34" s="109">
        <f t="shared" si="100"/>
        <v>300</v>
      </c>
      <c r="AM34" s="175">
        <f t="shared" si="17"/>
        <v>2.0927808361834672</v>
      </c>
      <c r="AT34" s="133" t="str">
        <f t="shared" si="101"/>
        <v>no need</v>
      </c>
      <c r="AU34" s="27"/>
      <c r="AV34" s="61">
        <f t="shared" si="102"/>
        <v>4631.82</v>
      </c>
      <c r="AW34" s="61" t="str">
        <f t="shared" si="103"/>
        <v>OK</v>
      </c>
      <c r="AX34" s="63">
        <f t="shared" si="104"/>
        <v>49923.754000000008</v>
      </c>
      <c r="AY34" s="63">
        <f t="shared" si="105"/>
        <v>300</v>
      </c>
      <c r="AZ34" s="63">
        <f t="shared" si="106"/>
        <v>109.21739130434783</v>
      </c>
      <c r="BA34" s="63">
        <f t="shared" si="107"/>
        <v>287.5</v>
      </c>
      <c r="BB34" s="63">
        <f t="shared" si="108"/>
        <v>314</v>
      </c>
      <c r="BC34" s="63" t="str">
        <f t="shared" si="109"/>
        <v>OK</v>
      </c>
      <c r="BD34" s="63">
        <f t="shared" si="110"/>
        <v>2457.9927158319251</v>
      </c>
      <c r="BE34" s="63">
        <f t="shared" si="111"/>
        <v>2824.9560999999999</v>
      </c>
      <c r="BF34" s="63">
        <f t="shared" si="112"/>
        <v>1780.5260999999998</v>
      </c>
      <c r="BG34" s="63">
        <f t="shared" si="113"/>
        <v>1447.1432114460458</v>
      </c>
      <c r="BH34" s="63">
        <f t="shared" si="114"/>
        <v>949.97720000000004</v>
      </c>
      <c r="BI34" s="63">
        <f t="shared" si="115"/>
        <v>949.97720000000004</v>
      </c>
      <c r="BJ34" s="63">
        <f t="shared" si="116"/>
        <v>949.97720000000004</v>
      </c>
      <c r="BK34" s="63" t="str">
        <f t="shared" si="117"/>
        <v>OK</v>
      </c>
      <c r="BL34" s="63">
        <f t="shared" si="118"/>
        <v>544.91999999999996</v>
      </c>
      <c r="BM34" s="63">
        <f t="shared" si="119"/>
        <v>908.2</v>
      </c>
      <c r="BN34" s="63">
        <f t="shared" si="120"/>
        <v>1816.4</v>
      </c>
      <c r="BO34" s="63">
        <f t="shared" si="121"/>
        <v>2724.6000000000004</v>
      </c>
      <c r="BP34" s="63">
        <f t="shared" si="122"/>
        <v>522.21500000000003</v>
      </c>
      <c r="BQ34" s="63">
        <f t="shared" si="123"/>
        <v>786.17553750000002</v>
      </c>
      <c r="BR34" s="63" t="str">
        <f t="shared" si="124"/>
        <v>OK</v>
      </c>
      <c r="BW34" s="70">
        <f t="shared" si="125"/>
        <v>1700.0000000000002</v>
      </c>
    </row>
    <row r="35" spans="4:104" ht="12.75" customHeight="1">
      <c r="D35" s="182" t="s">
        <v>326</v>
      </c>
      <c r="E35" s="185" t="s">
        <v>335</v>
      </c>
      <c r="F35" s="155" t="s">
        <v>327</v>
      </c>
      <c r="G35" s="156">
        <v>1000</v>
      </c>
      <c r="H35" s="156">
        <v>1000</v>
      </c>
      <c r="I35" s="157">
        <v>75</v>
      </c>
      <c r="J35" s="158">
        <f t="shared" si="84"/>
        <v>925</v>
      </c>
      <c r="K35" s="159">
        <v>0</v>
      </c>
      <c r="L35" s="159">
        <v>331</v>
      </c>
      <c r="M35" s="159">
        <v>2</v>
      </c>
      <c r="N35" s="160">
        <f t="shared" si="85"/>
        <v>0</v>
      </c>
      <c r="O35" s="160">
        <f t="shared" si="86"/>
        <v>0</v>
      </c>
      <c r="P35" s="160">
        <f t="shared" si="87"/>
        <v>1</v>
      </c>
      <c r="Q35" s="161" t="str">
        <f t="shared" si="88"/>
        <v>Ok</v>
      </c>
      <c r="R35" s="162">
        <f t="shared" si="89"/>
        <v>9.25</v>
      </c>
      <c r="S35" s="163">
        <f t="shared" si="90"/>
        <v>1E-3</v>
      </c>
      <c r="T35" s="164">
        <v>3</v>
      </c>
      <c r="U35" s="165">
        <v>22</v>
      </c>
      <c r="V35" s="166" t="str">
        <f t="shared" si="91"/>
        <v>+</v>
      </c>
      <c r="W35" s="164">
        <v>2</v>
      </c>
      <c r="X35" s="165">
        <v>22</v>
      </c>
      <c r="Y35" s="167">
        <v>15.7</v>
      </c>
      <c r="Z35" s="168" t="str">
        <f t="shared" si="92"/>
        <v>Ok</v>
      </c>
      <c r="AA35" s="158">
        <f t="shared" si="93"/>
        <v>12.214170721235535</v>
      </c>
      <c r="AB35" s="158">
        <f t="shared" si="94"/>
        <v>593.38198825960035</v>
      </c>
      <c r="AC35" s="168" t="str">
        <f t="shared" si="95"/>
        <v>Ok</v>
      </c>
      <c r="AD35" s="169">
        <f t="shared" si="96"/>
        <v>1.57E-3</v>
      </c>
      <c r="AE35" s="169">
        <f t="shared" si="5"/>
        <v>1.9281988961466403E-2</v>
      </c>
      <c r="AF35" s="170" t="str">
        <f t="shared" si="97"/>
        <v>Ok</v>
      </c>
      <c r="AG35" s="165">
        <v>12</v>
      </c>
      <c r="AH35" s="171">
        <v>3</v>
      </c>
      <c r="AI35" s="171">
        <v>200</v>
      </c>
      <c r="AJ35" s="170">
        <f t="shared" si="98"/>
        <v>11.304000000000002</v>
      </c>
      <c r="AK35" s="170" t="str">
        <f t="shared" si="99"/>
        <v>OK</v>
      </c>
      <c r="AL35" s="109">
        <f t="shared" si="100"/>
        <v>300</v>
      </c>
      <c r="AM35" s="175">
        <f t="shared" si="17"/>
        <v>1.6972972972972973</v>
      </c>
      <c r="AT35" s="133" t="str">
        <f t="shared" si="101"/>
        <v>no need</v>
      </c>
      <c r="AU35" s="27"/>
      <c r="AV35" s="61">
        <f t="shared" si="102"/>
        <v>4717.5</v>
      </c>
      <c r="AW35" s="61" t="str">
        <f t="shared" si="103"/>
        <v>OK</v>
      </c>
      <c r="AX35" s="63">
        <f t="shared" si="104"/>
        <v>2972.7152567975832</v>
      </c>
      <c r="AY35" s="63">
        <f t="shared" si="105"/>
        <v>300</v>
      </c>
      <c r="AZ35" s="63">
        <f t="shared" si="106"/>
        <v>117.95478260869568</v>
      </c>
      <c r="BA35" s="63">
        <f t="shared" si="107"/>
        <v>287.5</v>
      </c>
      <c r="BB35" s="63">
        <f t="shared" si="108"/>
        <v>508.68</v>
      </c>
      <c r="BC35" s="63" t="str">
        <f t="shared" si="109"/>
        <v>OK</v>
      </c>
      <c r="BD35" s="63">
        <f t="shared" si="110"/>
        <v>1966.904706087133</v>
      </c>
      <c r="BE35" s="63">
        <f t="shared" si="111"/>
        <v>3012.2717499999999</v>
      </c>
      <c r="BF35" s="63">
        <f t="shared" si="112"/>
        <v>1948.5217499999999</v>
      </c>
      <c r="BG35" s="63">
        <f t="shared" si="113"/>
        <v>1875.9845360482554</v>
      </c>
      <c r="BH35" s="63">
        <f t="shared" si="114"/>
        <v>1237.6685</v>
      </c>
      <c r="BI35" s="63">
        <f t="shared" si="115"/>
        <v>1237.6685</v>
      </c>
      <c r="BJ35" s="63">
        <f t="shared" si="116"/>
        <v>1237.6685</v>
      </c>
      <c r="BK35" s="63" t="str">
        <f t="shared" si="117"/>
        <v>OK</v>
      </c>
      <c r="BL35" s="63">
        <f t="shared" si="118"/>
        <v>555</v>
      </c>
      <c r="BM35" s="63">
        <f t="shared" si="119"/>
        <v>925</v>
      </c>
      <c r="BN35" s="63">
        <f t="shared" si="120"/>
        <v>1850</v>
      </c>
      <c r="BO35" s="63">
        <f t="shared" si="121"/>
        <v>2775</v>
      </c>
      <c r="BP35" s="63">
        <f t="shared" si="122"/>
        <v>531.875</v>
      </c>
      <c r="BQ35" s="63">
        <f t="shared" si="123"/>
        <v>805.29838064485068</v>
      </c>
      <c r="BR35" s="63" t="str">
        <f t="shared" si="124"/>
        <v>OK</v>
      </c>
      <c r="BW35" s="70">
        <f t="shared" si="125"/>
        <v>1700.0000000000002</v>
      </c>
    </row>
    <row r="36" spans="4:104" ht="14.25" customHeight="1">
      <c r="D36" s="183"/>
      <c r="E36" s="183"/>
      <c r="F36" s="172" t="s">
        <v>328</v>
      </c>
      <c r="G36" s="156">
        <v>1000</v>
      </c>
      <c r="H36" s="156">
        <v>1000</v>
      </c>
      <c r="I36" s="157">
        <v>75</v>
      </c>
      <c r="J36" s="158">
        <f t="shared" si="84"/>
        <v>925</v>
      </c>
      <c r="K36" s="159">
        <v>-193.5</v>
      </c>
      <c r="L36" s="159">
        <v>331</v>
      </c>
      <c r="M36" s="159">
        <v>5</v>
      </c>
      <c r="N36" s="160">
        <f t="shared" si="85"/>
        <v>1.4781076784256435E-2</v>
      </c>
      <c r="O36" s="160">
        <f t="shared" si="86"/>
        <v>1.4999999999999999E-2</v>
      </c>
      <c r="P36" s="160">
        <f t="shared" si="87"/>
        <v>0.99250000000000005</v>
      </c>
      <c r="Q36" s="161" t="str">
        <f t="shared" si="88"/>
        <v>Ok</v>
      </c>
      <c r="R36" s="162">
        <f t="shared" si="89"/>
        <v>9.25</v>
      </c>
      <c r="S36" s="163">
        <f t="shared" si="90"/>
        <v>1E-3</v>
      </c>
      <c r="T36" s="164">
        <v>3</v>
      </c>
      <c r="U36" s="165">
        <v>22</v>
      </c>
      <c r="V36" s="166" t="str">
        <f t="shared" si="91"/>
        <v>+</v>
      </c>
      <c r="W36" s="164">
        <v>0</v>
      </c>
      <c r="X36" s="165">
        <v>25</v>
      </c>
      <c r="Y36" s="167">
        <v>31.4</v>
      </c>
      <c r="Z36" s="168" t="str">
        <f t="shared" si="92"/>
        <v>Ok</v>
      </c>
      <c r="AA36" s="158">
        <f t="shared" si="93"/>
        <v>56.85142562319632</v>
      </c>
      <c r="AB36" s="158">
        <f t="shared" si="94"/>
        <v>1193.1925341900719</v>
      </c>
      <c r="AC36" s="168" t="str">
        <f t="shared" si="95"/>
        <v>Ok</v>
      </c>
      <c r="AD36" s="169">
        <f t="shared" si="96"/>
        <v>3.14E-3</v>
      </c>
      <c r="AE36" s="169">
        <f t="shared" si="5"/>
        <v>1.9281988961466403E-2</v>
      </c>
      <c r="AF36" s="170" t="str">
        <f t="shared" si="97"/>
        <v>Ok</v>
      </c>
      <c r="AG36" s="165">
        <v>12</v>
      </c>
      <c r="AH36" s="171">
        <v>3</v>
      </c>
      <c r="AI36" s="171">
        <v>200</v>
      </c>
      <c r="AJ36" s="170">
        <f t="shared" si="98"/>
        <v>11.304000000000002</v>
      </c>
      <c r="AK36" s="170" t="str">
        <f t="shared" si="99"/>
        <v>OK</v>
      </c>
      <c r="AL36" s="109">
        <f t="shared" si="100"/>
        <v>300</v>
      </c>
      <c r="AM36" s="175">
        <f t="shared" si="17"/>
        <v>3.3945945945945946</v>
      </c>
      <c r="AT36" s="133" t="str">
        <f t="shared" si="101"/>
        <v>no need</v>
      </c>
      <c r="AU36" s="27"/>
      <c r="AV36" s="61">
        <f t="shared" si="102"/>
        <v>4717.5</v>
      </c>
      <c r="AW36" s="61" t="str">
        <f t="shared" si="103"/>
        <v>OK</v>
      </c>
      <c r="AX36" s="63">
        <f t="shared" si="104"/>
        <v>2972.7152567975832</v>
      </c>
      <c r="AY36" s="63">
        <f t="shared" si="105"/>
        <v>300</v>
      </c>
      <c r="AZ36" s="63">
        <f t="shared" si="106"/>
        <v>117.95478260869568</v>
      </c>
      <c r="BA36" s="63">
        <f t="shared" si="107"/>
        <v>287.5</v>
      </c>
      <c r="BB36" s="63">
        <f t="shared" si="108"/>
        <v>508.68</v>
      </c>
      <c r="BC36" s="63" t="str">
        <f t="shared" si="109"/>
        <v>OK</v>
      </c>
      <c r="BD36" s="63">
        <f t="shared" si="110"/>
        <v>1966.904706087133</v>
      </c>
      <c r="BE36" s="63">
        <f t="shared" si="111"/>
        <v>3012.2717499999999</v>
      </c>
      <c r="BF36" s="63">
        <f t="shared" si="112"/>
        <v>1948.5217499999999</v>
      </c>
      <c r="BG36" s="63">
        <f t="shared" si="113"/>
        <v>1875.9845360482554</v>
      </c>
      <c r="BH36" s="63">
        <f t="shared" si="114"/>
        <v>1237.6685</v>
      </c>
      <c r="BI36" s="63">
        <f t="shared" si="115"/>
        <v>1237.6685</v>
      </c>
      <c r="BJ36" s="63">
        <f t="shared" si="116"/>
        <v>1237.6685</v>
      </c>
      <c r="BK36" s="63" t="str">
        <f t="shared" si="117"/>
        <v>OK</v>
      </c>
      <c r="BL36" s="63">
        <f t="shared" si="118"/>
        <v>555</v>
      </c>
      <c r="BM36" s="63">
        <f t="shared" si="119"/>
        <v>925</v>
      </c>
      <c r="BN36" s="63">
        <f t="shared" si="120"/>
        <v>1850</v>
      </c>
      <c r="BO36" s="63">
        <f t="shared" si="121"/>
        <v>2775</v>
      </c>
      <c r="BP36" s="63">
        <f t="shared" si="122"/>
        <v>531.875</v>
      </c>
      <c r="BQ36" s="63">
        <f t="shared" si="123"/>
        <v>786.17553750000002</v>
      </c>
      <c r="BR36" s="63" t="str">
        <f t="shared" si="124"/>
        <v>OK</v>
      </c>
      <c r="BW36" s="70">
        <f t="shared" si="125"/>
        <v>1700.0000000000002</v>
      </c>
    </row>
    <row r="37" spans="4:104" ht="11.25" hidden="1" customHeight="1">
      <c r="D37" s="184"/>
      <c r="E37" s="184"/>
      <c r="F37" s="155" t="s">
        <v>15</v>
      </c>
      <c r="G37" s="156">
        <v>1000</v>
      </c>
      <c r="H37" s="156">
        <v>1000</v>
      </c>
      <c r="I37" s="157">
        <f t="shared" si="126"/>
        <v>91.8</v>
      </c>
      <c r="J37" s="158">
        <f t="shared" si="84"/>
        <v>908.2</v>
      </c>
      <c r="K37" s="159">
        <v>-30</v>
      </c>
      <c r="L37" s="159">
        <v>19</v>
      </c>
      <c r="M37" s="159">
        <v>3</v>
      </c>
      <c r="N37" s="160">
        <f t="shared" si="85"/>
        <v>2.3772060604175609E-3</v>
      </c>
      <c r="O37" s="160">
        <f t="shared" si="86"/>
        <v>2E-3</v>
      </c>
      <c r="P37" s="160">
        <f t="shared" si="87"/>
        <v>0.999</v>
      </c>
      <c r="Q37" s="161" t="str">
        <f t="shared" si="88"/>
        <v>Ok</v>
      </c>
      <c r="R37" s="162">
        <f t="shared" si="89"/>
        <v>9.0820000000000007</v>
      </c>
      <c r="S37" s="163">
        <f t="shared" si="90"/>
        <v>1E-3</v>
      </c>
      <c r="T37" s="164">
        <v>3</v>
      </c>
      <c r="U37" s="165">
        <v>22</v>
      </c>
      <c r="V37" s="166" t="str">
        <f t="shared" si="91"/>
        <v>+</v>
      </c>
      <c r="W37" s="164">
        <v>2</v>
      </c>
      <c r="X37" s="165">
        <v>22</v>
      </c>
      <c r="Y37" s="167">
        <f t="shared" si="127"/>
        <v>19.006635554218249</v>
      </c>
      <c r="Z37" s="168" t="str">
        <f t="shared" si="92"/>
        <v>Ok</v>
      </c>
      <c r="AA37" s="158">
        <f t="shared" si="93"/>
        <v>21.615389453816825</v>
      </c>
      <c r="AB37" s="158">
        <f t="shared" si="94"/>
        <v>704.44028017150629</v>
      </c>
      <c r="AC37" s="168" t="str">
        <f t="shared" si="95"/>
        <v>Ok</v>
      </c>
      <c r="AD37" s="169">
        <f t="shared" si="96"/>
        <v>1.9006635554218248E-3</v>
      </c>
      <c r="AE37" s="169">
        <f t="shared" si="5"/>
        <v>1.9281988961466403E-2</v>
      </c>
      <c r="AF37" s="170" t="str">
        <f t="shared" si="97"/>
        <v>Ok</v>
      </c>
      <c r="AG37" s="165">
        <v>10</v>
      </c>
      <c r="AH37" s="171">
        <v>2</v>
      </c>
      <c r="AI37" s="171">
        <v>150</v>
      </c>
      <c r="AJ37" s="170">
        <f t="shared" si="98"/>
        <v>10.466666666666667</v>
      </c>
      <c r="AK37" s="170" t="str">
        <f t="shared" si="99"/>
        <v>OK</v>
      </c>
      <c r="AL37" s="109">
        <f t="shared" si="100"/>
        <v>300</v>
      </c>
      <c r="AT37" s="133" t="str">
        <f t="shared" si="101"/>
        <v>no need</v>
      </c>
      <c r="AU37" s="27"/>
      <c r="AV37" s="61">
        <f t="shared" si="102"/>
        <v>4631.82</v>
      </c>
      <c r="AW37" s="61" t="str">
        <f t="shared" si="103"/>
        <v>OK</v>
      </c>
      <c r="AX37" s="63">
        <f t="shared" si="104"/>
        <v>49923.754000000008</v>
      </c>
      <c r="AY37" s="63">
        <f t="shared" si="105"/>
        <v>300</v>
      </c>
      <c r="AZ37" s="63">
        <f t="shared" si="106"/>
        <v>109.21739130434783</v>
      </c>
      <c r="BA37" s="63">
        <f t="shared" si="107"/>
        <v>287.5</v>
      </c>
      <c r="BB37" s="63">
        <f t="shared" si="108"/>
        <v>314</v>
      </c>
      <c r="BC37" s="63" t="str">
        <f t="shared" si="109"/>
        <v>OK</v>
      </c>
      <c r="BD37" s="63">
        <f t="shared" si="110"/>
        <v>2457.9927158319251</v>
      </c>
      <c r="BE37" s="63">
        <f t="shared" si="111"/>
        <v>2824.9560999999999</v>
      </c>
      <c r="BF37" s="63">
        <f t="shared" si="112"/>
        <v>1780.5260999999998</v>
      </c>
      <c r="BG37" s="63">
        <f t="shared" si="113"/>
        <v>1447.1432114460458</v>
      </c>
      <c r="BH37" s="63">
        <f t="shared" si="114"/>
        <v>949.97720000000004</v>
      </c>
      <c r="BI37" s="63">
        <f t="shared" si="115"/>
        <v>949.97720000000004</v>
      </c>
      <c r="BJ37" s="63">
        <f t="shared" si="116"/>
        <v>949.97720000000004</v>
      </c>
      <c r="BK37" s="63" t="str">
        <f t="shared" si="117"/>
        <v>OK</v>
      </c>
      <c r="BL37" s="63">
        <f t="shared" si="118"/>
        <v>544.91999999999996</v>
      </c>
      <c r="BM37" s="63">
        <f t="shared" si="119"/>
        <v>908.2</v>
      </c>
      <c r="BN37" s="63">
        <f t="shared" si="120"/>
        <v>1816.4</v>
      </c>
      <c r="BO37" s="63">
        <f t="shared" si="121"/>
        <v>2724.6000000000004</v>
      </c>
      <c r="BP37" s="63">
        <f t="shared" si="122"/>
        <v>522.21500000000003</v>
      </c>
      <c r="BQ37" s="63">
        <f t="shared" si="123"/>
        <v>1354.7314125</v>
      </c>
      <c r="BR37" s="63" t="str">
        <f t="shared" si="124"/>
        <v>OK</v>
      </c>
      <c r="BW37" s="70">
        <f t="shared" si="125"/>
        <v>1700.0000000000002</v>
      </c>
    </row>
    <row r="38" spans="4:104" ht="12" customHeight="1">
      <c r="D38" s="176" t="s">
        <v>177</v>
      </c>
      <c r="E38" s="176" t="s">
        <v>225</v>
      </c>
      <c r="F38" s="67" t="s">
        <v>15</v>
      </c>
      <c r="G38" s="78">
        <v>220</v>
      </c>
      <c r="H38" s="78">
        <v>450</v>
      </c>
      <c r="I38" s="79">
        <f t="shared" si="74"/>
        <v>86.428571428571431</v>
      </c>
      <c r="J38" s="80">
        <f t="shared" ref="J38:J43" si="128">H38-I38</f>
        <v>363.57142857142856</v>
      </c>
      <c r="K38" s="81">
        <v>-3</v>
      </c>
      <c r="L38" s="81">
        <v>84</v>
      </c>
      <c r="M38" s="81">
        <v>84</v>
      </c>
      <c r="N38" s="82">
        <f t="shared" si="0"/>
        <v>6.7426039362592487E-3</v>
      </c>
      <c r="O38" s="82">
        <f t="shared" ref="O38:O43" si="129">ROUND(1-SQRT(1-2*N38),3)</f>
        <v>7.0000000000000001E-3</v>
      </c>
      <c r="P38" s="82">
        <f t="shared" ref="P38:P43" si="130">1-0.5*O38</f>
        <v>0.99650000000000005</v>
      </c>
      <c r="Q38" s="83" t="str">
        <f t="shared" si="1"/>
        <v>Ok</v>
      </c>
      <c r="R38" s="84">
        <f t="shared" si="2"/>
        <v>0.79985714285714282</v>
      </c>
      <c r="S38" s="131">
        <f t="shared" si="14"/>
        <v>1E-3</v>
      </c>
      <c r="T38" s="86">
        <v>3</v>
      </c>
      <c r="U38" s="77">
        <v>22</v>
      </c>
      <c r="V38" s="87" t="str">
        <f t="shared" ref="V38:V95" si="131">IF(X38="","","+")</f>
        <v>+</v>
      </c>
      <c r="W38" s="86">
        <v>2</v>
      </c>
      <c r="X38" s="77">
        <v>18</v>
      </c>
      <c r="Y38" s="88">
        <f t="shared" ref="Y38:Y43" si="132">(T38*PI()*U38^2/4+W38*PI()*X38^2/4)/100</f>
        <v>16.493361431346415</v>
      </c>
      <c r="Z38" s="89" t="str">
        <f t="shared" ref="Z38:Z95" si="133">IF(Y38&gt;R38,"Ok","Not Ok")</f>
        <v>Ok</v>
      </c>
      <c r="AA38" s="80">
        <f t="shared" si="81"/>
        <v>114.49173226852642</v>
      </c>
      <c r="AB38" s="80">
        <f t="shared" ref="AB38:AB43" si="134">($J$11*$H$4*G38*AA38*(J38-0.5*AA38)+$H$6*(T39*PI()*U39^2/4)*(J38-I39))*10^-6</f>
        <v>215.873375549619</v>
      </c>
      <c r="AC38" s="89" t="str">
        <f t="shared" si="83"/>
        <v>Ok</v>
      </c>
      <c r="AD38" s="85">
        <f t="shared" ref="AD38:AD43" si="135">(Y38*100)/(G38*H38)</f>
        <v>1.6659961041764055E-2</v>
      </c>
      <c r="AE38" s="85">
        <f t="shared" si="5"/>
        <v>1.9281988961466403E-2</v>
      </c>
      <c r="AF38" s="60" t="str">
        <f t="shared" ref="AF38:AF43" si="136">IF(AND(AD38&gt;0.1%,AD38&lt;AE38),"Ok","No-Ok")</f>
        <v>Ok</v>
      </c>
      <c r="AG38" s="77">
        <v>12</v>
      </c>
      <c r="AH38" s="76">
        <v>3</v>
      </c>
      <c r="AI38" s="76">
        <v>100</v>
      </c>
      <c r="AJ38" s="60">
        <f t="shared" si="6"/>
        <v>22.608000000000004</v>
      </c>
      <c r="AK38" s="60" t="str">
        <f t="shared" si="7"/>
        <v>OK</v>
      </c>
      <c r="AL38" s="109">
        <f t="shared" si="8"/>
        <v>300</v>
      </c>
      <c r="AT38" s="133" t="str">
        <f t="shared" si="9"/>
        <v>need</v>
      </c>
      <c r="AV38" s="61">
        <f t="shared" si="18"/>
        <v>407.92714285714283</v>
      </c>
      <c r="AW38" s="61" t="str">
        <f t="shared" si="19"/>
        <v>OK</v>
      </c>
      <c r="AX38" s="63">
        <f t="shared" si="20"/>
        <v>398.12617225461605</v>
      </c>
      <c r="AY38" s="63">
        <f t="shared" si="21"/>
        <v>181.78571428571428</v>
      </c>
      <c r="AZ38" s="63">
        <f t="shared" si="22"/>
        <v>1072.3162055335972</v>
      </c>
      <c r="BA38" s="63">
        <f t="shared" si="76"/>
        <v>63.249999999999993</v>
      </c>
      <c r="BB38" s="63">
        <f t="shared" si="77"/>
        <v>1017.36</v>
      </c>
      <c r="BC38" s="63" t="str">
        <f t="shared" si="78"/>
        <v>OK</v>
      </c>
      <c r="BD38" s="63">
        <f t="shared" si="23"/>
        <v>256.4057002636232</v>
      </c>
      <c r="BE38" s="63">
        <f t="shared" si="24"/>
        <v>507.37119999999999</v>
      </c>
      <c r="BF38" s="63">
        <f t="shared" si="25"/>
        <v>415.38762857142854</v>
      </c>
      <c r="BG38" s="63">
        <f t="shared" si="26"/>
        <v>415.38762857142854</v>
      </c>
      <c r="BH38" s="63">
        <f t="shared" si="27"/>
        <v>600.81632857142858</v>
      </c>
      <c r="BI38" s="63">
        <f t="shared" si="28"/>
        <v>600.81632857142858</v>
      </c>
      <c r="BJ38" s="63">
        <f t="shared" si="29"/>
        <v>415.38762857142854</v>
      </c>
      <c r="BK38" s="63" t="str">
        <f t="shared" si="30"/>
        <v>OK</v>
      </c>
      <c r="BL38" s="63">
        <f t="shared" si="31"/>
        <v>218.14285714285714</v>
      </c>
      <c r="BM38" s="63">
        <f t="shared" si="32"/>
        <v>363.57142857142856</v>
      </c>
      <c r="BN38" s="63">
        <f t="shared" si="33"/>
        <v>727.14285714285711</v>
      </c>
      <c r="BO38" s="63">
        <f t="shared" si="34"/>
        <v>1090.7142857142858</v>
      </c>
      <c r="BP38" s="63">
        <f t="shared" si="35"/>
        <v>45.991785714285712</v>
      </c>
      <c r="BQ38" s="63">
        <f t="shared" si="79"/>
        <v>805.29838064485068</v>
      </c>
      <c r="BR38" s="63" t="str">
        <f t="shared" si="80"/>
        <v>OK</v>
      </c>
      <c r="BW38" s="70">
        <f t="shared" si="10"/>
        <v>37.02600000000001</v>
      </c>
    </row>
    <row r="39" spans="4:104" ht="11.25" customHeight="1">
      <c r="D39" s="177"/>
      <c r="E39" s="177"/>
      <c r="F39" s="68" t="s">
        <v>16</v>
      </c>
      <c r="G39" s="78">
        <v>220</v>
      </c>
      <c r="H39" s="78">
        <v>450</v>
      </c>
      <c r="I39" s="79">
        <f t="shared" si="74"/>
        <v>69</v>
      </c>
      <c r="J39" s="80">
        <f t="shared" si="128"/>
        <v>381</v>
      </c>
      <c r="K39" s="81">
        <v>-115</v>
      </c>
      <c r="L39" s="81">
        <v>122</v>
      </c>
      <c r="M39" s="81">
        <v>122</v>
      </c>
      <c r="N39" s="82">
        <f t="shared" si="0"/>
        <v>0.23536060804213771</v>
      </c>
      <c r="O39" s="82">
        <f t="shared" si="129"/>
        <v>0.27200000000000002</v>
      </c>
      <c r="P39" s="82">
        <f t="shared" si="130"/>
        <v>0.86399999999999999</v>
      </c>
      <c r="Q39" s="83" t="str">
        <f t="shared" si="1"/>
        <v>Ok</v>
      </c>
      <c r="R39" s="84">
        <f t="shared" si="2"/>
        <v>8.0310044258516236</v>
      </c>
      <c r="S39" s="131">
        <f t="shared" si="14"/>
        <v>9.58125080631308E-3</v>
      </c>
      <c r="T39" s="86">
        <v>3</v>
      </c>
      <c r="U39" s="77">
        <v>18</v>
      </c>
      <c r="V39" s="87" t="str">
        <f t="shared" si="131"/>
        <v>+</v>
      </c>
      <c r="W39" s="86">
        <v>0</v>
      </c>
      <c r="X39" s="77">
        <v>0</v>
      </c>
      <c r="Y39" s="88">
        <f t="shared" si="132"/>
        <v>7.6340701482231976</v>
      </c>
      <c r="Z39" s="89" t="str">
        <f t="shared" si="133"/>
        <v>Not Ok</v>
      </c>
      <c r="AA39" s="80">
        <f t="shared" si="81"/>
        <v>-146.97165631633536</v>
      </c>
      <c r="AB39" s="80">
        <f t="shared" si="134"/>
        <v>22.735938326867043</v>
      </c>
      <c r="AC39" s="89" t="str">
        <f t="shared" si="83"/>
        <v>Not Ok</v>
      </c>
      <c r="AD39" s="85">
        <f t="shared" si="135"/>
        <v>7.7111819679022194E-3</v>
      </c>
      <c r="AE39" s="85">
        <f t="shared" si="5"/>
        <v>1.9281988961466403E-2</v>
      </c>
      <c r="AF39" s="60" t="str">
        <f t="shared" si="136"/>
        <v>Ok</v>
      </c>
      <c r="AG39" s="77">
        <v>12</v>
      </c>
      <c r="AH39" s="76">
        <v>3</v>
      </c>
      <c r="AI39" s="76">
        <v>100</v>
      </c>
      <c r="AJ39" s="60">
        <f t="shared" si="6"/>
        <v>22.608000000000004</v>
      </c>
      <c r="AK39" s="60" t="str">
        <f t="shared" si="7"/>
        <v>OK</v>
      </c>
      <c r="AL39" s="109">
        <f t="shared" si="8"/>
        <v>300</v>
      </c>
      <c r="AT39" s="133" t="str">
        <f t="shared" si="9"/>
        <v>need</v>
      </c>
      <c r="AV39" s="61">
        <f t="shared" si="18"/>
        <v>427.48200000000003</v>
      </c>
      <c r="AW39" s="61" t="str">
        <f t="shared" si="19"/>
        <v>OK</v>
      </c>
      <c r="AX39" s="63">
        <f t="shared" si="20"/>
        <v>301.03059836065569</v>
      </c>
      <c r="AY39" s="63">
        <f t="shared" si="21"/>
        <v>190.5</v>
      </c>
      <c r="AZ39" s="63">
        <f t="shared" si="22"/>
        <v>1072.3162055335972</v>
      </c>
      <c r="BA39" s="63">
        <f t="shared" si="76"/>
        <v>63.249999999999993</v>
      </c>
      <c r="BB39" s="63">
        <f t="shared" si="77"/>
        <v>1017.36</v>
      </c>
      <c r="BC39" s="63" t="str">
        <f t="shared" si="78"/>
        <v>OK</v>
      </c>
      <c r="BD39" s="63">
        <f t="shared" si="23"/>
        <v>268.69705406800909</v>
      </c>
      <c r="BE39" s="63">
        <f t="shared" si="24"/>
        <v>531.69312000000002</v>
      </c>
      <c r="BF39" s="63">
        <f t="shared" si="25"/>
        <v>435.30011999999999</v>
      </c>
      <c r="BG39" s="63">
        <f t="shared" si="26"/>
        <v>435.30011999999999</v>
      </c>
      <c r="BH39" s="63">
        <f t="shared" si="27"/>
        <v>629.61774000000003</v>
      </c>
      <c r="BI39" s="63">
        <f t="shared" si="28"/>
        <v>629.61774000000003</v>
      </c>
      <c r="BJ39" s="63">
        <f t="shared" si="29"/>
        <v>435.30011999999999</v>
      </c>
      <c r="BK39" s="63" t="str">
        <f t="shared" si="30"/>
        <v>OK</v>
      </c>
      <c r="BL39" s="63">
        <f t="shared" si="31"/>
        <v>228.6</v>
      </c>
      <c r="BM39" s="63">
        <f t="shared" si="32"/>
        <v>381</v>
      </c>
      <c r="BN39" s="63">
        <f t="shared" si="33"/>
        <v>762</v>
      </c>
      <c r="BO39" s="63">
        <f t="shared" si="34"/>
        <v>1143</v>
      </c>
      <c r="BP39" s="63">
        <f t="shared" si="35"/>
        <v>48.196499999999993</v>
      </c>
      <c r="BQ39" s="63">
        <f t="shared" si="79"/>
        <v>302.00301192169252</v>
      </c>
      <c r="BR39" s="63" t="str">
        <f t="shared" si="80"/>
        <v>OK</v>
      </c>
      <c r="BW39" s="70">
        <f t="shared" si="10"/>
        <v>37.02600000000001</v>
      </c>
    </row>
    <row r="40" spans="4:104" ht="11.25" customHeight="1">
      <c r="D40" s="178"/>
      <c r="E40" s="177"/>
      <c r="F40" s="67" t="s">
        <v>15</v>
      </c>
      <c r="G40" s="78">
        <v>220</v>
      </c>
      <c r="H40" s="78">
        <v>450</v>
      </c>
      <c r="I40" s="79">
        <f t="shared" si="74"/>
        <v>81.560625814863101</v>
      </c>
      <c r="J40" s="80">
        <f t="shared" si="128"/>
        <v>368.4393741851369</v>
      </c>
      <c r="K40" s="81">
        <v>-208</v>
      </c>
      <c r="L40" s="81">
        <v>140</v>
      </c>
      <c r="M40" s="81">
        <v>140</v>
      </c>
      <c r="N40" s="82">
        <f t="shared" si="0"/>
        <v>0.45521561542753508</v>
      </c>
      <c r="O40" s="82">
        <f t="shared" si="129"/>
        <v>0.70099999999999996</v>
      </c>
      <c r="P40" s="82">
        <f t="shared" si="130"/>
        <v>0.64949999999999997</v>
      </c>
      <c r="Q40" s="83" t="str">
        <f t="shared" si="1"/>
        <v>Not Ok</v>
      </c>
      <c r="R40" s="84">
        <f t="shared" si="2"/>
        <v>19.981536774330234</v>
      </c>
      <c r="S40" s="131">
        <f t="shared" si="14"/>
        <v>2.4651319462508866E-2</v>
      </c>
      <c r="T40" s="86">
        <v>5</v>
      </c>
      <c r="U40" s="77">
        <v>22</v>
      </c>
      <c r="V40" s="87" t="str">
        <f t="shared" si="131"/>
        <v>+</v>
      </c>
      <c r="W40" s="86">
        <v>2</v>
      </c>
      <c r="X40" s="77">
        <v>18</v>
      </c>
      <c r="Y40" s="88">
        <f t="shared" si="132"/>
        <v>24.096015653033714</v>
      </c>
      <c r="Z40" s="89" t="str">
        <f t="shared" si="133"/>
        <v>Ok</v>
      </c>
      <c r="AA40" s="80">
        <f t="shared" si="81"/>
        <v>65.771846196813044</v>
      </c>
      <c r="AB40" s="80">
        <f t="shared" si="134"/>
        <v>311.47561104395726</v>
      </c>
      <c r="AC40" s="89" t="str">
        <f t="shared" si="83"/>
        <v>Ok</v>
      </c>
      <c r="AD40" s="85">
        <f t="shared" si="135"/>
        <v>2.4339409750539106E-2</v>
      </c>
      <c r="AE40" s="85">
        <f t="shared" si="5"/>
        <v>1.9281988961466403E-2</v>
      </c>
      <c r="AF40" s="60" t="str">
        <f t="shared" si="136"/>
        <v>No-Ok</v>
      </c>
      <c r="AG40" s="77">
        <v>12</v>
      </c>
      <c r="AH40" s="76">
        <v>3</v>
      </c>
      <c r="AI40" s="76">
        <v>100</v>
      </c>
      <c r="AJ40" s="60">
        <f t="shared" si="6"/>
        <v>22.608000000000004</v>
      </c>
      <c r="AK40" s="60" t="str">
        <f t="shared" si="7"/>
        <v>OK</v>
      </c>
      <c r="AL40" s="109">
        <f t="shared" si="8"/>
        <v>300</v>
      </c>
      <c r="AT40" s="133" t="str">
        <f t="shared" si="9"/>
        <v>need</v>
      </c>
      <c r="AV40" s="61">
        <f t="shared" si="18"/>
        <v>413.38897783572361</v>
      </c>
      <c r="AW40" s="61" t="str">
        <f t="shared" si="19"/>
        <v>OK</v>
      </c>
      <c r="AX40" s="63">
        <f t="shared" si="20"/>
        <v>245.31525592738305</v>
      </c>
      <c r="AY40" s="63">
        <f t="shared" si="21"/>
        <v>184.21968709256845</v>
      </c>
      <c r="AZ40" s="63">
        <f t="shared" si="22"/>
        <v>1072.3162055335972</v>
      </c>
      <c r="BA40" s="63">
        <f t="shared" si="76"/>
        <v>63.249999999999993</v>
      </c>
      <c r="BB40" s="63">
        <f t="shared" si="77"/>
        <v>1017.36</v>
      </c>
      <c r="BC40" s="63" t="str">
        <f t="shared" si="78"/>
        <v>OK</v>
      </c>
      <c r="BD40" s="63">
        <f t="shared" si="23"/>
        <v>259.83877807403451</v>
      </c>
      <c r="BE40" s="63">
        <f t="shared" si="24"/>
        <v>514.16451546284225</v>
      </c>
      <c r="BF40" s="63">
        <f t="shared" si="25"/>
        <v>420.94935379400255</v>
      </c>
      <c r="BG40" s="63">
        <f t="shared" si="26"/>
        <v>420.94935379400255</v>
      </c>
      <c r="BH40" s="63">
        <f t="shared" si="27"/>
        <v>608.86080341590605</v>
      </c>
      <c r="BI40" s="63">
        <f t="shared" si="28"/>
        <v>608.86080341590605</v>
      </c>
      <c r="BJ40" s="63">
        <f t="shared" si="29"/>
        <v>420.94935379400255</v>
      </c>
      <c r="BK40" s="63" t="str">
        <f t="shared" si="30"/>
        <v>OK</v>
      </c>
      <c r="BL40" s="63">
        <f t="shared" si="31"/>
        <v>221.06362451108214</v>
      </c>
      <c r="BM40" s="63">
        <f t="shared" si="32"/>
        <v>368.4393741851369</v>
      </c>
      <c r="BN40" s="63">
        <f t="shared" si="33"/>
        <v>736.8787483702738</v>
      </c>
      <c r="BO40" s="63">
        <f t="shared" si="34"/>
        <v>1105.3181225554108</v>
      </c>
      <c r="BP40" s="63">
        <f t="shared" si="35"/>
        <v>46.607580834419814</v>
      </c>
      <c r="BQ40" s="63">
        <f t="shared" si="79"/>
        <v>187.71143292141943</v>
      </c>
      <c r="BR40" s="63" t="str">
        <f t="shared" si="80"/>
        <v>OK</v>
      </c>
      <c r="BW40" s="70">
        <f t="shared" si="10"/>
        <v>37.02600000000001</v>
      </c>
    </row>
    <row r="41" spans="4:104" ht="10.5" customHeight="1">
      <c r="D41" s="179" t="s">
        <v>226</v>
      </c>
      <c r="E41" s="177"/>
      <c r="F41" s="91" t="s">
        <v>15</v>
      </c>
      <c r="G41" s="78">
        <v>220</v>
      </c>
      <c r="H41" s="78">
        <v>450</v>
      </c>
      <c r="I41" s="92">
        <f t="shared" si="74"/>
        <v>81.560625814863101</v>
      </c>
      <c r="J41" s="93">
        <f t="shared" si="128"/>
        <v>368.4393741851369</v>
      </c>
      <c r="K41" s="94">
        <v>-413</v>
      </c>
      <c r="L41" s="94">
        <v>254</v>
      </c>
      <c r="M41" s="94">
        <v>254</v>
      </c>
      <c r="N41" s="95">
        <f t="shared" si="0"/>
        <v>0.90386562101717294</v>
      </c>
      <c r="O41" s="95" t="e">
        <f t="shared" si="129"/>
        <v>#NUM!</v>
      </c>
      <c r="P41" s="95" t="e">
        <f t="shared" si="130"/>
        <v>#NUM!</v>
      </c>
      <c r="Q41" s="96" t="e">
        <f t="shared" si="1"/>
        <v>#NUM!</v>
      </c>
      <c r="R41" s="97" t="e">
        <f t="shared" si="2"/>
        <v>#NUM!</v>
      </c>
      <c r="S41" s="132" t="e">
        <f t="shared" si="14"/>
        <v>#NUM!</v>
      </c>
      <c r="T41" s="99">
        <v>5</v>
      </c>
      <c r="U41" s="100">
        <v>22</v>
      </c>
      <c r="V41" s="101" t="str">
        <f t="shared" si="131"/>
        <v>+</v>
      </c>
      <c r="W41" s="99">
        <v>2</v>
      </c>
      <c r="X41" s="100">
        <v>18</v>
      </c>
      <c r="Y41" s="102">
        <f t="shared" si="132"/>
        <v>24.096015653033714</v>
      </c>
      <c r="Z41" s="103" t="e">
        <f t="shared" si="133"/>
        <v>#NUM!</v>
      </c>
      <c r="AA41" s="93">
        <f t="shared" si="81"/>
        <v>146.97165631633536</v>
      </c>
      <c r="AB41" s="93">
        <f t="shared" si="134"/>
        <v>304.05575370139906</v>
      </c>
      <c r="AC41" s="89" t="str">
        <f t="shared" si="83"/>
        <v>Not Ok</v>
      </c>
      <c r="AD41" s="98">
        <f t="shared" si="135"/>
        <v>2.4339409750539106E-2</v>
      </c>
      <c r="AE41" s="98">
        <f t="shared" si="5"/>
        <v>1.9281988961466403E-2</v>
      </c>
      <c r="AF41" s="104" t="str">
        <f t="shared" si="136"/>
        <v>No-Ok</v>
      </c>
      <c r="AG41" s="100">
        <v>8</v>
      </c>
      <c r="AH41" s="105">
        <v>3</v>
      </c>
      <c r="AI41" s="105">
        <v>100</v>
      </c>
      <c r="AJ41" s="104">
        <f t="shared" si="6"/>
        <v>10.048000000000002</v>
      </c>
      <c r="AK41" s="60" t="str">
        <f t="shared" si="7"/>
        <v>NOT OK</v>
      </c>
      <c r="AL41" s="109">
        <f t="shared" si="8"/>
        <v>210</v>
      </c>
      <c r="AT41" s="133" t="str">
        <f t="shared" si="9"/>
        <v>need</v>
      </c>
      <c r="AV41" s="61">
        <f t="shared" si="18"/>
        <v>413.38897783572361</v>
      </c>
      <c r="AW41" s="61" t="str">
        <f t="shared" si="19"/>
        <v>OK</v>
      </c>
      <c r="AX41" s="63">
        <f t="shared" si="20"/>
        <v>135.21313318832136</v>
      </c>
      <c r="AY41" s="63">
        <f t="shared" si="21"/>
        <v>184.21968709256845</v>
      </c>
      <c r="AZ41" s="63">
        <f t="shared" si="22"/>
        <v>333.60948616600797</v>
      </c>
      <c r="BA41" s="63">
        <f t="shared" si="76"/>
        <v>63.249999999999993</v>
      </c>
      <c r="BB41" s="63">
        <f t="shared" si="77"/>
        <v>316.512</v>
      </c>
      <c r="BC41" s="63" t="str">
        <f t="shared" si="78"/>
        <v>OK</v>
      </c>
      <c r="BD41" s="63">
        <f t="shared" si="23"/>
        <v>465.85011205286463</v>
      </c>
      <c r="BE41" s="63">
        <f t="shared" si="24"/>
        <v>320.49951657366364</v>
      </c>
      <c r="BF41" s="63">
        <f t="shared" si="25"/>
        <v>227.28435490482394</v>
      </c>
      <c r="BG41" s="63">
        <f t="shared" si="26"/>
        <v>336.78269640774243</v>
      </c>
      <c r="BH41" s="63">
        <f t="shared" si="27"/>
        <v>221.53080563754892</v>
      </c>
      <c r="BI41" s="63">
        <f t="shared" si="28"/>
        <v>221.53080563754892</v>
      </c>
      <c r="BJ41" s="63">
        <f t="shared" si="29"/>
        <v>221.53080563754892</v>
      </c>
      <c r="BK41" s="63" t="str">
        <f t="shared" si="30"/>
        <v>NOT OK</v>
      </c>
      <c r="BL41" s="63">
        <f t="shared" si="31"/>
        <v>221.06362451108214</v>
      </c>
      <c r="BM41" s="63">
        <f t="shared" si="32"/>
        <v>368.4393741851369</v>
      </c>
      <c r="BN41" s="63">
        <f t="shared" si="33"/>
        <v>736.8787483702738</v>
      </c>
      <c r="BO41" s="63">
        <f t="shared" si="34"/>
        <v>1105.3181225554108</v>
      </c>
      <c r="BP41" s="63">
        <f t="shared" si="35"/>
        <v>46.607580834419814</v>
      </c>
      <c r="BQ41" s="63">
        <f t="shared" si="79"/>
        <v>416.62267946776814</v>
      </c>
      <c r="BR41" s="63" t="str">
        <f t="shared" si="80"/>
        <v>OK</v>
      </c>
      <c r="BW41" s="70">
        <f t="shared" si="10"/>
        <v>37.02600000000001</v>
      </c>
    </row>
    <row r="42" spans="4:104" ht="12" customHeight="1">
      <c r="D42" s="180"/>
      <c r="E42" s="177"/>
      <c r="F42" s="106" t="s">
        <v>16</v>
      </c>
      <c r="G42" s="78">
        <v>220</v>
      </c>
      <c r="H42" s="78">
        <v>450</v>
      </c>
      <c r="I42" s="92">
        <f t="shared" si="74"/>
        <v>82.714285714285722</v>
      </c>
      <c r="J42" s="93">
        <f t="shared" si="128"/>
        <v>367.28571428571428</v>
      </c>
      <c r="K42" s="94">
        <v>214</v>
      </c>
      <c r="L42" s="94">
        <v>250</v>
      </c>
      <c r="M42" s="94">
        <v>250</v>
      </c>
      <c r="N42" s="95">
        <f t="shared" si="0"/>
        <v>0.47129365015503966</v>
      </c>
      <c r="O42" s="95">
        <f t="shared" si="129"/>
        <v>0.76</v>
      </c>
      <c r="P42" s="95">
        <f t="shared" si="130"/>
        <v>0.62</v>
      </c>
      <c r="Q42" s="96" t="str">
        <f t="shared" si="1"/>
        <v>Not Ok</v>
      </c>
      <c r="R42" s="97">
        <f t="shared" si="2"/>
        <v>21.603732455800682</v>
      </c>
      <c r="S42" s="132">
        <f t="shared" si="14"/>
        <v>2.6736347227927719E-2</v>
      </c>
      <c r="T42" s="99">
        <v>5</v>
      </c>
      <c r="U42" s="100">
        <v>18</v>
      </c>
      <c r="V42" s="101" t="str">
        <f t="shared" si="131"/>
        <v>+</v>
      </c>
      <c r="W42" s="99">
        <v>2</v>
      </c>
      <c r="X42" s="100">
        <v>18</v>
      </c>
      <c r="Y42" s="102">
        <f t="shared" si="132"/>
        <v>17.812830345854128</v>
      </c>
      <c r="Z42" s="103" t="str">
        <f t="shared" si="133"/>
        <v>Not Ok</v>
      </c>
      <c r="AA42" s="93">
        <f t="shared" si="81"/>
        <v>-15.427963922709271</v>
      </c>
      <c r="AB42" s="93">
        <f t="shared" si="134"/>
        <v>216.76032751151709</v>
      </c>
      <c r="AC42" s="89" t="str">
        <f t="shared" si="83"/>
        <v>Ok</v>
      </c>
      <c r="AD42" s="98">
        <f t="shared" si="135"/>
        <v>1.7992757925105178E-2</v>
      </c>
      <c r="AE42" s="98">
        <f t="shared" si="5"/>
        <v>1.9281988961466403E-2</v>
      </c>
      <c r="AF42" s="104" t="str">
        <f t="shared" si="136"/>
        <v>Ok</v>
      </c>
      <c r="AG42" s="100">
        <v>8</v>
      </c>
      <c r="AH42" s="105">
        <v>3</v>
      </c>
      <c r="AI42" s="105">
        <v>50</v>
      </c>
      <c r="AJ42" s="104">
        <f t="shared" si="6"/>
        <v>20.096000000000004</v>
      </c>
      <c r="AK42" s="60" t="str">
        <f t="shared" si="7"/>
        <v>OK</v>
      </c>
      <c r="AL42" s="109">
        <f t="shared" si="8"/>
        <v>210</v>
      </c>
      <c r="AT42" s="133" t="str">
        <f t="shared" si="9"/>
        <v>need</v>
      </c>
      <c r="AV42" s="61">
        <f t="shared" si="18"/>
        <v>412.09457142857144</v>
      </c>
      <c r="AW42" s="61" t="str">
        <f t="shared" si="19"/>
        <v>OK</v>
      </c>
      <c r="AX42" s="63">
        <f t="shared" si="20"/>
        <v>136.51758146938775</v>
      </c>
      <c r="AY42" s="63">
        <f t="shared" si="21"/>
        <v>183.64285714285714</v>
      </c>
      <c r="AZ42" s="63">
        <f t="shared" si="22"/>
        <v>667.21897233201594</v>
      </c>
      <c r="BA42" s="63">
        <f t="shared" si="76"/>
        <v>63.249999999999993</v>
      </c>
      <c r="BB42" s="63">
        <f t="shared" si="77"/>
        <v>633.024</v>
      </c>
      <c r="BC42" s="63" t="str">
        <f t="shared" si="78"/>
        <v>OK</v>
      </c>
      <c r="BD42" s="63">
        <f t="shared" si="23"/>
        <v>328.37433562906114</v>
      </c>
      <c r="BE42" s="63">
        <f t="shared" si="24"/>
        <v>406.68371828571429</v>
      </c>
      <c r="BF42" s="63">
        <f t="shared" si="25"/>
        <v>313.76043257142857</v>
      </c>
      <c r="BG42" s="63">
        <f t="shared" si="26"/>
        <v>313.76043257142857</v>
      </c>
      <c r="BH42" s="63">
        <f t="shared" si="27"/>
        <v>395.21265085714288</v>
      </c>
      <c r="BI42" s="63">
        <f t="shared" si="28"/>
        <v>395.21265085714288</v>
      </c>
      <c r="BJ42" s="63">
        <f t="shared" si="29"/>
        <v>313.76043257142857</v>
      </c>
      <c r="BK42" s="63" t="str">
        <f t="shared" si="30"/>
        <v>OK</v>
      </c>
      <c r="BL42" s="63">
        <f t="shared" si="31"/>
        <v>220.37142857142857</v>
      </c>
      <c r="BM42" s="63">
        <f t="shared" si="32"/>
        <v>367.28571428571428</v>
      </c>
      <c r="BN42" s="63">
        <f t="shared" si="33"/>
        <v>734.57142857142856</v>
      </c>
      <c r="BO42" s="63">
        <f t="shared" si="34"/>
        <v>1101.8571428571429</v>
      </c>
      <c r="BP42" s="63">
        <f t="shared" si="35"/>
        <v>46.461642857142849</v>
      </c>
      <c r="BQ42" s="63">
        <f t="shared" si="79"/>
        <v>369.05347213957202</v>
      </c>
      <c r="BR42" s="63" t="str">
        <f t="shared" si="80"/>
        <v>OK</v>
      </c>
      <c r="BW42" s="70">
        <f t="shared" si="10"/>
        <v>37.02600000000001</v>
      </c>
    </row>
    <row r="43" spans="4:104" ht="11.25" customHeight="1">
      <c r="D43" s="181"/>
      <c r="E43" s="177"/>
      <c r="F43" s="91" t="s">
        <v>15</v>
      </c>
      <c r="G43" s="78">
        <v>220</v>
      </c>
      <c r="H43" s="78">
        <v>450</v>
      </c>
      <c r="I43" s="92">
        <f t="shared" si="74"/>
        <v>81.560625814863101</v>
      </c>
      <c r="J43" s="93">
        <f t="shared" si="128"/>
        <v>368.4393741851369</v>
      </c>
      <c r="K43" s="94">
        <v>-351</v>
      </c>
      <c r="L43" s="94">
        <v>282</v>
      </c>
      <c r="M43" s="94">
        <v>282</v>
      </c>
      <c r="N43" s="95">
        <f t="shared" si="0"/>
        <v>0.76817635103396542</v>
      </c>
      <c r="O43" s="95" t="e">
        <f t="shared" si="129"/>
        <v>#NUM!</v>
      </c>
      <c r="P43" s="95" t="e">
        <f t="shared" si="130"/>
        <v>#NUM!</v>
      </c>
      <c r="Q43" s="96" t="e">
        <f t="shared" si="1"/>
        <v>#NUM!</v>
      </c>
      <c r="R43" s="97" t="e">
        <f t="shared" si="2"/>
        <v>#NUM!</v>
      </c>
      <c r="S43" s="132" t="e">
        <f t="shared" si="14"/>
        <v>#NUM!</v>
      </c>
      <c r="T43" s="99">
        <v>5</v>
      </c>
      <c r="U43" s="100">
        <v>22</v>
      </c>
      <c r="V43" s="101" t="str">
        <f t="shared" si="131"/>
        <v>+</v>
      </c>
      <c r="W43" s="99">
        <v>2</v>
      </c>
      <c r="X43" s="100">
        <v>18</v>
      </c>
      <c r="Y43" s="102">
        <f t="shared" si="132"/>
        <v>24.096015653033714</v>
      </c>
      <c r="Z43" s="103" t="e">
        <f t="shared" si="133"/>
        <v>#NUM!</v>
      </c>
      <c r="AA43" s="93">
        <f t="shared" si="81"/>
        <v>65.771846196813044</v>
      </c>
      <c r="AB43" s="93">
        <f t="shared" si="134"/>
        <v>311.47561104395726</v>
      </c>
      <c r="AC43" s="89" t="str">
        <f t="shared" si="83"/>
        <v>Not Ok</v>
      </c>
      <c r="AD43" s="98">
        <f t="shared" si="135"/>
        <v>2.4339409750539106E-2</v>
      </c>
      <c r="AE43" s="98">
        <f t="shared" si="5"/>
        <v>1.9281988961466403E-2</v>
      </c>
      <c r="AF43" s="104" t="str">
        <f t="shared" si="136"/>
        <v>No-Ok</v>
      </c>
      <c r="AG43" s="100">
        <v>8</v>
      </c>
      <c r="AH43" s="105">
        <v>3</v>
      </c>
      <c r="AI43" s="105">
        <v>100</v>
      </c>
      <c r="AJ43" s="104">
        <f t="shared" si="6"/>
        <v>10.048000000000002</v>
      </c>
      <c r="AK43" s="60" t="str">
        <f t="shared" si="7"/>
        <v>NOT OK</v>
      </c>
      <c r="AL43" s="109">
        <f t="shared" si="8"/>
        <v>210</v>
      </c>
      <c r="AT43" s="133" t="str">
        <f t="shared" si="9"/>
        <v>need</v>
      </c>
      <c r="AV43" s="61">
        <f t="shared" si="18"/>
        <v>413.38897783572361</v>
      </c>
      <c r="AW43" s="61" t="str">
        <f t="shared" si="19"/>
        <v>OK</v>
      </c>
      <c r="AX43" s="63">
        <f t="shared" si="20"/>
        <v>121.78771570862988</v>
      </c>
      <c r="AY43" s="63">
        <f t="shared" si="21"/>
        <v>184.21968709256845</v>
      </c>
      <c r="AZ43" s="63">
        <f t="shared" si="22"/>
        <v>333.60948616600797</v>
      </c>
      <c r="BA43" s="63">
        <f t="shared" si="76"/>
        <v>63.249999999999993</v>
      </c>
      <c r="BB43" s="63">
        <f t="shared" si="77"/>
        <v>316.512</v>
      </c>
      <c r="BC43" s="63" t="str">
        <f t="shared" si="78"/>
        <v>OK</v>
      </c>
      <c r="BD43" s="63">
        <f t="shared" si="23"/>
        <v>465.85011205286463</v>
      </c>
      <c r="BE43" s="63">
        <f t="shared" si="24"/>
        <v>320.49951657366364</v>
      </c>
      <c r="BF43" s="63">
        <f t="shared" si="25"/>
        <v>227.28435490482394</v>
      </c>
      <c r="BG43" s="63">
        <f t="shared" si="26"/>
        <v>336.78269640774243</v>
      </c>
      <c r="BH43" s="63">
        <f t="shared" si="27"/>
        <v>221.53080563754892</v>
      </c>
      <c r="BI43" s="63">
        <f t="shared" si="28"/>
        <v>221.53080563754892</v>
      </c>
      <c r="BJ43" s="63">
        <f t="shared" si="29"/>
        <v>221.53080563754892</v>
      </c>
      <c r="BK43" s="63" t="str">
        <f t="shared" si="30"/>
        <v>NOT OK</v>
      </c>
      <c r="BL43" s="63">
        <f t="shared" si="31"/>
        <v>221.06362451108214</v>
      </c>
      <c r="BM43" s="63">
        <f t="shared" si="32"/>
        <v>368.4393741851369</v>
      </c>
      <c r="BN43" s="63">
        <f t="shared" si="33"/>
        <v>736.8787483702738</v>
      </c>
      <c r="BO43" s="63">
        <f t="shared" si="34"/>
        <v>1105.3181225554108</v>
      </c>
      <c r="BP43" s="63">
        <f t="shared" si="35"/>
        <v>46.607580834419814</v>
      </c>
      <c r="BQ43" s="63">
        <f t="shared" si="79"/>
        <v>298.83197397533235</v>
      </c>
      <c r="BR43" s="63" t="str">
        <f t="shared" si="80"/>
        <v>OK</v>
      </c>
      <c r="BW43" s="70">
        <f t="shared" si="10"/>
        <v>37.02600000000001</v>
      </c>
    </row>
    <row r="44" spans="4:104" ht="12" customHeight="1">
      <c r="D44" s="176" t="s">
        <v>168</v>
      </c>
      <c r="E44" s="177"/>
      <c r="F44" s="67" t="s">
        <v>15</v>
      </c>
      <c r="G44" s="78">
        <v>220</v>
      </c>
      <c r="H44" s="78">
        <v>450</v>
      </c>
      <c r="I44" s="79">
        <f t="shared" si="74"/>
        <v>81.560625814863101</v>
      </c>
      <c r="J44" s="80">
        <f>H44-I44</f>
        <v>368.4393741851369</v>
      </c>
      <c r="K44" s="81">
        <v>-238</v>
      </c>
      <c r="L44" s="81">
        <v>103</v>
      </c>
      <c r="M44" s="81">
        <v>103</v>
      </c>
      <c r="N44" s="82">
        <f t="shared" si="0"/>
        <v>0.52087171380650643</v>
      </c>
      <c r="O44" s="82" t="e">
        <f>ROUND(1-SQRT(1-2*N44),3)</f>
        <v>#NUM!</v>
      </c>
      <c r="P44" s="82" t="e">
        <f>1-0.5*O44</f>
        <v>#NUM!</v>
      </c>
      <c r="Q44" s="83" t="e">
        <f t="shared" si="1"/>
        <v>#NUM!</v>
      </c>
      <c r="R44" s="84" t="e">
        <f t="shared" si="2"/>
        <v>#NUM!</v>
      </c>
      <c r="S44" s="131" t="e">
        <f t="shared" si="14"/>
        <v>#NUM!</v>
      </c>
      <c r="T44" s="86">
        <v>5</v>
      </c>
      <c r="U44" s="77">
        <v>22</v>
      </c>
      <c r="V44" s="87" t="str">
        <f t="shared" si="131"/>
        <v>+</v>
      </c>
      <c r="W44" s="86">
        <v>2</v>
      </c>
      <c r="X44" s="77">
        <v>18</v>
      </c>
      <c r="Y44" s="88">
        <f>(T44*PI()*U44^2/4+W44*PI()*X44^2/4)/100</f>
        <v>24.096015653033714</v>
      </c>
      <c r="Z44" s="89" t="e">
        <f t="shared" si="133"/>
        <v>#NUM!</v>
      </c>
      <c r="AA44" s="90">
        <f t="shared" si="81"/>
        <v>146.97165631633536</v>
      </c>
      <c r="AB44" s="80">
        <f>($J$11*$H$4*G44*ABS(AA44)*(J44-0.5*ABS(AA44))+$H$6*(T45*PI()*U45^2/4)*(J44-I45))*10^-6</f>
        <v>311.64620059163246</v>
      </c>
      <c r="AC44" s="89" t="str">
        <f t="shared" si="83"/>
        <v>Ok</v>
      </c>
      <c r="AD44" s="85">
        <f>(Y44*100)/(G44*H44)</f>
        <v>2.4339409750539106E-2</v>
      </c>
      <c r="AE44" s="85">
        <f t="shared" si="5"/>
        <v>1.9281988961466403E-2</v>
      </c>
      <c r="AF44" s="60" t="str">
        <f>IF(AND(AD44&gt;0.1%,AD44&lt;AE44),"Ok","No-Ok")</f>
        <v>No-Ok</v>
      </c>
      <c r="AG44" s="77">
        <v>8</v>
      </c>
      <c r="AH44" s="76">
        <v>3</v>
      </c>
      <c r="AI44" s="76">
        <v>100</v>
      </c>
      <c r="AJ44" s="60">
        <f t="shared" si="6"/>
        <v>10.048000000000002</v>
      </c>
      <c r="AK44" s="60" t="str">
        <f t="shared" si="7"/>
        <v>OK</v>
      </c>
      <c r="AL44" s="109">
        <f t="shared" si="8"/>
        <v>210</v>
      </c>
      <c r="AT44" s="133" t="str">
        <f t="shared" si="9"/>
        <v>need</v>
      </c>
      <c r="AV44" s="61">
        <f t="shared" si="18"/>
        <v>413.38897783572361</v>
      </c>
      <c r="AW44" s="61" t="str">
        <f t="shared" si="19"/>
        <v>OK</v>
      </c>
      <c r="AX44" s="63">
        <f t="shared" si="20"/>
        <v>333.43821194013231</v>
      </c>
      <c r="AY44" s="63">
        <f t="shared" si="21"/>
        <v>184.21968709256845</v>
      </c>
      <c r="AZ44" s="63">
        <f t="shared" si="22"/>
        <v>333.60948616600797</v>
      </c>
      <c r="BA44" s="63">
        <f t="shared" si="76"/>
        <v>63.249999999999993</v>
      </c>
      <c r="BB44" s="63">
        <f t="shared" si="77"/>
        <v>316.512</v>
      </c>
      <c r="BC44" s="63" t="str">
        <f t="shared" si="78"/>
        <v>OK</v>
      </c>
      <c r="BD44" s="63">
        <f t="shared" si="23"/>
        <v>465.85011205286463</v>
      </c>
      <c r="BE44" s="63">
        <f t="shared" si="24"/>
        <v>320.49951657366364</v>
      </c>
      <c r="BF44" s="63">
        <f t="shared" si="25"/>
        <v>227.28435490482394</v>
      </c>
      <c r="BG44" s="63">
        <f t="shared" si="26"/>
        <v>336.78269640774243</v>
      </c>
      <c r="BH44" s="63">
        <f t="shared" si="27"/>
        <v>221.53080563754892</v>
      </c>
      <c r="BI44" s="63">
        <f t="shared" si="28"/>
        <v>221.53080563754892</v>
      </c>
      <c r="BJ44" s="63">
        <f t="shared" si="29"/>
        <v>221.53080563754892</v>
      </c>
      <c r="BK44" s="63" t="str">
        <f t="shared" si="30"/>
        <v>OK</v>
      </c>
      <c r="BL44" s="63">
        <f t="shared" si="31"/>
        <v>221.06362451108214</v>
      </c>
      <c r="BM44" s="63">
        <f t="shared" si="32"/>
        <v>368.4393741851369</v>
      </c>
      <c r="BN44" s="63">
        <f t="shared" si="33"/>
        <v>736.8787483702738</v>
      </c>
      <c r="BO44" s="63">
        <f t="shared" si="34"/>
        <v>1105.3181225554108</v>
      </c>
      <c r="BP44" s="63">
        <f t="shared" si="35"/>
        <v>46.607580834419814</v>
      </c>
      <c r="BQ44" s="63">
        <f t="shared" si="79"/>
        <v>369.05347213957202</v>
      </c>
      <c r="BR44" s="63" t="str">
        <f t="shared" si="80"/>
        <v>OK</v>
      </c>
      <c r="BU44" s="70">
        <v>12</v>
      </c>
      <c r="BV44" s="70">
        <v>1</v>
      </c>
      <c r="BW44" s="70">
        <f t="shared" si="10"/>
        <v>37.02600000000001</v>
      </c>
      <c r="BX44" s="70" t="str">
        <f>IF(BW44&gt;AT44,"OK","NOT OK")</f>
        <v>NOT OK</v>
      </c>
      <c r="BY44" s="70">
        <f>G44</f>
        <v>220</v>
      </c>
      <c r="BZ44" s="70">
        <f>H44</f>
        <v>450</v>
      </c>
      <c r="CA44" s="70">
        <f>BY44/(2*BZ44+BY44)</f>
        <v>0.19642857142857142</v>
      </c>
      <c r="CB44" s="27">
        <f>O31*AJ44/10</f>
        <v>2.0096000000000003E-3</v>
      </c>
      <c r="CE44" s="71">
        <f>CB44*CA44*BY44*BZ44/1000000</f>
        <v>3.907954285714286E-5</v>
      </c>
      <c r="CF44" s="71"/>
      <c r="CG44" s="71"/>
      <c r="CH44" s="70">
        <f>T45*3.14*U45^2/4</f>
        <v>1271.7</v>
      </c>
      <c r="CI44" s="71">
        <f>0.5*$H$6*CH44*BZ44/1000000</f>
        <v>124.4676375</v>
      </c>
      <c r="CJ44" s="70" t="str">
        <f>IF((CI44+CE44)&gt;AT44,"OK","NOT OK")</f>
        <v>NOT OK</v>
      </c>
      <c r="CK44" s="27">
        <f>BZ44</f>
        <v>450</v>
      </c>
      <c r="CL44" s="27">
        <f>BY44</f>
        <v>220</v>
      </c>
      <c r="CM44" s="74">
        <f>CK44/(2*CL44+CK44)</f>
        <v>0.5056179775280899</v>
      </c>
      <c r="CN44" s="74"/>
      <c r="CO44" s="27">
        <f>O31*AJ44/10</f>
        <v>2.0096000000000003E-3</v>
      </c>
      <c r="CP44" s="74">
        <f>CO44*CM44*CK44*CL44/1000000</f>
        <v>1.005928988764045E-4</v>
      </c>
      <c r="CQ44" s="27">
        <f>3.14*U45^2/4+3.14*U44^2/4+BV44*3.14*BU44^2/4</f>
        <v>747.31999999999994</v>
      </c>
      <c r="CT44" s="71">
        <f>0.5*$H$6*CQ44*CL44/1000000</f>
        <v>35.759261999999993</v>
      </c>
      <c r="CU44" s="71"/>
      <c r="CV44" s="70" t="str">
        <f>IF((CT44+CP44)&gt;U44,"OK","NOT OK")</f>
        <v>OK</v>
      </c>
      <c r="CW44" s="74">
        <f>MIN((CP44+CT44),(CE44+CI44))</f>
        <v>35.759362592898867</v>
      </c>
      <c r="CX44" s="71">
        <f>AB44</f>
        <v>311.64620059163246</v>
      </c>
      <c r="CY44" s="71">
        <f>(BG44+BO44*J44)/1000</f>
        <v>407.57950004621375</v>
      </c>
      <c r="CZ44" s="62">
        <f>CW44*SQRT(1-(K44/CX44)^1)</f>
        <v>47.489813689438954</v>
      </c>
    </row>
    <row r="45" spans="4:104" ht="10.5" customHeight="1">
      <c r="D45" s="177"/>
      <c r="E45" s="177"/>
      <c r="F45" s="68" t="s">
        <v>16</v>
      </c>
      <c r="G45" s="78">
        <v>220</v>
      </c>
      <c r="H45" s="78">
        <v>450</v>
      </c>
      <c r="I45" s="79">
        <f t="shared" si="74"/>
        <v>69</v>
      </c>
      <c r="J45" s="80">
        <f t="shared" ref="J45:J55" si="137">H45-I45</f>
        <v>381</v>
      </c>
      <c r="K45" s="81">
        <v>145</v>
      </c>
      <c r="L45" s="81">
        <v>75</v>
      </c>
      <c r="M45" s="81">
        <v>75</v>
      </c>
      <c r="N45" s="82">
        <f t="shared" si="0"/>
        <v>0.29675902753139105</v>
      </c>
      <c r="O45" s="82">
        <f t="shared" ref="O45:O55" si="138">ROUND(1-SQRT(1-2*N45),3)</f>
        <v>0.36199999999999999</v>
      </c>
      <c r="P45" s="82">
        <f t="shared" ref="P45:P55" si="139">1-0.5*O45</f>
        <v>0.81899999999999995</v>
      </c>
      <c r="Q45" s="83" t="str">
        <f t="shared" si="1"/>
        <v>Ok</v>
      </c>
      <c r="R45" s="84">
        <f t="shared" si="2"/>
        <v>10.682425380588111</v>
      </c>
      <c r="S45" s="131">
        <f t="shared" si="14"/>
        <v>1.274448267786699E-2</v>
      </c>
      <c r="T45" s="86">
        <v>5</v>
      </c>
      <c r="U45" s="77">
        <v>18</v>
      </c>
      <c r="V45" s="87" t="str">
        <f t="shared" si="131"/>
        <v>+</v>
      </c>
      <c r="W45" s="86">
        <v>0</v>
      </c>
      <c r="X45" s="77">
        <v>18</v>
      </c>
      <c r="Y45" s="88">
        <f t="shared" ref="Y45:Y55" si="140">(T45*PI()*U45^2/4+W45*PI()*X45^2/4)/100</f>
        <v>12.723450247038661</v>
      </c>
      <c r="Z45" s="89" t="str">
        <f t="shared" si="133"/>
        <v>Ok</v>
      </c>
      <c r="AA45" s="80">
        <f t="shared" si="81"/>
        <v>-81.199810119522311</v>
      </c>
      <c r="AB45" s="80">
        <f t="shared" ref="AB45:AB55" si="141">($J$11*$H$4*G45*AA45*(J45-0.5*AA45)+$H$6*(T46*PI()*U46^2/4)*(J45-I46))*10^-6</f>
        <v>141.07340113801175</v>
      </c>
      <c r="AC45" s="89" t="str">
        <f t="shared" si="83"/>
        <v>Not Ok</v>
      </c>
      <c r="AD45" s="85">
        <f t="shared" ref="AD45:AD55" si="142">(Y45*100)/(G45*H45)</f>
        <v>1.2851969946503698E-2</v>
      </c>
      <c r="AE45" s="85">
        <f t="shared" si="5"/>
        <v>1.9281988961466403E-2</v>
      </c>
      <c r="AF45" s="60" t="str">
        <f t="shared" ref="AF45:AF55" si="143">IF(AND(AD45&gt;0.1%,AD45&lt;AE45),"Ok","No-Ok")</f>
        <v>Ok</v>
      </c>
      <c r="AG45" s="77">
        <v>8</v>
      </c>
      <c r="AH45" s="76">
        <v>3</v>
      </c>
      <c r="AI45" s="76">
        <v>100</v>
      </c>
      <c r="AJ45" s="60">
        <f t="shared" si="6"/>
        <v>10.048000000000002</v>
      </c>
      <c r="AK45" s="60" t="str">
        <f t="shared" si="7"/>
        <v>OK</v>
      </c>
      <c r="AL45" s="109">
        <f t="shared" si="8"/>
        <v>210</v>
      </c>
      <c r="AT45" s="133" t="str">
        <f t="shared" si="9"/>
        <v>need</v>
      </c>
      <c r="AV45" s="61">
        <f t="shared" si="18"/>
        <v>427.48200000000003</v>
      </c>
      <c r="AW45" s="61" t="str">
        <f t="shared" si="19"/>
        <v>OK</v>
      </c>
      <c r="AX45" s="63">
        <f t="shared" si="20"/>
        <v>489.6764399999999</v>
      </c>
      <c r="AY45" s="63">
        <f t="shared" si="21"/>
        <v>190.5</v>
      </c>
      <c r="AZ45" s="63">
        <f t="shared" si="22"/>
        <v>333.60948616600797</v>
      </c>
      <c r="BA45" s="63">
        <f t="shared" si="76"/>
        <v>63.249999999999993</v>
      </c>
      <c r="BB45" s="63">
        <f t="shared" si="77"/>
        <v>316.512</v>
      </c>
      <c r="BC45" s="63" t="str">
        <f t="shared" si="78"/>
        <v>OK</v>
      </c>
      <c r="BD45" s="63">
        <f t="shared" si="23"/>
        <v>481.73160939893228</v>
      </c>
      <c r="BE45" s="63">
        <f t="shared" si="24"/>
        <v>331.42580399999997</v>
      </c>
      <c r="BF45" s="63">
        <f t="shared" si="25"/>
        <v>235.03280399999994</v>
      </c>
      <c r="BG45" s="63">
        <f t="shared" si="26"/>
        <v>348.26410074964832</v>
      </c>
      <c r="BH45" s="63">
        <f t="shared" si="27"/>
        <v>229.08310799999998</v>
      </c>
      <c r="BI45" s="63">
        <f t="shared" si="28"/>
        <v>229.08310799999998</v>
      </c>
      <c r="BJ45" s="63">
        <f t="shared" si="29"/>
        <v>229.08310799999998</v>
      </c>
      <c r="BK45" s="63" t="str">
        <f t="shared" si="30"/>
        <v>OK</v>
      </c>
      <c r="BL45" s="63">
        <f t="shared" si="31"/>
        <v>228.6</v>
      </c>
      <c r="BM45" s="63">
        <f t="shared" si="32"/>
        <v>381</v>
      </c>
      <c r="BN45" s="63">
        <f t="shared" si="33"/>
        <v>762</v>
      </c>
      <c r="BO45" s="63">
        <f t="shared" si="34"/>
        <v>1143</v>
      </c>
      <c r="BP45" s="63">
        <f t="shared" si="35"/>
        <v>48.196499999999993</v>
      </c>
      <c r="BQ45" s="63">
        <f t="shared" si="79"/>
        <v>369.05347213957202</v>
      </c>
      <c r="BR45" s="63" t="str">
        <f t="shared" si="80"/>
        <v>OK</v>
      </c>
      <c r="BW45" s="70">
        <f t="shared" si="10"/>
        <v>37.02600000000001</v>
      </c>
    </row>
    <row r="46" spans="4:104">
      <c r="D46" s="178"/>
      <c r="E46" s="177"/>
      <c r="F46" s="67" t="s">
        <v>15</v>
      </c>
      <c r="G46" s="78">
        <v>220</v>
      </c>
      <c r="H46" s="78">
        <v>450</v>
      </c>
      <c r="I46" s="79">
        <f t="shared" si="74"/>
        <v>71</v>
      </c>
      <c r="J46" s="80">
        <f t="shared" si="137"/>
        <v>379</v>
      </c>
      <c r="K46" s="81">
        <v>-339</v>
      </c>
      <c r="L46" s="81">
        <v>185</v>
      </c>
      <c r="M46" s="81">
        <v>185</v>
      </c>
      <c r="N46" s="82">
        <f t="shared" si="0"/>
        <v>0.70114391070598481</v>
      </c>
      <c r="O46" s="82" t="e">
        <f t="shared" si="138"/>
        <v>#NUM!</v>
      </c>
      <c r="P46" s="82" t="e">
        <f t="shared" si="139"/>
        <v>#NUM!</v>
      </c>
      <c r="Q46" s="83" t="e">
        <f t="shared" si="1"/>
        <v>#NUM!</v>
      </c>
      <c r="R46" s="84" t="e">
        <f t="shared" si="2"/>
        <v>#NUM!</v>
      </c>
      <c r="S46" s="131" t="e">
        <f t="shared" si="14"/>
        <v>#NUM!</v>
      </c>
      <c r="T46" s="86">
        <v>5</v>
      </c>
      <c r="U46" s="77">
        <v>22</v>
      </c>
      <c r="V46" s="87" t="str">
        <f t="shared" si="131"/>
        <v>+</v>
      </c>
      <c r="W46" s="86">
        <v>0</v>
      </c>
      <c r="X46" s="77">
        <v>18</v>
      </c>
      <c r="Y46" s="88">
        <f t="shared" si="140"/>
        <v>19.006635554218249</v>
      </c>
      <c r="Z46" s="89" t="e">
        <f t="shared" si="133"/>
        <v>#NUM!</v>
      </c>
      <c r="AA46" s="80">
        <f t="shared" si="81"/>
        <v>6.9019838601593717</v>
      </c>
      <c r="AB46" s="80">
        <f t="shared" si="141"/>
        <v>230.50639675172425</v>
      </c>
      <c r="AC46" s="89" t="str">
        <f t="shared" si="83"/>
        <v>Not Ok</v>
      </c>
      <c r="AD46" s="85">
        <f t="shared" si="142"/>
        <v>1.9198621771937624E-2</v>
      </c>
      <c r="AE46" s="85">
        <f t="shared" si="5"/>
        <v>1.9281988961466403E-2</v>
      </c>
      <c r="AF46" s="60" t="str">
        <f t="shared" si="143"/>
        <v>Ok</v>
      </c>
      <c r="AG46" s="77">
        <v>8</v>
      </c>
      <c r="AH46" s="76">
        <v>3</v>
      </c>
      <c r="AI46" s="76">
        <v>100</v>
      </c>
      <c r="AJ46" s="60">
        <f t="shared" si="6"/>
        <v>10.048000000000002</v>
      </c>
      <c r="AK46" s="60" t="str">
        <f t="shared" si="7"/>
        <v>OK</v>
      </c>
      <c r="AL46" s="109">
        <f t="shared" si="8"/>
        <v>210</v>
      </c>
      <c r="AT46" s="133" t="str">
        <f t="shared" si="9"/>
        <v>need</v>
      </c>
      <c r="AV46" s="61">
        <f t="shared" si="18"/>
        <v>425.238</v>
      </c>
      <c r="AW46" s="61" t="str">
        <f t="shared" si="19"/>
        <v>OK</v>
      </c>
      <c r="AX46" s="63">
        <f t="shared" si="20"/>
        <v>196.43877297297294</v>
      </c>
      <c r="AY46" s="63">
        <f t="shared" si="21"/>
        <v>189.5</v>
      </c>
      <c r="AZ46" s="63">
        <f t="shared" si="22"/>
        <v>333.60948616600797</v>
      </c>
      <c r="BA46" s="63">
        <f t="shared" si="76"/>
        <v>63.249999999999993</v>
      </c>
      <c r="BB46" s="63">
        <f t="shared" si="77"/>
        <v>316.512</v>
      </c>
      <c r="BC46" s="63" t="str">
        <f t="shared" si="78"/>
        <v>OK</v>
      </c>
      <c r="BD46" s="63">
        <f t="shared" si="23"/>
        <v>479.20283454644448</v>
      </c>
      <c r="BE46" s="63">
        <f t="shared" si="24"/>
        <v>329.686036</v>
      </c>
      <c r="BF46" s="63">
        <f t="shared" si="25"/>
        <v>233.79903599999997</v>
      </c>
      <c r="BG46" s="63">
        <f t="shared" si="26"/>
        <v>346.43594274046376</v>
      </c>
      <c r="BH46" s="63">
        <f t="shared" si="27"/>
        <v>227.880572</v>
      </c>
      <c r="BI46" s="63">
        <f t="shared" si="28"/>
        <v>227.880572</v>
      </c>
      <c r="BJ46" s="63">
        <f t="shared" si="29"/>
        <v>227.880572</v>
      </c>
      <c r="BK46" s="63" t="str">
        <f t="shared" si="30"/>
        <v>OK</v>
      </c>
      <c r="BL46" s="63">
        <f t="shared" si="31"/>
        <v>227.4</v>
      </c>
      <c r="BM46" s="63">
        <f t="shared" si="32"/>
        <v>379</v>
      </c>
      <c r="BN46" s="63">
        <f t="shared" si="33"/>
        <v>758</v>
      </c>
      <c r="BO46" s="63">
        <f t="shared" si="34"/>
        <v>1137</v>
      </c>
      <c r="BP46" s="63">
        <f t="shared" si="35"/>
        <v>47.943499999999993</v>
      </c>
      <c r="BQ46" s="63">
        <f t="shared" si="79"/>
        <v>212.75749161836575</v>
      </c>
      <c r="BR46" s="63" t="str">
        <f t="shared" si="80"/>
        <v>OK</v>
      </c>
      <c r="BW46" s="70">
        <f t="shared" si="10"/>
        <v>37.02600000000001</v>
      </c>
    </row>
    <row r="47" spans="4:104" ht="11.25" customHeight="1">
      <c r="D47" s="179" t="s">
        <v>108</v>
      </c>
      <c r="E47" s="177"/>
      <c r="F47" s="91" t="s">
        <v>15</v>
      </c>
      <c r="G47" s="78">
        <v>220</v>
      </c>
      <c r="H47" s="78">
        <v>450</v>
      </c>
      <c r="I47" s="92">
        <f t="shared" si="74"/>
        <v>103</v>
      </c>
      <c r="J47" s="93">
        <f t="shared" si="137"/>
        <v>347</v>
      </c>
      <c r="K47" s="94">
        <v>-285</v>
      </c>
      <c r="L47" s="94">
        <v>115</v>
      </c>
      <c r="M47" s="94">
        <v>115</v>
      </c>
      <c r="N47" s="95">
        <f t="shared" si="0"/>
        <v>0.70318856338857771</v>
      </c>
      <c r="O47" s="95" t="e">
        <f t="shared" si="138"/>
        <v>#NUM!</v>
      </c>
      <c r="P47" s="95" t="e">
        <f t="shared" si="139"/>
        <v>#NUM!</v>
      </c>
      <c r="Q47" s="96" t="e">
        <f t="shared" si="1"/>
        <v>#NUM!</v>
      </c>
      <c r="R47" s="97" t="e">
        <f t="shared" si="2"/>
        <v>#NUM!</v>
      </c>
      <c r="S47" s="132" t="e">
        <f t="shared" si="14"/>
        <v>#NUM!</v>
      </c>
      <c r="T47" s="99">
        <v>3</v>
      </c>
      <c r="U47" s="100">
        <v>28</v>
      </c>
      <c r="V47" s="101" t="str">
        <f t="shared" si="131"/>
        <v>+</v>
      </c>
      <c r="W47" s="99">
        <v>3</v>
      </c>
      <c r="X47" s="100">
        <v>28</v>
      </c>
      <c r="Y47" s="102">
        <f t="shared" si="140"/>
        <v>36.945129606215971</v>
      </c>
      <c r="Z47" s="103" t="e">
        <f t="shared" si="133"/>
        <v>#NUM!</v>
      </c>
      <c r="AA47" s="93">
        <f t="shared" si="81"/>
        <v>330.07722813585804</v>
      </c>
      <c r="AB47" s="93">
        <f t="shared" si="141"/>
        <v>326.18466610194088</v>
      </c>
      <c r="AC47" s="89" t="str">
        <f t="shared" si="83"/>
        <v>Ok</v>
      </c>
      <c r="AD47" s="98">
        <f t="shared" si="142"/>
        <v>3.7318312733551483E-2</v>
      </c>
      <c r="AE47" s="98">
        <f t="shared" si="5"/>
        <v>1.9281988961466403E-2</v>
      </c>
      <c r="AF47" s="104" t="str">
        <f t="shared" si="143"/>
        <v>No-Ok</v>
      </c>
      <c r="AG47" s="100">
        <v>8</v>
      </c>
      <c r="AH47" s="105">
        <v>3</v>
      </c>
      <c r="AI47" s="105">
        <v>100</v>
      </c>
      <c r="AJ47" s="104">
        <f t="shared" si="6"/>
        <v>10.048000000000002</v>
      </c>
      <c r="AK47" s="60" t="str">
        <f t="shared" si="7"/>
        <v>OK</v>
      </c>
      <c r="AL47" s="109">
        <f t="shared" si="8"/>
        <v>210</v>
      </c>
      <c r="AT47" s="133" t="str">
        <f t="shared" si="9"/>
        <v>need</v>
      </c>
      <c r="AV47" s="61">
        <f t="shared" si="18"/>
        <v>389.334</v>
      </c>
      <c r="AW47" s="61" t="str">
        <f t="shared" si="19"/>
        <v>OK</v>
      </c>
      <c r="AX47" s="63">
        <f t="shared" si="20"/>
        <v>264.89979999999997</v>
      </c>
      <c r="AY47" s="63">
        <f t="shared" si="21"/>
        <v>173.5</v>
      </c>
      <c r="AZ47" s="63">
        <f t="shared" si="22"/>
        <v>333.60948616600797</v>
      </c>
      <c r="BA47" s="63">
        <f t="shared" si="76"/>
        <v>63.249999999999993</v>
      </c>
      <c r="BB47" s="63">
        <f t="shared" si="77"/>
        <v>316.512</v>
      </c>
      <c r="BC47" s="63" t="str">
        <f t="shared" si="78"/>
        <v>OK</v>
      </c>
      <c r="BD47" s="63">
        <f t="shared" si="23"/>
        <v>438.74243690663917</v>
      </c>
      <c r="BE47" s="63">
        <f t="shared" si="24"/>
        <v>301.84974799999998</v>
      </c>
      <c r="BF47" s="63">
        <f t="shared" si="25"/>
        <v>214.05874799999998</v>
      </c>
      <c r="BG47" s="63">
        <f t="shared" si="26"/>
        <v>317.18541459351167</v>
      </c>
      <c r="BH47" s="63">
        <f t="shared" si="27"/>
        <v>208.63999600000002</v>
      </c>
      <c r="BI47" s="63">
        <f t="shared" si="28"/>
        <v>208.63999600000002</v>
      </c>
      <c r="BJ47" s="63">
        <f t="shared" si="29"/>
        <v>208.63999600000002</v>
      </c>
      <c r="BK47" s="63" t="str">
        <f t="shared" si="30"/>
        <v>OK</v>
      </c>
      <c r="BL47" s="63">
        <f t="shared" si="31"/>
        <v>208.2</v>
      </c>
      <c r="BM47" s="63">
        <f t="shared" si="32"/>
        <v>347</v>
      </c>
      <c r="BN47" s="63">
        <f t="shared" si="33"/>
        <v>694</v>
      </c>
      <c r="BO47" s="63">
        <f t="shared" si="34"/>
        <v>1041</v>
      </c>
      <c r="BP47" s="63">
        <f t="shared" si="35"/>
        <v>43.895499999999991</v>
      </c>
      <c r="BQ47" s="63">
        <f t="shared" si="79"/>
        <v>304.74965745415722</v>
      </c>
      <c r="BR47" s="63" t="str">
        <f t="shared" si="80"/>
        <v>OK</v>
      </c>
      <c r="BW47" s="70">
        <f t="shared" si="10"/>
        <v>37.02600000000001</v>
      </c>
    </row>
    <row r="48" spans="4:104">
      <c r="D48" s="180"/>
      <c r="E48" s="177"/>
      <c r="F48" s="106" t="s">
        <v>16</v>
      </c>
      <c r="G48" s="78">
        <v>220</v>
      </c>
      <c r="H48" s="78">
        <v>450</v>
      </c>
      <c r="I48" s="92">
        <f t="shared" si="74"/>
        <v>97</v>
      </c>
      <c r="J48" s="93">
        <f t="shared" si="137"/>
        <v>353</v>
      </c>
      <c r="K48" s="94">
        <v>124</v>
      </c>
      <c r="L48" s="94">
        <v>108</v>
      </c>
      <c r="M48" s="94">
        <v>108</v>
      </c>
      <c r="N48" s="95">
        <f t="shared" si="0"/>
        <v>0.29563657533122489</v>
      </c>
      <c r="O48" s="95">
        <f t="shared" si="138"/>
        <v>0.36099999999999999</v>
      </c>
      <c r="P48" s="95">
        <f t="shared" si="139"/>
        <v>0.81950000000000001</v>
      </c>
      <c r="Q48" s="96" t="str">
        <f t="shared" si="1"/>
        <v>Ok</v>
      </c>
      <c r="R48" s="97">
        <f t="shared" si="2"/>
        <v>9.8539139378626093</v>
      </c>
      <c r="S48" s="132">
        <f t="shared" si="14"/>
        <v>1.2688531982825919E-2</v>
      </c>
      <c r="T48" s="99">
        <v>3</v>
      </c>
      <c r="U48" s="100">
        <v>22</v>
      </c>
      <c r="V48" s="101" t="str">
        <f t="shared" si="131"/>
        <v>+</v>
      </c>
      <c r="W48" s="99">
        <v>3</v>
      </c>
      <c r="X48" s="100">
        <v>22</v>
      </c>
      <c r="Y48" s="102">
        <f t="shared" si="140"/>
        <v>22.807962665061901</v>
      </c>
      <c r="Z48" s="103" t="str">
        <f t="shared" si="133"/>
        <v>Ok</v>
      </c>
      <c r="AA48" s="93">
        <f t="shared" si="81"/>
        <v>147.37765536693294</v>
      </c>
      <c r="AB48" s="93">
        <f t="shared" si="141"/>
        <v>265.55351980439576</v>
      </c>
      <c r="AC48" s="89" t="str">
        <f t="shared" si="83"/>
        <v>Ok</v>
      </c>
      <c r="AD48" s="98">
        <f t="shared" si="142"/>
        <v>2.3038346126325153E-2</v>
      </c>
      <c r="AE48" s="98">
        <f t="shared" si="5"/>
        <v>1.9281988961466403E-2</v>
      </c>
      <c r="AF48" s="104" t="str">
        <f t="shared" si="143"/>
        <v>No-Ok</v>
      </c>
      <c r="AG48" s="100">
        <v>8</v>
      </c>
      <c r="AH48" s="105">
        <v>3</v>
      </c>
      <c r="AI48" s="105">
        <v>100</v>
      </c>
      <c r="AJ48" s="104">
        <f t="shared" si="6"/>
        <v>10.048000000000002</v>
      </c>
      <c r="AK48" s="60" t="str">
        <f t="shared" si="7"/>
        <v>OK</v>
      </c>
      <c r="AL48" s="109">
        <f t="shared" si="8"/>
        <v>210</v>
      </c>
      <c r="AT48" s="133" t="str">
        <f t="shared" si="9"/>
        <v>need</v>
      </c>
      <c r="AV48" s="61">
        <f t="shared" si="18"/>
        <v>396.06599999999997</v>
      </c>
      <c r="AW48" s="61" t="str">
        <f t="shared" si="19"/>
        <v>OK</v>
      </c>
      <c r="AX48" s="63">
        <f t="shared" si="20"/>
        <v>291.90812037037034</v>
      </c>
      <c r="AY48" s="63">
        <f t="shared" si="21"/>
        <v>176.5</v>
      </c>
      <c r="AZ48" s="63">
        <f t="shared" si="22"/>
        <v>333.60948616600797</v>
      </c>
      <c r="BA48" s="63">
        <f t="shared" si="76"/>
        <v>63.249999999999993</v>
      </c>
      <c r="BB48" s="63">
        <f t="shared" si="77"/>
        <v>316.512</v>
      </c>
      <c r="BC48" s="63" t="str">
        <f t="shared" si="78"/>
        <v>OK</v>
      </c>
      <c r="BD48" s="63">
        <f t="shared" si="23"/>
        <v>446.32876146410263</v>
      </c>
      <c r="BE48" s="63">
        <f t="shared" si="24"/>
        <v>307.069052</v>
      </c>
      <c r="BF48" s="63">
        <f t="shared" si="25"/>
        <v>217.76005199999997</v>
      </c>
      <c r="BG48" s="63">
        <f t="shared" si="26"/>
        <v>322.66988862106518</v>
      </c>
      <c r="BH48" s="63">
        <f t="shared" si="27"/>
        <v>212.247604</v>
      </c>
      <c r="BI48" s="63">
        <f t="shared" si="28"/>
        <v>212.247604</v>
      </c>
      <c r="BJ48" s="63">
        <f t="shared" si="29"/>
        <v>212.247604</v>
      </c>
      <c r="BK48" s="63" t="str">
        <f t="shared" si="30"/>
        <v>OK</v>
      </c>
      <c r="BL48" s="63">
        <f t="shared" si="31"/>
        <v>211.79999999999998</v>
      </c>
      <c r="BM48" s="63">
        <f t="shared" si="32"/>
        <v>353</v>
      </c>
      <c r="BN48" s="63">
        <f t="shared" si="33"/>
        <v>706</v>
      </c>
      <c r="BO48" s="63">
        <f t="shared" si="34"/>
        <v>1059</v>
      </c>
      <c r="BP48" s="63">
        <f t="shared" si="35"/>
        <v>44.654499999999992</v>
      </c>
      <c r="BQ48" s="63">
        <f t="shared" si="79"/>
        <v>520.9568796609243</v>
      </c>
      <c r="BR48" s="63" t="str">
        <f t="shared" si="80"/>
        <v>OK</v>
      </c>
      <c r="BW48" s="70">
        <f t="shared" si="10"/>
        <v>37.02600000000001</v>
      </c>
    </row>
    <row r="49" spans="4:104" ht="10.5" customHeight="1">
      <c r="D49" s="181"/>
      <c r="E49" s="177"/>
      <c r="F49" s="91" t="s">
        <v>15</v>
      </c>
      <c r="G49" s="78">
        <v>220</v>
      </c>
      <c r="H49" s="78">
        <v>450</v>
      </c>
      <c r="I49" s="92">
        <f t="shared" si="74"/>
        <v>97</v>
      </c>
      <c r="J49" s="93">
        <f t="shared" si="137"/>
        <v>353</v>
      </c>
      <c r="K49" s="94">
        <v>-291</v>
      </c>
      <c r="L49" s="94">
        <v>165</v>
      </c>
      <c r="M49" s="94">
        <v>165</v>
      </c>
      <c r="N49" s="95">
        <f t="shared" si="0"/>
        <v>0.69379228565634232</v>
      </c>
      <c r="O49" s="95" t="e">
        <f t="shared" si="138"/>
        <v>#NUM!</v>
      </c>
      <c r="P49" s="95" t="e">
        <f t="shared" si="139"/>
        <v>#NUM!</v>
      </c>
      <c r="Q49" s="96" t="e">
        <f t="shared" si="1"/>
        <v>#NUM!</v>
      </c>
      <c r="R49" s="97" t="e">
        <f t="shared" si="2"/>
        <v>#NUM!</v>
      </c>
      <c r="S49" s="132" t="e">
        <f t="shared" si="14"/>
        <v>#NUM!</v>
      </c>
      <c r="T49" s="99">
        <v>3</v>
      </c>
      <c r="U49" s="100">
        <v>22</v>
      </c>
      <c r="V49" s="101" t="str">
        <f t="shared" si="131"/>
        <v>+</v>
      </c>
      <c r="W49" s="99">
        <v>3</v>
      </c>
      <c r="X49" s="100">
        <v>22</v>
      </c>
      <c r="Y49" s="102">
        <f t="shared" si="140"/>
        <v>22.807962665061901</v>
      </c>
      <c r="Z49" s="103" t="e">
        <f t="shared" si="133"/>
        <v>#NUM!</v>
      </c>
      <c r="AA49" s="93">
        <f t="shared" si="81"/>
        <v>147.37765536693294</v>
      </c>
      <c r="AB49" s="93">
        <f t="shared" si="141"/>
        <v>265.55351980439576</v>
      </c>
      <c r="AC49" s="89" t="str">
        <f t="shared" si="83"/>
        <v>Not Ok</v>
      </c>
      <c r="AD49" s="98">
        <f t="shared" si="142"/>
        <v>2.3038346126325153E-2</v>
      </c>
      <c r="AE49" s="98">
        <f t="shared" si="5"/>
        <v>1.9281988961466403E-2</v>
      </c>
      <c r="AF49" s="104" t="str">
        <f t="shared" si="143"/>
        <v>No-Ok</v>
      </c>
      <c r="AG49" s="100">
        <v>8</v>
      </c>
      <c r="AH49" s="105">
        <v>3</v>
      </c>
      <c r="AI49" s="105">
        <v>100</v>
      </c>
      <c r="AJ49" s="104">
        <f t="shared" si="6"/>
        <v>10.048000000000002</v>
      </c>
      <c r="AK49" s="60" t="str">
        <f t="shared" si="7"/>
        <v>OK</v>
      </c>
      <c r="AL49" s="109">
        <f t="shared" si="8"/>
        <v>210</v>
      </c>
      <c r="AT49" s="133" t="str">
        <f t="shared" si="9"/>
        <v>need</v>
      </c>
      <c r="AV49" s="61">
        <f t="shared" si="18"/>
        <v>396.06599999999997</v>
      </c>
      <c r="AW49" s="61" t="str">
        <f t="shared" si="19"/>
        <v>OK</v>
      </c>
      <c r="AX49" s="63">
        <f t="shared" si="20"/>
        <v>191.06713333333332</v>
      </c>
      <c r="AY49" s="63">
        <f t="shared" si="21"/>
        <v>176.5</v>
      </c>
      <c r="AZ49" s="63">
        <f t="shared" si="22"/>
        <v>333.60948616600797</v>
      </c>
      <c r="BA49" s="63">
        <f t="shared" si="76"/>
        <v>63.249999999999993</v>
      </c>
      <c r="BB49" s="63">
        <f t="shared" si="77"/>
        <v>316.512</v>
      </c>
      <c r="BC49" s="63" t="str">
        <f t="shared" si="78"/>
        <v>OK</v>
      </c>
      <c r="BD49" s="63">
        <f t="shared" si="23"/>
        <v>446.32876146410263</v>
      </c>
      <c r="BE49" s="63">
        <f t="shared" si="24"/>
        <v>307.069052</v>
      </c>
      <c r="BF49" s="63">
        <f t="shared" si="25"/>
        <v>217.76005199999997</v>
      </c>
      <c r="BG49" s="63">
        <f t="shared" si="26"/>
        <v>322.66988862106518</v>
      </c>
      <c r="BH49" s="63">
        <f t="shared" si="27"/>
        <v>212.247604</v>
      </c>
      <c r="BI49" s="63">
        <f t="shared" si="28"/>
        <v>212.247604</v>
      </c>
      <c r="BJ49" s="63">
        <f t="shared" si="29"/>
        <v>212.247604</v>
      </c>
      <c r="BK49" s="63" t="str">
        <f t="shared" si="30"/>
        <v>OK</v>
      </c>
      <c r="BL49" s="63">
        <f t="shared" si="31"/>
        <v>211.79999999999998</v>
      </c>
      <c r="BM49" s="63">
        <f t="shared" si="32"/>
        <v>353</v>
      </c>
      <c r="BN49" s="63">
        <f t="shared" si="33"/>
        <v>706</v>
      </c>
      <c r="BO49" s="63">
        <f t="shared" si="34"/>
        <v>1059</v>
      </c>
      <c r="BP49" s="63">
        <f t="shared" si="35"/>
        <v>44.654499999999992</v>
      </c>
      <c r="BQ49" s="63">
        <f t="shared" si="79"/>
        <v>334.92502553702218</v>
      </c>
      <c r="BR49" s="63" t="str">
        <f t="shared" si="80"/>
        <v>OK</v>
      </c>
      <c r="BW49" s="70">
        <f t="shared" si="10"/>
        <v>37.02600000000001</v>
      </c>
    </row>
    <row r="50" spans="4:104" ht="10.5" customHeight="1">
      <c r="D50" s="176" t="s">
        <v>169</v>
      </c>
      <c r="E50" s="177"/>
      <c r="F50" s="67" t="s">
        <v>15</v>
      </c>
      <c r="G50" s="78">
        <v>220</v>
      </c>
      <c r="H50" s="78">
        <v>450</v>
      </c>
      <c r="I50" s="79">
        <f t="shared" si="74"/>
        <v>97</v>
      </c>
      <c r="J50" s="80">
        <f t="shared" si="137"/>
        <v>353</v>
      </c>
      <c r="K50" s="81">
        <v>-334</v>
      </c>
      <c r="L50" s="81">
        <v>177</v>
      </c>
      <c r="M50" s="81">
        <v>177</v>
      </c>
      <c r="N50" s="82">
        <f t="shared" si="0"/>
        <v>0.79631142065023486</v>
      </c>
      <c r="O50" s="82" t="e">
        <f t="shared" si="138"/>
        <v>#NUM!</v>
      </c>
      <c r="P50" s="82" t="e">
        <f t="shared" si="139"/>
        <v>#NUM!</v>
      </c>
      <c r="Q50" s="83" t="e">
        <f t="shared" si="1"/>
        <v>#NUM!</v>
      </c>
      <c r="R50" s="84" t="e">
        <f t="shared" si="2"/>
        <v>#NUM!</v>
      </c>
      <c r="S50" s="131" t="e">
        <f t="shared" si="14"/>
        <v>#NUM!</v>
      </c>
      <c r="T50" s="86">
        <v>3</v>
      </c>
      <c r="U50" s="77">
        <v>22</v>
      </c>
      <c r="V50" s="87" t="str">
        <f t="shared" si="131"/>
        <v>+</v>
      </c>
      <c r="W50" s="86">
        <v>3</v>
      </c>
      <c r="X50" s="77">
        <v>22</v>
      </c>
      <c r="Y50" s="88">
        <f t="shared" si="140"/>
        <v>22.807962665061901</v>
      </c>
      <c r="Z50" s="89" t="e">
        <f t="shared" si="133"/>
        <v>#NUM!</v>
      </c>
      <c r="AA50" s="80">
        <f t="shared" si="81"/>
        <v>104.44325576623555</v>
      </c>
      <c r="AB50" s="80">
        <f t="shared" si="141"/>
        <v>267.80980644614226</v>
      </c>
      <c r="AC50" s="89" t="str">
        <f t="shared" si="83"/>
        <v>Not Ok</v>
      </c>
      <c r="AD50" s="85">
        <f t="shared" si="142"/>
        <v>2.3038346126325153E-2</v>
      </c>
      <c r="AE50" s="85">
        <f t="shared" si="5"/>
        <v>1.9281988961466403E-2</v>
      </c>
      <c r="AF50" s="60" t="str">
        <f t="shared" si="143"/>
        <v>No-Ok</v>
      </c>
      <c r="AG50" s="77">
        <v>8</v>
      </c>
      <c r="AH50" s="76">
        <v>3</v>
      </c>
      <c r="AI50" s="76">
        <v>100</v>
      </c>
      <c r="AJ50" s="60">
        <f t="shared" si="6"/>
        <v>10.048000000000002</v>
      </c>
      <c r="AK50" s="60" t="str">
        <f t="shared" si="7"/>
        <v>OK</v>
      </c>
      <c r="AL50" s="109">
        <f t="shared" si="8"/>
        <v>210</v>
      </c>
      <c r="AT50" s="133" t="str">
        <f t="shared" si="9"/>
        <v>need</v>
      </c>
      <c r="AV50" s="61">
        <f t="shared" si="18"/>
        <v>396.06599999999997</v>
      </c>
      <c r="AW50" s="61" t="str">
        <f t="shared" si="19"/>
        <v>OK</v>
      </c>
      <c r="AX50" s="63">
        <f t="shared" si="20"/>
        <v>178.11342937853107</v>
      </c>
      <c r="AY50" s="63">
        <f t="shared" si="21"/>
        <v>176.5</v>
      </c>
      <c r="AZ50" s="63">
        <f t="shared" si="22"/>
        <v>333.60948616600797</v>
      </c>
      <c r="BA50" s="63">
        <f t="shared" si="76"/>
        <v>63.249999999999993</v>
      </c>
      <c r="BB50" s="63">
        <f t="shared" si="77"/>
        <v>316.512</v>
      </c>
      <c r="BC50" s="63" t="str">
        <f t="shared" si="78"/>
        <v>OK</v>
      </c>
      <c r="BD50" s="63">
        <f t="shared" si="23"/>
        <v>446.32876146410263</v>
      </c>
      <c r="BE50" s="63">
        <f t="shared" si="24"/>
        <v>307.069052</v>
      </c>
      <c r="BF50" s="63">
        <f t="shared" si="25"/>
        <v>217.76005199999997</v>
      </c>
      <c r="BG50" s="63">
        <f t="shared" si="26"/>
        <v>322.66988862106518</v>
      </c>
      <c r="BH50" s="63">
        <f t="shared" si="27"/>
        <v>212.247604</v>
      </c>
      <c r="BI50" s="63">
        <f t="shared" si="28"/>
        <v>212.247604</v>
      </c>
      <c r="BJ50" s="63">
        <f t="shared" si="29"/>
        <v>212.247604</v>
      </c>
      <c r="BK50" s="63" t="str">
        <f t="shared" si="30"/>
        <v>OK</v>
      </c>
      <c r="BL50" s="63">
        <f t="shared" si="31"/>
        <v>211.79999999999998</v>
      </c>
      <c r="BM50" s="63">
        <f t="shared" si="32"/>
        <v>353</v>
      </c>
      <c r="BN50" s="63">
        <f t="shared" si="33"/>
        <v>706</v>
      </c>
      <c r="BO50" s="63">
        <f t="shared" si="34"/>
        <v>1059</v>
      </c>
      <c r="BP50" s="63">
        <f t="shared" si="35"/>
        <v>44.654499999999992</v>
      </c>
      <c r="BQ50" s="63">
        <f t="shared" si="79"/>
        <v>334.92502553702218</v>
      </c>
      <c r="BR50" s="63" t="str">
        <f t="shared" si="80"/>
        <v>OK</v>
      </c>
      <c r="BW50" s="70">
        <f t="shared" si="10"/>
        <v>37.02600000000001</v>
      </c>
    </row>
    <row r="51" spans="4:104" ht="11.25" customHeight="1">
      <c r="D51" s="177"/>
      <c r="E51" s="177"/>
      <c r="F51" s="68" t="s">
        <v>16</v>
      </c>
      <c r="G51" s="78">
        <v>220</v>
      </c>
      <c r="H51" s="78">
        <v>450</v>
      </c>
      <c r="I51" s="79">
        <f t="shared" si="74"/>
        <v>100</v>
      </c>
      <c r="J51" s="80">
        <f t="shared" si="137"/>
        <v>350</v>
      </c>
      <c r="K51" s="81">
        <v>141</v>
      </c>
      <c r="L51" s="81">
        <v>95</v>
      </c>
      <c r="M51" s="81">
        <v>95</v>
      </c>
      <c r="N51" s="82">
        <f t="shared" si="0"/>
        <v>0.34195496380370333</v>
      </c>
      <c r="O51" s="82">
        <f t="shared" si="138"/>
        <v>0.438</v>
      </c>
      <c r="P51" s="82">
        <f t="shared" si="139"/>
        <v>0.78100000000000003</v>
      </c>
      <c r="Q51" s="83" t="str">
        <f t="shared" si="1"/>
        <v>Ok</v>
      </c>
      <c r="R51" s="84">
        <f t="shared" si="2"/>
        <v>11.857981746277035</v>
      </c>
      <c r="S51" s="131">
        <f t="shared" si="14"/>
        <v>1.539997629386628E-2</v>
      </c>
      <c r="T51" s="86">
        <v>3</v>
      </c>
      <c r="U51" s="77">
        <v>25</v>
      </c>
      <c r="V51" s="87" t="str">
        <f t="shared" si="131"/>
        <v>+</v>
      </c>
      <c r="W51" s="86">
        <v>3</v>
      </c>
      <c r="X51" s="77">
        <v>25</v>
      </c>
      <c r="Y51" s="88">
        <f t="shared" si="140"/>
        <v>29.45243112740431</v>
      </c>
      <c r="Z51" s="89" t="str">
        <f t="shared" si="133"/>
        <v>Ok</v>
      </c>
      <c r="AA51" s="80">
        <f t="shared" si="81"/>
        <v>141.89666818386522</v>
      </c>
      <c r="AB51" s="80">
        <f t="shared" si="141"/>
        <v>331.76029705905461</v>
      </c>
      <c r="AC51" s="89" t="str">
        <f t="shared" si="83"/>
        <v>Ok</v>
      </c>
      <c r="AD51" s="85">
        <f t="shared" si="142"/>
        <v>2.9749930431721527E-2</v>
      </c>
      <c r="AE51" s="85">
        <f t="shared" si="5"/>
        <v>1.9281988961466403E-2</v>
      </c>
      <c r="AF51" s="60" t="str">
        <f t="shared" si="143"/>
        <v>No-Ok</v>
      </c>
      <c r="AG51" s="77">
        <v>8</v>
      </c>
      <c r="AH51" s="76">
        <v>3</v>
      </c>
      <c r="AI51" s="76">
        <v>100</v>
      </c>
      <c r="AJ51" s="60">
        <f t="shared" si="6"/>
        <v>10.048000000000002</v>
      </c>
      <c r="AK51" s="60" t="str">
        <f t="shared" si="7"/>
        <v>OK</v>
      </c>
      <c r="AL51" s="109">
        <f t="shared" si="8"/>
        <v>210</v>
      </c>
      <c r="AT51" s="133" t="str">
        <f t="shared" si="9"/>
        <v>need</v>
      </c>
      <c r="AV51" s="61">
        <f t="shared" si="18"/>
        <v>392.7</v>
      </c>
      <c r="AW51" s="61" t="str">
        <f t="shared" si="19"/>
        <v>OK</v>
      </c>
      <c r="AX51" s="63">
        <f t="shared" si="20"/>
        <v>326.23684210526312</v>
      </c>
      <c r="AY51" s="63">
        <f t="shared" si="21"/>
        <v>175</v>
      </c>
      <c r="AZ51" s="63">
        <f t="shared" si="22"/>
        <v>333.60948616600797</v>
      </c>
      <c r="BA51" s="63">
        <f t="shared" si="76"/>
        <v>63.249999999999993</v>
      </c>
      <c r="BB51" s="63">
        <f t="shared" si="77"/>
        <v>316.512</v>
      </c>
      <c r="BC51" s="63" t="str">
        <f t="shared" si="78"/>
        <v>OK</v>
      </c>
      <c r="BD51" s="63">
        <f t="shared" si="23"/>
        <v>442.53559918537093</v>
      </c>
      <c r="BE51" s="63">
        <f t="shared" si="24"/>
        <v>304.45940000000002</v>
      </c>
      <c r="BF51" s="63">
        <f t="shared" si="25"/>
        <v>215.90939999999995</v>
      </c>
      <c r="BG51" s="63">
        <f t="shared" si="26"/>
        <v>319.92765160728845</v>
      </c>
      <c r="BH51" s="63">
        <f t="shared" si="27"/>
        <v>210.44380000000001</v>
      </c>
      <c r="BI51" s="63">
        <f t="shared" si="28"/>
        <v>210.44380000000001</v>
      </c>
      <c r="BJ51" s="63">
        <f t="shared" si="29"/>
        <v>210.44380000000001</v>
      </c>
      <c r="BK51" s="63" t="str">
        <f t="shared" si="30"/>
        <v>OK</v>
      </c>
      <c r="BL51" s="63">
        <f t="shared" si="31"/>
        <v>210</v>
      </c>
      <c r="BM51" s="63">
        <f t="shared" si="32"/>
        <v>350</v>
      </c>
      <c r="BN51" s="63">
        <f t="shared" si="33"/>
        <v>700</v>
      </c>
      <c r="BO51" s="63">
        <f t="shared" si="34"/>
        <v>1050</v>
      </c>
      <c r="BP51" s="63">
        <f t="shared" si="35"/>
        <v>44.274999999999991</v>
      </c>
      <c r="BQ51" s="63">
        <f t="shared" si="79"/>
        <v>334.92502553702218</v>
      </c>
      <c r="BR51" s="63" t="str">
        <f t="shared" si="80"/>
        <v>OK</v>
      </c>
      <c r="BW51" s="70">
        <f t="shared" si="10"/>
        <v>37.02600000000001</v>
      </c>
    </row>
    <row r="52" spans="4:104" ht="10.5" customHeight="1">
      <c r="D52" s="178"/>
      <c r="E52" s="178"/>
      <c r="F52" s="67" t="s">
        <v>15</v>
      </c>
      <c r="G52" s="78">
        <v>220</v>
      </c>
      <c r="H52" s="78">
        <v>450</v>
      </c>
      <c r="I52" s="79">
        <f t="shared" ref="I52:I83" si="144">$J$12+((T52*fi(U52)*U52/2+W52*fi(X52)*(U52+30+X52/2)))/(T52*fi(U52)+W52*fi(X52))</f>
        <v>103</v>
      </c>
      <c r="J52" s="80">
        <f t="shared" si="137"/>
        <v>347</v>
      </c>
      <c r="K52" s="81">
        <v>-243</v>
      </c>
      <c r="L52" s="81">
        <v>154</v>
      </c>
      <c r="M52" s="81">
        <v>154</v>
      </c>
      <c r="N52" s="82">
        <f t="shared" ref="N52:N83" si="145">ABS(K52)*10^6/($J$11*$H$4*G52*J52^2)</f>
        <v>0.59956077509973471</v>
      </c>
      <c r="O52" s="82" t="e">
        <f t="shared" si="138"/>
        <v>#NUM!</v>
      </c>
      <c r="P52" s="82" t="e">
        <f t="shared" si="139"/>
        <v>#NUM!</v>
      </c>
      <c r="Q52" s="83" t="e">
        <f t="shared" ref="Q52:Q83" si="146">IF(O52&lt;$J$13,"Ok","Not Ok")</f>
        <v>#NUM!</v>
      </c>
      <c r="R52" s="84" t="e">
        <f t="shared" ref="R52:R83" si="147">MAX(ABS(K52)*10^6/($H$6*P52*J52),0.001*G52*J52)/100</f>
        <v>#NUM!</v>
      </c>
      <c r="S52" s="131" t="e">
        <f t="shared" si="14"/>
        <v>#NUM!</v>
      </c>
      <c r="T52" s="86">
        <v>3</v>
      </c>
      <c r="U52" s="77">
        <v>28</v>
      </c>
      <c r="V52" s="87" t="str">
        <f t="shared" si="131"/>
        <v>+</v>
      </c>
      <c r="W52" s="86">
        <v>3</v>
      </c>
      <c r="X52" s="77">
        <v>28</v>
      </c>
      <c r="Y52" s="88">
        <f t="shared" si="140"/>
        <v>36.945129606215971</v>
      </c>
      <c r="Z52" s="89" t="e">
        <f t="shared" si="133"/>
        <v>#NUM!</v>
      </c>
      <c r="AA52" s="80">
        <f t="shared" ref="AA52:AA83" si="148">($H$6*Y52*100-$H$6*(T53*PI()*U53^2/4))/($J$11*$H$4*G52)</f>
        <v>231.82545789123611</v>
      </c>
      <c r="AB52" s="80">
        <f t="shared" si="141"/>
        <v>399.78531816174649</v>
      </c>
      <c r="AC52" s="89" t="str">
        <f t="shared" si="83"/>
        <v>Ok</v>
      </c>
      <c r="AD52" s="85">
        <f t="shared" si="142"/>
        <v>3.7318312733551483E-2</v>
      </c>
      <c r="AE52" s="85">
        <f t="shared" ref="AE52:AE83" si="149">$J$13*$H$4/$H$6</f>
        <v>1.9281988961466403E-2</v>
      </c>
      <c r="AF52" s="60" t="str">
        <f t="shared" si="143"/>
        <v>No-Ok</v>
      </c>
      <c r="AG52" s="77">
        <v>8</v>
      </c>
      <c r="AH52" s="76">
        <v>3</v>
      </c>
      <c r="AI52" s="76">
        <v>100</v>
      </c>
      <c r="AJ52" s="60">
        <f t="shared" ref="AJ52:AJ83" si="150">(10/AI52)*2*(3.14*AG52^2)/4</f>
        <v>10.048000000000002</v>
      </c>
      <c r="AK52" s="60" t="str">
        <f t="shared" ref="AK52:AK83" si="151">IF(AND(AV52&gt;L52,BB52&gt;BA52,BJ52&gt;L52),"OK","NOT OK")</f>
        <v>OK</v>
      </c>
      <c r="AL52" s="109">
        <f t="shared" ref="AL52:AL83" si="152">IF(AG52&lt;10,$O$7,$O$8)</f>
        <v>210</v>
      </c>
      <c r="AT52" s="133" t="str">
        <f t="shared" ref="AT52:AT83" si="153">IF(L52&gt;BP52, "need","no need")</f>
        <v>need</v>
      </c>
      <c r="AV52" s="61">
        <f t="shared" si="18"/>
        <v>389.334</v>
      </c>
      <c r="AW52" s="61" t="str">
        <f t="shared" si="19"/>
        <v>OK</v>
      </c>
      <c r="AX52" s="63">
        <f t="shared" si="20"/>
        <v>197.81478571428568</v>
      </c>
      <c r="AY52" s="63">
        <f t="shared" si="21"/>
        <v>173.5</v>
      </c>
      <c r="AZ52" s="63">
        <f t="shared" si="22"/>
        <v>333.60948616600797</v>
      </c>
      <c r="BA52" s="63">
        <f t="shared" si="76"/>
        <v>63.249999999999993</v>
      </c>
      <c r="BB52" s="63">
        <f t="shared" si="77"/>
        <v>316.512</v>
      </c>
      <c r="BC52" s="63" t="str">
        <f t="shared" si="78"/>
        <v>OK</v>
      </c>
      <c r="BD52" s="63">
        <f t="shared" si="23"/>
        <v>438.74243690663917</v>
      </c>
      <c r="BE52" s="63">
        <f t="shared" si="24"/>
        <v>301.84974799999998</v>
      </c>
      <c r="BF52" s="63">
        <f t="shared" si="25"/>
        <v>214.05874799999998</v>
      </c>
      <c r="BG52" s="63">
        <f t="shared" si="26"/>
        <v>317.18541459351167</v>
      </c>
      <c r="BH52" s="63">
        <f t="shared" si="27"/>
        <v>208.63999600000002</v>
      </c>
      <c r="BI52" s="63">
        <f t="shared" si="28"/>
        <v>208.63999600000002</v>
      </c>
      <c r="BJ52" s="63">
        <f t="shared" si="29"/>
        <v>208.63999600000002</v>
      </c>
      <c r="BK52" s="63" t="str">
        <f t="shared" si="30"/>
        <v>OK</v>
      </c>
      <c r="BL52" s="63">
        <f t="shared" si="31"/>
        <v>208.2</v>
      </c>
      <c r="BM52" s="63">
        <f t="shared" si="32"/>
        <v>347</v>
      </c>
      <c r="BN52" s="63">
        <f t="shared" si="33"/>
        <v>694</v>
      </c>
      <c r="BO52" s="63">
        <f t="shared" si="34"/>
        <v>1041</v>
      </c>
      <c r="BP52" s="63">
        <f t="shared" si="35"/>
        <v>43.895499999999991</v>
      </c>
      <c r="BQ52" s="63">
        <f t="shared" si="79"/>
        <v>422.95829752325761</v>
      </c>
      <c r="BR52" s="63" t="str">
        <f t="shared" si="80"/>
        <v>OK</v>
      </c>
      <c r="BW52" s="70">
        <f t="shared" ref="BW52:BW83" si="154">0.1*$H$4*G52^2*H52/1000000</f>
        <v>37.02600000000001</v>
      </c>
    </row>
    <row r="53" spans="4:104">
      <c r="D53" s="179" t="s">
        <v>178</v>
      </c>
      <c r="E53" s="179" t="s">
        <v>230</v>
      </c>
      <c r="F53" s="91" t="s">
        <v>15</v>
      </c>
      <c r="G53" s="78">
        <v>220</v>
      </c>
      <c r="H53" s="78">
        <v>450</v>
      </c>
      <c r="I53" s="92">
        <f t="shared" si="144"/>
        <v>81.560625814863101</v>
      </c>
      <c r="J53" s="93">
        <f t="shared" si="137"/>
        <v>368.4393741851369</v>
      </c>
      <c r="K53" s="94">
        <v>-13</v>
      </c>
      <c r="L53" s="94">
        <v>87</v>
      </c>
      <c r="M53" s="94">
        <v>87</v>
      </c>
      <c r="N53" s="95">
        <f t="shared" si="145"/>
        <v>2.8450975964220943E-2</v>
      </c>
      <c r="O53" s="95">
        <f t="shared" si="138"/>
        <v>2.9000000000000001E-2</v>
      </c>
      <c r="P53" s="95">
        <f t="shared" si="139"/>
        <v>0.98550000000000004</v>
      </c>
      <c r="Q53" s="96" t="str">
        <f t="shared" si="146"/>
        <v>Ok</v>
      </c>
      <c r="R53" s="97">
        <f t="shared" si="147"/>
        <v>0.82305987664431046</v>
      </c>
      <c r="S53" s="132">
        <f t="shared" si="14"/>
        <v>1.0154129877536471E-3</v>
      </c>
      <c r="T53" s="99">
        <v>5</v>
      </c>
      <c r="U53" s="100">
        <v>22</v>
      </c>
      <c r="V53" s="101" t="str">
        <f t="shared" si="131"/>
        <v>+</v>
      </c>
      <c r="W53" s="99">
        <v>2</v>
      </c>
      <c r="X53" s="100">
        <v>18</v>
      </c>
      <c r="Y53" s="102">
        <f t="shared" si="140"/>
        <v>24.096015653033714</v>
      </c>
      <c r="Z53" s="103" t="str">
        <f t="shared" si="133"/>
        <v>Ok</v>
      </c>
      <c r="AA53" s="93">
        <f t="shared" si="148"/>
        <v>212.7435025131484</v>
      </c>
      <c r="AB53" s="93">
        <f t="shared" si="141"/>
        <v>287.10365899791594</v>
      </c>
      <c r="AC53" s="89" t="str">
        <f t="shared" si="83"/>
        <v>Ok</v>
      </c>
      <c r="AD53" s="98">
        <f t="shared" si="142"/>
        <v>2.4339409750539106E-2</v>
      </c>
      <c r="AE53" s="98">
        <f t="shared" si="149"/>
        <v>1.9281988961466403E-2</v>
      </c>
      <c r="AF53" s="104" t="str">
        <f t="shared" si="143"/>
        <v>No-Ok</v>
      </c>
      <c r="AG53" s="100">
        <v>12</v>
      </c>
      <c r="AH53" s="105">
        <v>3</v>
      </c>
      <c r="AI53" s="105">
        <v>100</v>
      </c>
      <c r="AJ53" s="104">
        <f t="shared" si="150"/>
        <v>22.608000000000004</v>
      </c>
      <c r="AK53" s="60" t="str">
        <f t="shared" si="151"/>
        <v>OK</v>
      </c>
      <c r="AL53" s="109">
        <f t="shared" si="152"/>
        <v>300</v>
      </c>
      <c r="AT53" s="133" t="str">
        <f t="shared" si="153"/>
        <v>need</v>
      </c>
      <c r="AV53" s="61">
        <f t="shared" si="18"/>
        <v>413.38897783572361</v>
      </c>
      <c r="AW53" s="61" t="str">
        <f t="shared" si="19"/>
        <v>OK</v>
      </c>
      <c r="AX53" s="63">
        <f t="shared" si="20"/>
        <v>394.76018195211066</v>
      </c>
      <c r="AY53" s="63">
        <f t="shared" si="21"/>
        <v>184.21968709256845</v>
      </c>
      <c r="AZ53" s="63">
        <f t="shared" si="22"/>
        <v>1072.3162055335972</v>
      </c>
      <c r="BA53" s="63">
        <f t="shared" si="76"/>
        <v>63.249999999999993</v>
      </c>
      <c r="BB53" s="63">
        <f t="shared" si="77"/>
        <v>1017.36</v>
      </c>
      <c r="BC53" s="63" t="str">
        <f t="shared" si="78"/>
        <v>OK</v>
      </c>
      <c r="BD53" s="63">
        <f t="shared" si="23"/>
        <v>259.83877807403451</v>
      </c>
      <c r="BE53" s="63">
        <f t="shared" si="24"/>
        <v>514.16451546284225</v>
      </c>
      <c r="BF53" s="63">
        <f t="shared" si="25"/>
        <v>420.94935379400255</v>
      </c>
      <c r="BG53" s="63">
        <f t="shared" si="26"/>
        <v>420.94935379400255</v>
      </c>
      <c r="BH53" s="63">
        <f t="shared" si="27"/>
        <v>608.86080341590605</v>
      </c>
      <c r="BI53" s="63">
        <f t="shared" si="28"/>
        <v>608.86080341590605</v>
      </c>
      <c r="BJ53" s="63">
        <f t="shared" si="29"/>
        <v>420.94935379400255</v>
      </c>
      <c r="BK53" s="63" t="str">
        <f t="shared" si="30"/>
        <v>OK</v>
      </c>
      <c r="BL53" s="63">
        <f t="shared" si="31"/>
        <v>221.06362451108214</v>
      </c>
      <c r="BM53" s="63">
        <f t="shared" si="32"/>
        <v>368.4393741851369</v>
      </c>
      <c r="BN53" s="63">
        <f t="shared" si="33"/>
        <v>736.8787483702738</v>
      </c>
      <c r="BO53" s="63">
        <f t="shared" si="34"/>
        <v>1105.3181225554108</v>
      </c>
      <c r="BP53" s="63">
        <f t="shared" si="35"/>
        <v>46.607580834419814</v>
      </c>
      <c r="BQ53" s="63">
        <f t="shared" si="79"/>
        <v>520.9568796609243</v>
      </c>
      <c r="BR53" s="63" t="str">
        <f t="shared" si="80"/>
        <v>OK</v>
      </c>
      <c r="BW53" s="70">
        <f t="shared" si="154"/>
        <v>37.02600000000001</v>
      </c>
    </row>
    <row r="54" spans="4:104">
      <c r="D54" s="180"/>
      <c r="E54" s="180"/>
      <c r="F54" s="106" t="s">
        <v>16</v>
      </c>
      <c r="G54" s="78">
        <v>220</v>
      </c>
      <c r="H54" s="78">
        <v>450</v>
      </c>
      <c r="I54" s="92">
        <f t="shared" si="144"/>
        <v>69</v>
      </c>
      <c r="J54" s="93">
        <f t="shared" si="137"/>
        <v>381</v>
      </c>
      <c r="K54" s="94">
        <v>-124</v>
      </c>
      <c r="L54" s="94">
        <v>120</v>
      </c>
      <c r="M54" s="94">
        <v>120</v>
      </c>
      <c r="N54" s="95">
        <f t="shared" si="145"/>
        <v>0.25378013388891374</v>
      </c>
      <c r="O54" s="95">
        <f t="shared" si="138"/>
        <v>0.29799999999999999</v>
      </c>
      <c r="P54" s="95">
        <f t="shared" si="139"/>
        <v>0.85099999999999998</v>
      </c>
      <c r="Q54" s="96" t="str">
        <f t="shared" si="146"/>
        <v>Ok</v>
      </c>
      <c r="R54" s="97">
        <f t="shared" si="147"/>
        <v>8.7918018716399047</v>
      </c>
      <c r="S54" s="132">
        <f t="shared" si="14"/>
        <v>1.0488907028918998E-2</v>
      </c>
      <c r="T54" s="99">
        <v>3</v>
      </c>
      <c r="U54" s="100">
        <v>18</v>
      </c>
      <c r="V54" s="101" t="str">
        <f t="shared" si="131"/>
        <v>+</v>
      </c>
      <c r="W54" s="99">
        <v>0</v>
      </c>
      <c r="X54" s="100">
        <v>18</v>
      </c>
      <c r="Y54" s="102">
        <f t="shared" si="140"/>
        <v>7.6340701482231976</v>
      </c>
      <c r="Z54" s="103" t="str">
        <f t="shared" si="133"/>
        <v>Not Ok</v>
      </c>
      <c r="AA54" s="93">
        <f t="shared" si="148"/>
        <v>-146.97165631633536</v>
      </c>
      <c r="AB54" s="93">
        <f t="shared" si="141"/>
        <v>22.735938326867043</v>
      </c>
      <c r="AC54" s="89" t="str">
        <f t="shared" si="83"/>
        <v>Not Ok</v>
      </c>
      <c r="AD54" s="98">
        <f t="shared" si="142"/>
        <v>7.7111819679022194E-3</v>
      </c>
      <c r="AE54" s="98">
        <f t="shared" si="149"/>
        <v>1.9281988961466403E-2</v>
      </c>
      <c r="AF54" s="104" t="str">
        <f t="shared" si="143"/>
        <v>Ok</v>
      </c>
      <c r="AG54" s="100">
        <v>12</v>
      </c>
      <c r="AH54" s="105">
        <v>3</v>
      </c>
      <c r="AI54" s="105">
        <v>100</v>
      </c>
      <c r="AJ54" s="104">
        <f t="shared" si="150"/>
        <v>22.608000000000004</v>
      </c>
      <c r="AK54" s="60" t="str">
        <f t="shared" si="151"/>
        <v>OK</v>
      </c>
      <c r="AL54" s="109">
        <f t="shared" si="152"/>
        <v>300</v>
      </c>
      <c r="AT54" s="133" t="str">
        <f t="shared" si="153"/>
        <v>need</v>
      </c>
      <c r="AV54" s="61">
        <f t="shared" si="18"/>
        <v>427.48200000000003</v>
      </c>
      <c r="AW54" s="61" t="str">
        <f t="shared" si="19"/>
        <v>OK</v>
      </c>
      <c r="AX54" s="63">
        <f t="shared" si="20"/>
        <v>306.04777499999994</v>
      </c>
      <c r="AY54" s="63">
        <f t="shared" si="21"/>
        <v>190.5</v>
      </c>
      <c r="AZ54" s="63">
        <f t="shared" si="22"/>
        <v>1072.3162055335972</v>
      </c>
      <c r="BA54" s="63">
        <f t="shared" si="76"/>
        <v>63.249999999999993</v>
      </c>
      <c r="BB54" s="63">
        <f t="shared" si="77"/>
        <v>1017.36</v>
      </c>
      <c r="BC54" s="63" t="str">
        <f t="shared" si="78"/>
        <v>OK</v>
      </c>
      <c r="BD54" s="63">
        <f t="shared" si="23"/>
        <v>268.69705406800909</v>
      </c>
      <c r="BE54" s="63">
        <f t="shared" si="24"/>
        <v>531.69312000000002</v>
      </c>
      <c r="BF54" s="63">
        <f t="shared" si="25"/>
        <v>435.30011999999999</v>
      </c>
      <c r="BG54" s="63">
        <f t="shared" si="26"/>
        <v>435.30011999999999</v>
      </c>
      <c r="BH54" s="63">
        <f t="shared" si="27"/>
        <v>629.61774000000003</v>
      </c>
      <c r="BI54" s="63">
        <f t="shared" si="28"/>
        <v>629.61774000000003</v>
      </c>
      <c r="BJ54" s="63">
        <f t="shared" si="29"/>
        <v>435.30011999999999</v>
      </c>
      <c r="BK54" s="63" t="str">
        <f t="shared" si="30"/>
        <v>OK</v>
      </c>
      <c r="BL54" s="63">
        <f t="shared" si="31"/>
        <v>228.6</v>
      </c>
      <c r="BM54" s="63">
        <f t="shared" si="32"/>
        <v>381</v>
      </c>
      <c r="BN54" s="63">
        <f t="shared" si="33"/>
        <v>762</v>
      </c>
      <c r="BO54" s="63">
        <f t="shared" si="34"/>
        <v>1143</v>
      </c>
      <c r="BP54" s="63">
        <f t="shared" si="35"/>
        <v>48.196499999999993</v>
      </c>
      <c r="BQ54" s="63">
        <f t="shared" si="79"/>
        <v>416.62267946776814</v>
      </c>
      <c r="BR54" s="63" t="str">
        <f t="shared" si="80"/>
        <v>OK</v>
      </c>
      <c r="BW54" s="70">
        <f t="shared" si="154"/>
        <v>37.02600000000001</v>
      </c>
    </row>
    <row r="55" spans="4:104">
      <c r="D55" s="181"/>
      <c r="E55" s="180"/>
      <c r="F55" s="91" t="s">
        <v>15</v>
      </c>
      <c r="G55" s="78">
        <v>220</v>
      </c>
      <c r="H55" s="78">
        <v>450</v>
      </c>
      <c r="I55" s="92">
        <f t="shared" si="144"/>
        <v>81.560625814863101</v>
      </c>
      <c r="J55" s="93">
        <f t="shared" si="137"/>
        <v>368.4393741851369</v>
      </c>
      <c r="K55" s="94">
        <v>-214</v>
      </c>
      <c r="L55" s="94">
        <v>133</v>
      </c>
      <c r="M55" s="94">
        <v>133</v>
      </c>
      <c r="N55" s="95">
        <f t="shared" si="145"/>
        <v>0.46834683510332936</v>
      </c>
      <c r="O55" s="95">
        <f t="shared" si="138"/>
        <v>0.748</v>
      </c>
      <c r="P55" s="95">
        <f t="shared" si="139"/>
        <v>0.626</v>
      </c>
      <c r="Q55" s="96" t="str">
        <f t="shared" si="146"/>
        <v>Not Ok</v>
      </c>
      <c r="R55" s="97">
        <f t="shared" si="147"/>
        <v>21.329670533872587</v>
      </c>
      <c r="S55" s="132">
        <f t="shared" si="14"/>
        <v>2.6314518662850932E-2</v>
      </c>
      <c r="T55" s="99">
        <v>5</v>
      </c>
      <c r="U55" s="100">
        <v>22</v>
      </c>
      <c r="V55" s="101" t="str">
        <f t="shared" si="131"/>
        <v>+</v>
      </c>
      <c r="W55" s="99">
        <v>2</v>
      </c>
      <c r="X55" s="100">
        <v>18</v>
      </c>
      <c r="Y55" s="102">
        <f t="shared" si="140"/>
        <v>24.096015653033714</v>
      </c>
      <c r="Z55" s="103" t="str">
        <f t="shared" si="133"/>
        <v>Ok</v>
      </c>
      <c r="AA55" s="93">
        <f t="shared" si="148"/>
        <v>65.771846196813044</v>
      </c>
      <c r="AB55" s="93">
        <f t="shared" si="141"/>
        <v>311.47561104395726</v>
      </c>
      <c r="AC55" s="89" t="str">
        <f t="shared" si="83"/>
        <v>Ok</v>
      </c>
      <c r="AD55" s="98">
        <f t="shared" si="142"/>
        <v>2.4339409750539106E-2</v>
      </c>
      <c r="AE55" s="98">
        <f t="shared" si="149"/>
        <v>1.9281988961466403E-2</v>
      </c>
      <c r="AF55" s="104" t="str">
        <f t="shared" si="143"/>
        <v>No-Ok</v>
      </c>
      <c r="AG55" s="100">
        <v>12</v>
      </c>
      <c r="AH55" s="105">
        <v>3</v>
      </c>
      <c r="AI55" s="105">
        <v>100</v>
      </c>
      <c r="AJ55" s="104">
        <f t="shared" si="150"/>
        <v>22.608000000000004</v>
      </c>
      <c r="AK55" s="60" t="str">
        <f t="shared" si="151"/>
        <v>OK</v>
      </c>
      <c r="AL55" s="109">
        <f t="shared" si="152"/>
        <v>300</v>
      </c>
      <c r="AT55" s="133" t="str">
        <f t="shared" si="153"/>
        <v>need</v>
      </c>
      <c r="AV55" s="61">
        <f t="shared" si="18"/>
        <v>413.38897783572361</v>
      </c>
      <c r="AW55" s="61" t="str">
        <f t="shared" si="19"/>
        <v>OK</v>
      </c>
      <c r="AX55" s="63">
        <f t="shared" si="20"/>
        <v>258.22658518671898</v>
      </c>
      <c r="AY55" s="63">
        <f t="shared" si="21"/>
        <v>184.21968709256845</v>
      </c>
      <c r="AZ55" s="63">
        <f t="shared" si="22"/>
        <v>1072.3162055335972</v>
      </c>
      <c r="BA55" s="63">
        <f t="shared" si="76"/>
        <v>63.249999999999993</v>
      </c>
      <c r="BB55" s="63">
        <f t="shared" si="77"/>
        <v>1017.36</v>
      </c>
      <c r="BC55" s="63" t="str">
        <f t="shared" si="78"/>
        <v>OK</v>
      </c>
      <c r="BD55" s="63">
        <f t="shared" si="23"/>
        <v>259.83877807403451</v>
      </c>
      <c r="BE55" s="63">
        <f t="shared" si="24"/>
        <v>514.16451546284225</v>
      </c>
      <c r="BF55" s="63">
        <f t="shared" si="25"/>
        <v>420.94935379400255</v>
      </c>
      <c r="BG55" s="63">
        <f t="shared" si="26"/>
        <v>420.94935379400255</v>
      </c>
      <c r="BH55" s="63">
        <f t="shared" si="27"/>
        <v>608.86080341590605</v>
      </c>
      <c r="BI55" s="63">
        <f t="shared" si="28"/>
        <v>608.86080341590605</v>
      </c>
      <c r="BJ55" s="63">
        <f t="shared" si="29"/>
        <v>420.94935379400255</v>
      </c>
      <c r="BK55" s="63" t="str">
        <f t="shared" si="30"/>
        <v>OK</v>
      </c>
      <c r="BL55" s="63">
        <f t="shared" si="31"/>
        <v>221.06362451108214</v>
      </c>
      <c r="BM55" s="63">
        <f t="shared" si="32"/>
        <v>368.4393741851369</v>
      </c>
      <c r="BN55" s="63">
        <f t="shared" si="33"/>
        <v>736.8787483702738</v>
      </c>
      <c r="BO55" s="63">
        <f t="shared" si="34"/>
        <v>1105.3181225554108</v>
      </c>
      <c r="BP55" s="63">
        <f t="shared" si="35"/>
        <v>46.607580834419814</v>
      </c>
      <c r="BQ55" s="63">
        <f t="shared" si="79"/>
        <v>187.71143292141943</v>
      </c>
      <c r="BR55" s="63" t="str">
        <f t="shared" si="80"/>
        <v>OK</v>
      </c>
      <c r="BW55" s="70">
        <f t="shared" si="154"/>
        <v>37.02600000000001</v>
      </c>
    </row>
    <row r="56" spans="4:104" ht="12.75" customHeight="1">
      <c r="D56" s="176" t="s">
        <v>155</v>
      </c>
      <c r="E56" s="180"/>
      <c r="F56" s="67" t="s">
        <v>15</v>
      </c>
      <c r="G56" s="78">
        <v>220</v>
      </c>
      <c r="H56" s="78">
        <v>450</v>
      </c>
      <c r="I56" s="79">
        <f t="shared" si="144"/>
        <v>81.560625814863101</v>
      </c>
      <c r="J56" s="80">
        <f>H56-I56</f>
        <v>368.4393741851369</v>
      </c>
      <c r="K56" s="81">
        <v>-330</v>
      </c>
      <c r="L56" s="81">
        <v>145</v>
      </c>
      <c r="M56" s="81">
        <v>145</v>
      </c>
      <c r="N56" s="82">
        <f t="shared" si="145"/>
        <v>0.72221708216868541</v>
      </c>
      <c r="O56" s="82" t="e">
        <f>ROUND(1-SQRT(1-2*N56),3)</f>
        <v>#NUM!</v>
      </c>
      <c r="P56" s="82" t="e">
        <f>1-0.5*O56</f>
        <v>#NUM!</v>
      </c>
      <c r="Q56" s="83" t="e">
        <f t="shared" si="146"/>
        <v>#NUM!</v>
      </c>
      <c r="R56" s="84" t="e">
        <f t="shared" si="147"/>
        <v>#NUM!</v>
      </c>
      <c r="S56" s="131" t="e">
        <f t="shared" si="14"/>
        <v>#NUM!</v>
      </c>
      <c r="T56" s="86">
        <v>5</v>
      </c>
      <c r="U56" s="77">
        <v>22</v>
      </c>
      <c r="V56" s="87" t="str">
        <f t="shared" si="131"/>
        <v>+</v>
      </c>
      <c r="W56" s="86">
        <v>2</v>
      </c>
      <c r="X56" s="77">
        <v>18</v>
      </c>
      <c r="Y56" s="88">
        <f>(T56*PI()*U56^2/4+W56*PI()*X56^2/4)/100</f>
        <v>24.096015653033714</v>
      </c>
      <c r="Z56" s="89" t="e">
        <f t="shared" si="133"/>
        <v>#NUM!</v>
      </c>
      <c r="AA56" s="90">
        <f t="shared" si="148"/>
        <v>146.97165631633536</v>
      </c>
      <c r="AB56" s="80">
        <f>($J$11*$H$4*G56*ABS(AA56)*(J56-0.5*ABS(AA56))+$H$6*(T57*PI()*U57^2/4)*(J56-I57))*10^-6</f>
        <v>311.64620059163246</v>
      </c>
      <c r="AC56" s="89" t="str">
        <f t="shared" si="83"/>
        <v>Not Ok</v>
      </c>
      <c r="AD56" s="85">
        <f>(Y56*100)/(G56*H56)</f>
        <v>2.4339409750539106E-2</v>
      </c>
      <c r="AE56" s="85">
        <f t="shared" si="149"/>
        <v>1.9281988961466403E-2</v>
      </c>
      <c r="AF56" s="60" t="str">
        <f>IF(AND(AD56&gt;0.1%,AD56&lt;AE56),"Ok","No-Ok")</f>
        <v>No-Ok</v>
      </c>
      <c r="AG56" s="77">
        <v>12</v>
      </c>
      <c r="AH56" s="76">
        <v>3</v>
      </c>
      <c r="AI56" s="76">
        <v>100</v>
      </c>
      <c r="AJ56" s="60">
        <f t="shared" si="150"/>
        <v>22.608000000000004</v>
      </c>
      <c r="AK56" s="60" t="str">
        <f t="shared" si="151"/>
        <v>OK</v>
      </c>
      <c r="AL56" s="109">
        <f t="shared" si="152"/>
        <v>300</v>
      </c>
      <c r="AT56" s="133" t="str">
        <f t="shared" si="153"/>
        <v>need</v>
      </c>
      <c r="AV56" s="61">
        <f t="shared" si="18"/>
        <v>413.38897783572361</v>
      </c>
      <c r="AW56" s="61" t="str">
        <f t="shared" si="19"/>
        <v>OK</v>
      </c>
      <c r="AX56" s="63">
        <f t="shared" si="20"/>
        <v>236.85610917126638</v>
      </c>
      <c r="AY56" s="63">
        <f t="shared" si="21"/>
        <v>184.21968709256845</v>
      </c>
      <c r="AZ56" s="63">
        <f t="shared" si="22"/>
        <v>1072.3162055335972</v>
      </c>
      <c r="BA56" s="63">
        <f t="shared" si="76"/>
        <v>63.249999999999993</v>
      </c>
      <c r="BB56" s="63">
        <f t="shared" si="77"/>
        <v>1017.36</v>
      </c>
      <c r="BC56" s="63" t="str">
        <f t="shared" si="78"/>
        <v>OK</v>
      </c>
      <c r="BD56" s="63">
        <f t="shared" si="23"/>
        <v>259.83877807403451</v>
      </c>
      <c r="BE56" s="63">
        <f t="shared" si="24"/>
        <v>514.16451546284225</v>
      </c>
      <c r="BF56" s="63">
        <f t="shared" si="25"/>
        <v>420.94935379400255</v>
      </c>
      <c r="BG56" s="63">
        <f t="shared" si="26"/>
        <v>420.94935379400255</v>
      </c>
      <c r="BH56" s="63">
        <f t="shared" si="27"/>
        <v>608.86080341590605</v>
      </c>
      <c r="BI56" s="63">
        <f t="shared" si="28"/>
        <v>608.86080341590605</v>
      </c>
      <c r="BJ56" s="63">
        <f t="shared" si="29"/>
        <v>420.94935379400255</v>
      </c>
      <c r="BK56" s="63" t="str">
        <f t="shared" si="30"/>
        <v>OK</v>
      </c>
      <c r="BL56" s="63">
        <f t="shared" si="31"/>
        <v>221.06362451108214</v>
      </c>
      <c r="BM56" s="63">
        <f t="shared" si="32"/>
        <v>368.4393741851369</v>
      </c>
      <c r="BN56" s="63">
        <f t="shared" si="33"/>
        <v>736.8787483702738</v>
      </c>
      <c r="BO56" s="63">
        <f t="shared" si="34"/>
        <v>1105.3181225554108</v>
      </c>
      <c r="BP56" s="63">
        <f t="shared" si="35"/>
        <v>46.607580834419814</v>
      </c>
      <c r="BQ56" s="63">
        <f t="shared" si="79"/>
        <v>416.62267946776814</v>
      </c>
      <c r="BR56" s="63" t="str">
        <f t="shared" si="80"/>
        <v>OK</v>
      </c>
      <c r="BU56" s="70">
        <v>12</v>
      </c>
      <c r="BV56" s="70">
        <v>1</v>
      </c>
      <c r="BW56" s="70">
        <f t="shared" si="154"/>
        <v>37.02600000000001</v>
      </c>
      <c r="BX56" s="70" t="str">
        <f>IF(BW56&gt;AT56,"OK","NOT OK")</f>
        <v>NOT OK</v>
      </c>
      <c r="BY56" s="70">
        <f>G56</f>
        <v>220</v>
      </c>
      <c r="BZ56" s="70">
        <f>H56</f>
        <v>450</v>
      </c>
      <c r="CA56" s="70">
        <f>BY56/(2*BZ56+BY56)</f>
        <v>0.19642857142857142</v>
      </c>
      <c r="CB56" s="27" t="e">
        <f>O43*AJ56/10</f>
        <v>#NUM!</v>
      </c>
      <c r="CE56" s="71" t="e">
        <f>CB56*CA56*BY56*BZ56/1000000</f>
        <v>#NUM!</v>
      </c>
      <c r="CF56" s="71"/>
      <c r="CG56" s="71"/>
      <c r="CH56" s="70">
        <f>T57*3.14*U57^2/4</f>
        <v>1271.7</v>
      </c>
      <c r="CI56" s="71">
        <f>0.5*$H$6*CH56*BZ56/1000000</f>
        <v>124.4676375</v>
      </c>
      <c r="CJ56" s="70" t="e">
        <f>IF((CI56+CE56)&gt;AT56,"OK","NOT OK")</f>
        <v>#NUM!</v>
      </c>
      <c r="CK56" s="27">
        <f>BZ56</f>
        <v>450</v>
      </c>
      <c r="CL56" s="27">
        <f>BY56</f>
        <v>220</v>
      </c>
      <c r="CM56" s="74">
        <f>CK56/(2*CL56+CK56)</f>
        <v>0.5056179775280899</v>
      </c>
      <c r="CN56" s="74"/>
      <c r="CO56" s="27" t="e">
        <f>O43*AJ56/10</f>
        <v>#NUM!</v>
      </c>
      <c r="CP56" s="74" t="e">
        <f>CO56*CM56*CK56*CL56/1000000</f>
        <v>#NUM!</v>
      </c>
      <c r="CQ56" s="27">
        <f>3.14*U57^2/4+3.14*U56^2/4+BV56*3.14*BU56^2/4</f>
        <v>747.31999999999994</v>
      </c>
      <c r="CT56" s="71">
        <f>0.5*$H$6*CQ56*CL56/1000000</f>
        <v>35.759261999999993</v>
      </c>
      <c r="CU56" s="71"/>
      <c r="CV56" s="70" t="e">
        <f>IF((CT56+CP56)&gt;U56,"OK","NOT OK")</f>
        <v>#NUM!</v>
      </c>
      <c r="CW56" s="74" t="e">
        <f>MIN((CP56+CT56),(CE56+CI56))</f>
        <v>#NUM!</v>
      </c>
      <c r="CX56" s="71">
        <f>AB56</f>
        <v>311.64620059163246</v>
      </c>
      <c r="CY56" s="71">
        <f>(BG56+BO56*J56)/1000</f>
        <v>407.66366670359997</v>
      </c>
      <c r="CZ56" s="62" t="e">
        <f>CW56*SQRT(1-(K56/CX56)^1)</f>
        <v>#NUM!</v>
      </c>
    </row>
    <row r="57" spans="4:104">
      <c r="D57" s="177"/>
      <c r="E57" s="180"/>
      <c r="F57" s="68" t="s">
        <v>16</v>
      </c>
      <c r="G57" s="78">
        <v>220</v>
      </c>
      <c r="H57" s="78">
        <v>450</v>
      </c>
      <c r="I57" s="79">
        <f t="shared" si="144"/>
        <v>69</v>
      </c>
      <c r="J57" s="80">
        <f t="shared" ref="J57:J67" si="155">H57-I57</f>
        <v>381</v>
      </c>
      <c r="K57" s="81">
        <v>150</v>
      </c>
      <c r="L57" s="81">
        <v>61</v>
      </c>
      <c r="M57" s="81">
        <v>61</v>
      </c>
      <c r="N57" s="82">
        <f t="shared" si="145"/>
        <v>0.3069920974462666</v>
      </c>
      <c r="O57" s="82">
        <f t="shared" ref="O57:O67" si="156">ROUND(1-SQRT(1-2*N57),3)</f>
        <v>0.379</v>
      </c>
      <c r="P57" s="82">
        <f t="shared" ref="P57:P67" si="157">1-0.5*O57</f>
        <v>0.8105</v>
      </c>
      <c r="Q57" s="83" t="str">
        <f t="shared" si="146"/>
        <v>Ok</v>
      </c>
      <c r="R57" s="84">
        <f t="shared" si="147"/>
        <v>11.166678363762253</v>
      </c>
      <c r="S57" s="131">
        <f t="shared" si="14"/>
        <v>1.3322212316585843E-2</v>
      </c>
      <c r="T57" s="86">
        <v>5</v>
      </c>
      <c r="U57" s="77">
        <v>18</v>
      </c>
      <c r="V57" s="87" t="str">
        <f t="shared" si="131"/>
        <v>+</v>
      </c>
      <c r="W57" s="86">
        <v>0</v>
      </c>
      <c r="X57" s="77">
        <v>18</v>
      </c>
      <c r="Y57" s="88">
        <f t="shared" ref="Y57:Y67" si="158">(T57*PI()*U57^2/4+W57*PI()*X57^2/4)/100</f>
        <v>12.723450247038661</v>
      </c>
      <c r="Z57" s="89" t="str">
        <f t="shared" si="133"/>
        <v>Ok</v>
      </c>
      <c r="AA57" s="80">
        <f t="shared" si="148"/>
        <v>-81.199810119522311</v>
      </c>
      <c r="AB57" s="80">
        <f t="shared" ref="AB57:AB67" si="159">($J$11*$H$4*G57*AA57*(J57-0.5*AA57)+$H$6*(T58*PI()*U58^2/4)*(J57-I58))*10^-6</f>
        <v>132.34199561320239</v>
      </c>
      <c r="AC57" s="89" t="str">
        <f t="shared" si="83"/>
        <v>Not Ok</v>
      </c>
      <c r="AD57" s="85">
        <f t="shared" ref="AD57:AD67" si="160">(Y57*100)/(G57*H57)</f>
        <v>1.2851969946503698E-2</v>
      </c>
      <c r="AE57" s="85">
        <f t="shared" si="149"/>
        <v>1.9281988961466403E-2</v>
      </c>
      <c r="AF57" s="60" t="str">
        <f t="shared" ref="AF57:AF67" si="161">IF(AND(AD57&gt;0.1%,AD57&lt;AE57),"Ok","No-Ok")</f>
        <v>Ok</v>
      </c>
      <c r="AG57" s="77">
        <v>12</v>
      </c>
      <c r="AH57" s="76">
        <v>3</v>
      </c>
      <c r="AI57" s="76">
        <v>200</v>
      </c>
      <c r="AJ57" s="60">
        <f t="shared" si="150"/>
        <v>11.304000000000002</v>
      </c>
      <c r="AK57" s="60" t="str">
        <f t="shared" si="151"/>
        <v>OK</v>
      </c>
      <c r="AL57" s="109">
        <f t="shared" si="152"/>
        <v>300</v>
      </c>
      <c r="AT57" s="133" t="str">
        <f t="shared" si="153"/>
        <v>need</v>
      </c>
      <c r="AV57" s="61">
        <f t="shared" si="18"/>
        <v>427.48200000000003</v>
      </c>
      <c r="AW57" s="61" t="str">
        <f t="shared" si="19"/>
        <v>OK</v>
      </c>
      <c r="AX57" s="63">
        <f t="shared" si="20"/>
        <v>602.06119672131138</v>
      </c>
      <c r="AY57" s="63">
        <f t="shared" si="21"/>
        <v>190.5</v>
      </c>
      <c r="AZ57" s="63">
        <f t="shared" si="22"/>
        <v>536.15810276679861</v>
      </c>
      <c r="BA57" s="63">
        <f t="shared" si="76"/>
        <v>63.249999999999993</v>
      </c>
      <c r="BB57" s="63">
        <f t="shared" si="77"/>
        <v>508.68</v>
      </c>
      <c r="BC57" s="63" t="str">
        <f t="shared" si="78"/>
        <v>OK</v>
      </c>
      <c r="BD57" s="63">
        <f t="shared" si="23"/>
        <v>379.99501803267526</v>
      </c>
      <c r="BE57" s="63">
        <f t="shared" si="24"/>
        <v>386.33780999999999</v>
      </c>
      <c r="BF57" s="63">
        <f t="shared" si="25"/>
        <v>289.94480999999996</v>
      </c>
      <c r="BG57" s="63">
        <f t="shared" si="26"/>
        <v>289.94480999999996</v>
      </c>
      <c r="BH57" s="63">
        <f t="shared" si="27"/>
        <v>338.90712000000002</v>
      </c>
      <c r="BI57" s="63">
        <f t="shared" si="28"/>
        <v>338.90712000000002</v>
      </c>
      <c r="BJ57" s="63">
        <f t="shared" si="29"/>
        <v>289.94480999999996</v>
      </c>
      <c r="BK57" s="63" t="str">
        <f t="shared" si="30"/>
        <v>OK</v>
      </c>
      <c r="BL57" s="63">
        <f t="shared" si="31"/>
        <v>228.6</v>
      </c>
      <c r="BM57" s="63">
        <f t="shared" si="32"/>
        <v>381</v>
      </c>
      <c r="BN57" s="63">
        <f t="shared" si="33"/>
        <v>762</v>
      </c>
      <c r="BO57" s="63">
        <f t="shared" si="34"/>
        <v>1143</v>
      </c>
      <c r="BP57" s="63">
        <f t="shared" si="35"/>
        <v>48.196499999999993</v>
      </c>
      <c r="BQ57" s="63">
        <f t="shared" si="79"/>
        <v>416.62267946776814</v>
      </c>
      <c r="BR57" s="63" t="str">
        <f t="shared" si="80"/>
        <v>OK</v>
      </c>
      <c r="BW57" s="70">
        <f t="shared" si="154"/>
        <v>37.02600000000001</v>
      </c>
    </row>
    <row r="58" spans="4:104">
      <c r="D58" s="178"/>
      <c r="E58" s="180"/>
      <c r="F58" s="67" t="s">
        <v>15</v>
      </c>
      <c r="G58" s="78">
        <v>220</v>
      </c>
      <c r="H58" s="78">
        <v>450</v>
      </c>
      <c r="I58" s="79">
        <f t="shared" si="144"/>
        <v>81.560625814863101</v>
      </c>
      <c r="J58" s="80">
        <f t="shared" si="155"/>
        <v>368.4393741851369</v>
      </c>
      <c r="K58" s="81">
        <v>-328</v>
      </c>
      <c r="L58" s="81">
        <v>196</v>
      </c>
      <c r="M58" s="81">
        <v>196</v>
      </c>
      <c r="N58" s="82">
        <f t="shared" si="145"/>
        <v>0.7178400089434207</v>
      </c>
      <c r="O58" s="82" t="e">
        <f t="shared" si="156"/>
        <v>#NUM!</v>
      </c>
      <c r="P58" s="82" t="e">
        <f t="shared" si="157"/>
        <v>#NUM!</v>
      </c>
      <c r="Q58" s="83" t="e">
        <f t="shared" si="146"/>
        <v>#NUM!</v>
      </c>
      <c r="R58" s="84" t="e">
        <f t="shared" si="147"/>
        <v>#NUM!</v>
      </c>
      <c r="S58" s="131" t="e">
        <f t="shared" si="14"/>
        <v>#NUM!</v>
      </c>
      <c r="T58" s="86">
        <v>5</v>
      </c>
      <c r="U58" s="77">
        <v>22</v>
      </c>
      <c r="V58" s="87" t="str">
        <f t="shared" si="131"/>
        <v>+</v>
      </c>
      <c r="W58" s="86">
        <v>2</v>
      </c>
      <c r="X58" s="77">
        <v>18</v>
      </c>
      <c r="Y58" s="88">
        <f t="shared" si="158"/>
        <v>24.096015653033714</v>
      </c>
      <c r="Z58" s="89" t="e">
        <f t="shared" si="133"/>
        <v>#NUM!</v>
      </c>
      <c r="AA58" s="80">
        <f t="shared" si="148"/>
        <v>65.771846196813044</v>
      </c>
      <c r="AB58" s="80">
        <f t="shared" si="159"/>
        <v>311.47561104395726</v>
      </c>
      <c r="AC58" s="89" t="str">
        <f t="shared" si="83"/>
        <v>Not Ok</v>
      </c>
      <c r="AD58" s="85">
        <f t="shared" si="160"/>
        <v>2.4339409750539106E-2</v>
      </c>
      <c r="AE58" s="85">
        <f t="shared" si="149"/>
        <v>1.9281988961466403E-2</v>
      </c>
      <c r="AF58" s="60" t="str">
        <f t="shared" si="161"/>
        <v>No-Ok</v>
      </c>
      <c r="AG58" s="77">
        <v>12</v>
      </c>
      <c r="AH58" s="76">
        <v>3</v>
      </c>
      <c r="AI58" s="76">
        <v>100</v>
      </c>
      <c r="AJ58" s="60">
        <f t="shared" si="150"/>
        <v>22.608000000000004</v>
      </c>
      <c r="AK58" s="60" t="str">
        <f t="shared" si="151"/>
        <v>OK</v>
      </c>
      <c r="AL58" s="109">
        <f t="shared" si="152"/>
        <v>300</v>
      </c>
      <c r="AT58" s="133" t="str">
        <f t="shared" si="153"/>
        <v>need</v>
      </c>
      <c r="AV58" s="61">
        <f t="shared" si="18"/>
        <v>413.38897783572361</v>
      </c>
      <c r="AW58" s="61" t="str">
        <f t="shared" si="19"/>
        <v>OK</v>
      </c>
      <c r="AX58" s="63">
        <f t="shared" si="20"/>
        <v>175.22518280527362</v>
      </c>
      <c r="AY58" s="63">
        <f t="shared" si="21"/>
        <v>184.21968709256845</v>
      </c>
      <c r="AZ58" s="63">
        <f t="shared" si="22"/>
        <v>1072.3162055335972</v>
      </c>
      <c r="BA58" s="63">
        <f t="shared" si="76"/>
        <v>63.249999999999993</v>
      </c>
      <c r="BB58" s="63">
        <f t="shared" si="77"/>
        <v>1017.36</v>
      </c>
      <c r="BC58" s="63" t="str">
        <f t="shared" si="78"/>
        <v>OK</v>
      </c>
      <c r="BD58" s="63">
        <f t="shared" si="23"/>
        <v>259.83877807403451</v>
      </c>
      <c r="BE58" s="63">
        <f t="shared" si="24"/>
        <v>514.16451546284225</v>
      </c>
      <c r="BF58" s="63">
        <f t="shared" si="25"/>
        <v>420.94935379400255</v>
      </c>
      <c r="BG58" s="63">
        <f t="shared" si="26"/>
        <v>420.94935379400255</v>
      </c>
      <c r="BH58" s="63">
        <f t="shared" si="27"/>
        <v>608.86080341590605</v>
      </c>
      <c r="BI58" s="63">
        <f t="shared" si="28"/>
        <v>608.86080341590605</v>
      </c>
      <c r="BJ58" s="63">
        <f t="shared" si="29"/>
        <v>420.94935379400255</v>
      </c>
      <c r="BK58" s="63" t="str">
        <f t="shared" si="30"/>
        <v>OK</v>
      </c>
      <c r="BL58" s="63">
        <f t="shared" si="31"/>
        <v>221.06362451108214</v>
      </c>
      <c r="BM58" s="63">
        <f t="shared" si="32"/>
        <v>368.4393741851369</v>
      </c>
      <c r="BN58" s="63">
        <f t="shared" si="33"/>
        <v>736.8787483702738</v>
      </c>
      <c r="BO58" s="63">
        <f t="shared" si="34"/>
        <v>1105.3181225554108</v>
      </c>
      <c r="BP58" s="63">
        <f t="shared" si="35"/>
        <v>46.607580834419814</v>
      </c>
      <c r="BQ58" s="63">
        <f t="shared" si="79"/>
        <v>226.70514114236576</v>
      </c>
      <c r="BR58" s="63" t="str">
        <f t="shared" si="80"/>
        <v>OK</v>
      </c>
      <c r="BW58" s="70">
        <f t="shared" si="154"/>
        <v>37.02600000000001</v>
      </c>
    </row>
    <row r="59" spans="4:104">
      <c r="D59" s="179" t="s">
        <v>165</v>
      </c>
      <c r="E59" s="180"/>
      <c r="F59" s="91" t="s">
        <v>15</v>
      </c>
      <c r="G59" s="78">
        <v>220</v>
      </c>
      <c r="H59" s="78">
        <v>450</v>
      </c>
      <c r="I59" s="92">
        <f t="shared" si="144"/>
        <v>81.560625814863101</v>
      </c>
      <c r="J59" s="93">
        <f t="shared" si="155"/>
        <v>368.4393741851369</v>
      </c>
      <c r="K59" s="94">
        <v>-287</v>
      </c>
      <c r="L59" s="94">
        <v>119</v>
      </c>
      <c r="M59" s="94">
        <v>119</v>
      </c>
      <c r="N59" s="95">
        <f t="shared" si="145"/>
        <v>0.62811000782549309</v>
      </c>
      <c r="O59" s="95" t="e">
        <f t="shared" si="156"/>
        <v>#NUM!</v>
      </c>
      <c r="P59" s="95" t="e">
        <f t="shared" si="157"/>
        <v>#NUM!</v>
      </c>
      <c r="Q59" s="96" t="e">
        <f t="shared" si="146"/>
        <v>#NUM!</v>
      </c>
      <c r="R59" s="97" t="e">
        <f t="shared" si="147"/>
        <v>#NUM!</v>
      </c>
      <c r="S59" s="131" t="e">
        <f t="shared" si="14"/>
        <v>#NUM!</v>
      </c>
      <c r="T59" s="99">
        <v>5</v>
      </c>
      <c r="U59" s="100">
        <v>22</v>
      </c>
      <c r="V59" s="101" t="str">
        <f t="shared" si="131"/>
        <v>+</v>
      </c>
      <c r="W59" s="99">
        <v>2</v>
      </c>
      <c r="X59" s="100">
        <v>18</v>
      </c>
      <c r="Y59" s="102">
        <f t="shared" si="158"/>
        <v>24.096015653033714</v>
      </c>
      <c r="Z59" s="103" t="e">
        <f t="shared" si="133"/>
        <v>#NUM!</v>
      </c>
      <c r="AA59" s="93">
        <f t="shared" si="148"/>
        <v>146.97165631633536</v>
      </c>
      <c r="AB59" s="93">
        <f t="shared" si="159"/>
        <v>311.64620059163246</v>
      </c>
      <c r="AC59" s="89" t="str">
        <f t="shared" si="83"/>
        <v>Ok</v>
      </c>
      <c r="AD59" s="98">
        <f t="shared" si="160"/>
        <v>2.4339409750539106E-2</v>
      </c>
      <c r="AE59" s="98">
        <f t="shared" si="149"/>
        <v>1.9281988961466403E-2</v>
      </c>
      <c r="AF59" s="104" t="str">
        <f t="shared" si="161"/>
        <v>No-Ok</v>
      </c>
      <c r="AG59" s="100">
        <v>12</v>
      </c>
      <c r="AH59" s="105">
        <v>3</v>
      </c>
      <c r="AI59" s="105">
        <v>100</v>
      </c>
      <c r="AJ59" s="104">
        <f t="shared" si="150"/>
        <v>22.608000000000004</v>
      </c>
      <c r="AK59" s="60" t="str">
        <f t="shared" si="151"/>
        <v>OK</v>
      </c>
      <c r="AL59" s="109">
        <f t="shared" si="152"/>
        <v>300</v>
      </c>
      <c r="AT59" s="133" t="str">
        <f t="shared" si="153"/>
        <v>need</v>
      </c>
      <c r="AV59" s="61">
        <f t="shared" si="18"/>
        <v>413.38897783572361</v>
      </c>
      <c r="AW59" s="61" t="str">
        <f t="shared" si="19"/>
        <v>OK</v>
      </c>
      <c r="AX59" s="63">
        <f t="shared" si="20"/>
        <v>288.60618344398006</v>
      </c>
      <c r="AY59" s="63">
        <f t="shared" si="21"/>
        <v>184.21968709256845</v>
      </c>
      <c r="AZ59" s="63">
        <f t="shared" si="22"/>
        <v>1072.3162055335972</v>
      </c>
      <c r="BA59" s="63">
        <f t="shared" si="76"/>
        <v>63.249999999999993</v>
      </c>
      <c r="BB59" s="63">
        <f t="shared" si="77"/>
        <v>1017.36</v>
      </c>
      <c r="BC59" s="63" t="str">
        <f t="shared" si="78"/>
        <v>OK</v>
      </c>
      <c r="BD59" s="63">
        <f t="shared" si="23"/>
        <v>259.83877807403451</v>
      </c>
      <c r="BE59" s="63">
        <f t="shared" si="24"/>
        <v>514.16451546284225</v>
      </c>
      <c r="BF59" s="63">
        <f t="shared" si="25"/>
        <v>420.94935379400255</v>
      </c>
      <c r="BG59" s="63">
        <f t="shared" si="26"/>
        <v>420.94935379400255</v>
      </c>
      <c r="BH59" s="63">
        <f t="shared" si="27"/>
        <v>608.86080341590605</v>
      </c>
      <c r="BI59" s="63">
        <f t="shared" si="28"/>
        <v>608.86080341590605</v>
      </c>
      <c r="BJ59" s="63">
        <f t="shared" si="29"/>
        <v>420.94935379400255</v>
      </c>
      <c r="BK59" s="63" t="str">
        <f t="shared" si="30"/>
        <v>OK</v>
      </c>
      <c r="BL59" s="63">
        <f t="shared" si="31"/>
        <v>221.06362451108214</v>
      </c>
      <c r="BM59" s="63">
        <f t="shared" si="32"/>
        <v>368.4393741851369</v>
      </c>
      <c r="BN59" s="63">
        <f t="shared" si="33"/>
        <v>736.8787483702738</v>
      </c>
      <c r="BO59" s="63">
        <f t="shared" si="34"/>
        <v>1105.3181225554108</v>
      </c>
      <c r="BP59" s="63">
        <f t="shared" si="35"/>
        <v>46.607580834419814</v>
      </c>
      <c r="BQ59" s="63">
        <f t="shared" si="79"/>
        <v>416.62267946776814</v>
      </c>
      <c r="BR59" s="63" t="str">
        <f t="shared" si="80"/>
        <v>OK</v>
      </c>
      <c r="BW59" s="70">
        <f t="shared" si="154"/>
        <v>37.02600000000001</v>
      </c>
    </row>
    <row r="60" spans="4:104">
      <c r="D60" s="180"/>
      <c r="E60" s="180"/>
      <c r="F60" s="106" t="s">
        <v>16</v>
      </c>
      <c r="G60" s="78">
        <v>220</v>
      </c>
      <c r="H60" s="78">
        <v>450</v>
      </c>
      <c r="I60" s="92">
        <f t="shared" si="144"/>
        <v>69</v>
      </c>
      <c r="J60" s="93">
        <f t="shared" si="155"/>
        <v>381</v>
      </c>
      <c r="K60" s="94">
        <v>147</v>
      </c>
      <c r="L60" s="94">
        <v>116</v>
      </c>
      <c r="M60" s="94">
        <v>116</v>
      </c>
      <c r="N60" s="95">
        <f t="shared" si="145"/>
        <v>0.30085225549734124</v>
      </c>
      <c r="O60" s="95">
        <f t="shared" si="156"/>
        <v>0.36899999999999999</v>
      </c>
      <c r="P60" s="95">
        <f t="shared" si="157"/>
        <v>0.8155</v>
      </c>
      <c r="Q60" s="96" t="str">
        <f t="shared" si="146"/>
        <v>Ok</v>
      </c>
      <c r="R60" s="97">
        <f t="shared" si="147"/>
        <v>10.876248874988004</v>
      </c>
      <c r="S60" s="131">
        <f t="shared" si="14"/>
        <v>1.2975720442600815E-2</v>
      </c>
      <c r="T60" s="99">
        <v>5</v>
      </c>
      <c r="U60" s="100">
        <v>18</v>
      </c>
      <c r="V60" s="101" t="str">
        <f t="shared" si="131"/>
        <v>+</v>
      </c>
      <c r="W60" s="99">
        <v>0</v>
      </c>
      <c r="X60" s="100">
        <v>18</v>
      </c>
      <c r="Y60" s="102">
        <f t="shared" si="158"/>
        <v>12.723450247038661</v>
      </c>
      <c r="Z60" s="103" t="str">
        <f t="shared" si="133"/>
        <v>Ok</v>
      </c>
      <c r="AA60" s="93">
        <f t="shared" si="148"/>
        <v>-81.199810119522311</v>
      </c>
      <c r="AB60" s="93">
        <f t="shared" si="159"/>
        <v>132.34199561320239</v>
      </c>
      <c r="AC60" s="89" t="str">
        <f t="shared" si="83"/>
        <v>Not Ok</v>
      </c>
      <c r="AD60" s="98">
        <f t="shared" si="160"/>
        <v>1.2851969946503698E-2</v>
      </c>
      <c r="AE60" s="98">
        <f t="shared" si="149"/>
        <v>1.9281988961466403E-2</v>
      </c>
      <c r="AF60" s="104" t="str">
        <f t="shared" si="161"/>
        <v>Ok</v>
      </c>
      <c r="AG60" s="100">
        <v>12</v>
      </c>
      <c r="AH60" s="105">
        <v>3</v>
      </c>
      <c r="AI60" s="105">
        <v>200</v>
      </c>
      <c r="AJ60" s="104">
        <f t="shared" si="150"/>
        <v>11.304000000000002</v>
      </c>
      <c r="AK60" s="60" t="str">
        <f t="shared" si="151"/>
        <v>OK</v>
      </c>
      <c r="AL60" s="109">
        <f t="shared" si="152"/>
        <v>300</v>
      </c>
      <c r="AT60" s="133" t="str">
        <f t="shared" si="153"/>
        <v>need</v>
      </c>
      <c r="AV60" s="61">
        <f t="shared" si="18"/>
        <v>427.48200000000003</v>
      </c>
      <c r="AW60" s="61" t="str">
        <f t="shared" si="19"/>
        <v>OK</v>
      </c>
      <c r="AX60" s="63">
        <f t="shared" si="20"/>
        <v>316.60114655172407</v>
      </c>
      <c r="AY60" s="63">
        <f t="shared" si="21"/>
        <v>190.5</v>
      </c>
      <c r="AZ60" s="63">
        <f t="shared" si="22"/>
        <v>536.15810276679861</v>
      </c>
      <c r="BA60" s="63">
        <f t="shared" si="76"/>
        <v>63.249999999999993</v>
      </c>
      <c r="BB60" s="63">
        <f t="shared" si="77"/>
        <v>508.68</v>
      </c>
      <c r="BC60" s="63" t="str">
        <f t="shared" si="78"/>
        <v>OK</v>
      </c>
      <c r="BD60" s="63">
        <f t="shared" si="23"/>
        <v>379.99501803267526</v>
      </c>
      <c r="BE60" s="63">
        <f t="shared" si="24"/>
        <v>386.33780999999999</v>
      </c>
      <c r="BF60" s="63">
        <f t="shared" si="25"/>
        <v>289.94480999999996</v>
      </c>
      <c r="BG60" s="63">
        <f t="shared" si="26"/>
        <v>289.94480999999996</v>
      </c>
      <c r="BH60" s="63">
        <f t="shared" si="27"/>
        <v>338.90712000000002</v>
      </c>
      <c r="BI60" s="63">
        <f t="shared" si="28"/>
        <v>338.90712000000002</v>
      </c>
      <c r="BJ60" s="63">
        <f t="shared" si="29"/>
        <v>289.94480999999996</v>
      </c>
      <c r="BK60" s="63" t="str">
        <f t="shared" si="30"/>
        <v>OK</v>
      </c>
      <c r="BL60" s="63">
        <f t="shared" si="31"/>
        <v>228.6</v>
      </c>
      <c r="BM60" s="63">
        <f t="shared" si="32"/>
        <v>381</v>
      </c>
      <c r="BN60" s="63">
        <f t="shared" si="33"/>
        <v>762</v>
      </c>
      <c r="BO60" s="63">
        <f t="shared" si="34"/>
        <v>1143</v>
      </c>
      <c r="BP60" s="63">
        <f t="shared" si="35"/>
        <v>48.196499999999993</v>
      </c>
      <c r="BQ60" s="63">
        <f t="shared" si="79"/>
        <v>416.62267946776814</v>
      </c>
      <c r="BR60" s="63" t="str">
        <f t="shared" si="80"/>
        <v>OK</v>
      </c>
      <c r="BW60" s="70">
        <f t="shared" si="154"/>
        <v>37.02600000000001</v>
      </c>
    </row>
    <row r="61" spans="4:104">
      <c r="D61" s="181"/>
      <c r="E61" s="181"/>
      <c r="F61" s="91" t="s">
        <v>15</v>
      </c>
      <c r="G61" s="78">
        <v>220</v>
      </c>
      <c r="H61" s="78">
        <v>450</v>
      </c>
      <c r="I61" s="92">
        <f t="shared" si="144"/>
        <v>81.560625814863101</v>
      </c>
      <c r="J61" s="93">
        <f t="shared" si="155"/>
        <v>368.4393741851369</v>
      </c>
      <c r="K61" s="94">
        <v>-361</v>
      </c>
      <c r="L61" s="94">
        <v>173</v>
      </c>
      <c r="M61" s="94">
        <v>173</v>
      </c>
      <c r="N61" s="95">
        <f t="shared" si="145"/>
        <v>0.79006171716028917</v>
      </c>
      <c r="O61" s="95" t="e">
        <f t="shared" si="156"/>
        <v>#NUM!</v>
      </c>
      <c r="P61" s="95" t="e">
        <f t="shared" si="157"/>
        <v>#NUM!</v>
      </c>
      <c r="Q61" s="96" t="e">
        <f t="shared" si="146"/>
        <v>#NUM!</v>
      </c>
      <c r="R61" s="97" t="e">
        <f t="shared" si="147"/>
        <v>#NUM!</v>
      </c>
      <c r="S61" s="131" t="e">
        <f t="shared" si="14"/>
        <v>#NUM!</v>
      </c>
      <c r="T61" s="99">
        <v>5</v>
      </c>
      <c r="U61" s="100">
        <v>22</v>
      </c>
      <c r="V61" s="101" t="str">
        <f t="shared" si="131"/>
        <v>+</v>
      </c>
      <c r="W61" s="99">
        <v>2</v>
      </c>
      <c r="X61" s="100">
        <v>18</v>
      </c>
      <c r="Y61" s="102">
        <f t="shared" si="158"/>
        <v>24.096015653033714</v>
      </c>
      <c r="Z61" s="103" t="e">
        <f t="shared" si="133"/>
        <v>#NUM!</v>
      </c>
      <c r="AA61" s="93">
        <f t="shared" si="148"/>
        <v>65.771846196813044</v>
      </c>
      <c r="AB61" s="93">
        <f t="shared" si="159"/>
        <v>320.20701656876668</v>
      </c>
      <c r="AC61" s="89" t="str">
        <f t="shared" si="83"/>
        <v>Not Ok</v>
      </c>
      <c r="AD61" s="98">
        <f t="shared" si="160"/>
        <v>2.4339409750539106E-2</v>
      </c>
      <c r="AE61" s="98">
        <f t="shared" si="149"/>
        <v>1.9281988961466403E-2</v>
      </c>
      <c r="AF61" s="104" t="str">
        <f t="shared" si="161"/>
        <v>No-Ok</v>
      </c>
      <c r="AG61" s="100">
        <v>12</v>
      </c>
      <c r="AH61" s="105">
        <v>3</v>
      </c>
      <c r="AI61" s="105">
        <v>100</v>
      </c>
      <c r="AJ61" s="104">
        <f t="shared" si="150"/>
        <v>22.608000000000004</v>
      </c>
      <c r="AK61" s="60" t="str">
        <f t="shared" si="151"/>
        <v>OK</v>
      </c>
      <c r="AL61" s="109">
        <f t="shared" si="152"/>
        <v>300</v>
      </c>
      <c r="AT61" s="133" t="str">
        <f t="shared" si="153"/>
        <v>need</v>
      </c>
      <c r="AV61" s="61">
        <f t="shared" si="18"/>
        <v>413.38897783572361</v>
      </c>
      <c r="AW61" s="61" t="str">
        <f t="shared" si="19"/>
        <v>OK</v>
      </c>
      <c r="AX61" s="63">
        <f t="shared" si="20"/>
        <v>198.5210163574198</v>
      </c>
      <c r="AY61" s="63">
        <f t="shared" si="21"/>
        <v>184.21968709256845</v>
      </c>
      <c r="AZ61" s="63">
        <f t="shared" si="22"/>
        <v>1072.3162055335972</v>
      </c>
      <c r="BA61" s="63">
        <f t="shared" si="76"/>
        <v>63.249999999999993</v>
      </c>
      <c r="BB61" s="63">
        <f t="shared" si="77"/>
        <v>1017.36</v>
      </c>
      <c r="BC61" s="63" t="str">
        <f t="shared" si="78"/>
        <v>OK</v>
      </c>
      <c r="BD61" s="63">
        <f t="shared" si="23"/>
        <v>259.83877807403451</v>
      </c>
      <c r="BE61" s="63">
        <f t="shared" si="24"/>
        <v>514.16451546284225</v>
      </c>
      <c r="BF61" s="63">
        <f t="shared" si="25"/>
        <v>420.94935379400255</v>
      </c>
      <c r="BG61" s="63">
        <f t="shared" si="26"/>
        <v>420.94935379400255</v>
      </c>
      <c r="BH61" s="63">
        <f t="shared" si="27"/>
        <v>608.86080341590605</v>
      </c>
      <c r="BI61" s="63">
        <f t="shared" si="28"/>
        <v>608.86080341590605</v>
      </c>
      <c r="BJ61" s="63">
        <f t="shared" si="29"/>
        <v>420.94935379400255</v>
      </c>
      <c r="BK61" s="63" t="str">
        <f t="shared" si="30"/>
        <v>OK</v>
      </c>
      <c r="BL61" s="63">
        <f t="shared" si="31"/>
        <v>221.06362451108214</v>
      </c>
      <c r="BM61" s="63">
        <f t="shared" si="32"/>
        <v>368.4393741851369</v>
      </c>
      <c r="BN61" s="63">
        <f t="shared" si="33"/>
        <v>736.8787483702738</v>
      </c>
      <c r="BO61" s="63">
        <f t="shared" si="34"/>
        <v>1105.3181225554108</v>
      </c>
      <c r="BP61" s="63">
        <f t="shared" si="35"/>
        <v>46.607580834419814</v>
      </c>
      <c r="BQ61" s="63">
        <f t="shared" si="79"/>
        <v>226.70514114236576</v>
      </c>
      <c r="BR61" s="63" t="str">
        <f t="shared" si="80"/>
        <v>OK</v>
      </c>
      <c r="BW61" s="70">
        <f t="shared" si="154"/>
        <v>37.02600000000001</v>
      </c>
    </row>
    <row r="62" spans="4:104">
      <c r="D62" s="176" t="s">
        <v>174</v>
      </c>
      <c r="E62" s="176" t="s">
        <v>231</v>
      </c>
      <c r="F62" s="67" t="s">
        <v>15</v>
      </c>
      <c r="G62" s="78">
        <v>220</v>
      </c>
      <c r="H62" s="78">
        <v>450</v>
      </c>
      <c r="I62" s="79">
        <f t="shared" si="144"/>
        <v>71</v>
      </c>
      <c r="J62" s="80">
        <f t="shared" si="155"/>
        <v>379</v>
      </c>
      <c r="K62" s="81">
        <v>-269</v>
      </c>
      <c r="L62" s="81">
        <v>87</v>
      </c>
      <c r="M62" s="81">
        <v>87</v>
      </c>
      <c r="N62" s="82">
        <f t="shared" si="145"/>
        <v>0.55636493209412952</v>
      </c>
      <c r="O62" s="82" t="e">
        <f t="shared" si="156"/>
        <v>#NUM!</v>
      </c>
      <c r="P62" s="82" t="e">
        <f t="shared" si="157"/>
        <v>#NUM!</v>
      </c>
      <c r="Q62" s="83" t="e">
        <f t="shared" si="146"/>
        <v>#NUM!</v>
      </c>
      <c r="R62" s="84" t="e">
        <f t="shared" si="147"/>
        <v>#NUM!</v>
      </c>
      <c r="S62" s="131" t="e">
        <f t="shared" si="14"/>
        <v>#NUM!</v>
      </c>
      <c r="T62" s="86">
        <v>5</v>
      </c>
      <c r="U62" s="77">
        <v>22</v>
      </c>
      <c r="V62" s="87" t="str">
        <f t="shared" si="131"/>
        <v>+</v>
      </c>
      <c r="W62" s="86">
        <v>0</v>
      </c>
      <c r="X62" s="77">
        <v>18</v>
      </c>
      <c r="Y62" s="88">
        <f t="shared" si="158"/>
        <v>19.006635554218249</v>
      </c>
      <c r="Z62" s="89" t="e">
        <f t="shared" si="133"/>
        <v>#NUM!</v>
      </c>
      <c r="AA62" s="80">
        <f t="shared" si="148"/>
        <v>146.97165631633533</v>
      </c>
      <c r="AB62" s="80">
        <f t="shared" si="159"/>
        <v>254.08531167402958</v>
      </c>
      <c r="AC62" s="89" t="str">
        <f t="shared" si="83"/>
        <v>Not Ok</v>
      </c>
      <c r="AD62" s="85">
        <f t="shared" si="160"/>
        <v>1.9198621771937624E-2</v>
      </c>
      <c r="AE62" s="85">
        <f t="shared" si="149"/>
        <v>1.9281988961466403E-2</v>
      </c>
      <c r="AF62" s="60" t="str">
        <f t="shared" si="161"/>
        <v>Ok</v>
      </c>
      <c r="AG62" s="77">
        <v>8</v>
      </c>
      <c r="AH62" s="76">
        <v>3</v>
      </c>
      <c r="AI62" s="76">
        <v>100</v>
      </c>
      <c r="AJ62" s="60">
        <f t="shared" si="150"/>
        <v>10.048000000000002</v>
      </c>
      <c r="AK62" s="60" t="str">
        <f t="shared" si="151"/>
        <v>OK</v>
      </c>
      <c r="AL62" s="109">
        <f t="shared" si="152"/>
        <v>210</v>
      </c>
      <c r="AT62" s="133" t="str">
        <f t="shared" si="153"/>
        <v>need</v>
      </c>
      <c r="AV62" s="61">
        <f t="shared" si="18"/>
        <v>425.238</v>
      </c>
      <c r="AW62" s="61" t="str">
        <f t="shared" si="19"/>
        <v>OK</v>
      </c>
      <c r="AX62" s="63">
        <f t="shared" si="20"/>
        <v>417.71463218390795</v>
      </c>
      <c r="AY62" s="63">
        <f t="shared" si="21"/>
        <v>189.5</v>
      </c>
      <c r="AZ62" s="63">
        <f t="shared" si="22"/>
        <v>333.60948616600797</v>
      </c>
      <c r="BA62" s="63">
        <f t="shared" si="76"/>
        <v>63.249999999999993</v>
      </c>
      <c r="BB62" s="63">
        <f t="shared" si="77"/>
        <v>316.512</v>
      </c>
      <c r="BC62" s="63" t="str">
        <f t="shared" si="78"/>
        <v>OK</v>
      </c>
      <c r="BD62" s="63">
        <f t="shared" si="23"/>
        <v>479.20283454644448</v>
      </c>
      <c r="BE62" s="63">
        <f t="shared" si="24"/>
        <v>329.686036</v>
      </c>
      <c r="BF62" s="63">
        <f t="shared" si="25"/>
        <v>233.79903599999997</v>
      </c>
      <c r="BG62" s="63">
        <f t="shared" si="26"/>
        <v>346.43594274046376</v>
      </c>
      <c r="BH62" s="63">
        <f t="shared" si="27"/>
        <v>227.880572</v>
      </c>
      <c r="BI62" s="63">
        <f t="shared" si="28"/>
        <v>227.880572</v>
      </c>
      <c r="BJ62" s="63">
        <f t="shared" si="29"/>
        <v>227.880572</v>
      </c>
      <c r="BK62" s="63" t="str">
        <f t="shared" si="30"/>
        <v>OK</v>
      </c>
      <c r="BL62" s="63">
        <f t="shared" si="31"/>
        <v>227.4</v>
      </c>
      <c r="BM62" s="63">
        <f t="shared" si="32"/>
        <v>379</v>
      </c>
      <c r="BN62" s="63">
        <f t="shared" si="33"/>
        <v>758</v>
      </c>
      <c r="BO62" s="63">
        <f t="shared" si="34"/>
        <v>1137</v>
      </c>
      <c r="BP62" s="63">
        <f t="shared" si="35"/>
        <v>47.943499999999993</v>
      </c>
      <c r="BQ62" s="63">
        <f t="shared" si="79"/>
        <v>416.62267946776814</v>
      </c>
      <c r="BR62" s="63" t="str">
        <f t="shared" si="80"/>
        <v>OK</v>
      </c>
      <c r="BW62" s="70">
        <f t="shared" si="154"/>
        <v>37.02600000000001</v>
      </c>
    </row>
    <row r="63" spans="4:104">
      <c r="D63" s="177"/>
      <c r="E63" s="177"/>
      <c r="F63" s="68" t="s">
        <v>16</v>
      </c>
      <c r="G63" s="78">
        <v>220</v>
      </c>
      <c r="H63" s="78">
        <v>450</v>
      </c>
      <c r="I63" s="79">
        <f t="shared" si="144"/>
        <v>69</v>
      </c>
      <c r="J63" s="80">
        <f t="shared" si="155"/>
        <v>381</v>
      </c>
      <c r="K63" s="81">
        <v>96</v>
      </c>
      <c r="L63" s="81">
        <v>75</v>
      </c>
      <c r="M63" s="81">
        <v>75</v>
      </c>
      <c r="N63" s="82">
        <f t="shared" si="145"/>
        <v>0.19647494236561061</v>
      </c>
      <c r="O63" s="82">
        <f t="shared" si="156"/>
        <v>0.221</v>
      </c>
      <c r="P63" s="82">
        <f t="shared" si="157"/>
        <v>0.88949999999999996</v>
      </c>
      <c r="Q63" s="83" t="str">
        <f t="shared" si="146"/>
        <v>Ok</v>
      </c>
      <c r="R63" s="84">
        <f t="shared" si="147"/>
        <v>6.5119498604280555</v>
      </c>
      <c r="S63" s="131">
        <f t="shared" si="14"/>
        <v>7.7689690532427285E-3</v>
      </c>
      <c r="T63" s="86">
        <v>3</v>
      </c>
      <c r="U63" s="77">
        <v>18</v>
      </c>
      <c r="V63" s="87" t="str">
        <f t="shared" si="131"/>
        <v>+</v>
      </c>
      <c r="W63" s="86">
        <v>0</v>
      </c>
      <c r="X63" s="77">
        <v>18</v>
      </c>
      <c r="Y63" s="88">
        <f t="shared" si="158"/>
        <v>7.6340701482231976</v>
      </c>
      <c r="Z63" s="89" t="str">
        <f t="shared" si="133"/>
        <v>Ok</v>
      </c>
      <c r="AA63" s="80">
        <f t="shared" si="148"/>
        <v>-146.97165631633536</v>
      </c>
      <c r="AB63" s="80">
        <f t="shared" si="159"/>
        <v>31.467343851676432</v>
      </c>
      <c r="AC63" s="89" t="str">
        <f t="shared" si="83"/>
        <v>Not Ok</v>
      </c>
      <c r="AD63" s="85">
        <f t="shared" si="160"/>
        <v>7.7111819679022194E-3</v>
      </c>
      <c r="AE63" s="85">
        <f t="shared" si="149"/>
        <v>1.9281988961466403E-2</v>
      </c>
      <c r="AF63" s="60" t="str">
        <f t="shared" si="161"/>
        <v>Ok</v>
      </c>
      <c r="AG63" s="77">
        <v>8</v>
      </c>
      <c r="AH63" s="76">
        <v>3</v>
      </c>
      <c r="AI63" s="76">
        <v>100</v>
      </c>
      <c r="AJ63" s="60">
        <f t="shared" si="150"/>
        <v>10.048000000000002</v>
      </c>
      <c r="AK63" s="60" t="str">
        <f t="shared" si="151"/>
        <v>OK</v>
      </c>
      <c r="AL63" s="109">
        <f t="shared" si="152"/>
        <v>210</v>
      </c>
      <c r="AT63" s="133" t="str">
        <f t="shared" si="153"/>
        <v>need</v>
      </c>
      <c r="AV63" s="61">
        <f t="shared" si="18"/>
        <v>427.48200000000003</v>
      </c>
      <c r="AW63" s="61" t="str">
        <f t="shared" si="19"/>
        <v>OK</v>
      </c>
      <c r="AX63" s="63">
        <f t="shared" si="20"/>
        <v>489.6764399999999</v>
      </c>
      <c r="AY63" s="63">
        <f t="shared" si="21"/>
        <v>190.5</v>
      </c>
      <c r="AZ63" s="63">
        <f t="shared" si="22"/>
        <v>333.60948616600797</v>
      </c>
      <c r="BA63" s="63">
        <f t="shared" si="76"/>
        <v>63.249999999999993</v>
      </c>
      <c r="BB63" s="63">
        <f t="shared" si="77"/>
        <v>316.512</v>
      </c>
      <c r="BC63" s="63" t="str">
        <f t="shared" si="78"/>
        <v>OK</v>
      </c>
      <c r="BD63" s="63">
        <f t="shared" si="23"/>
        <v>481.73160939893228</v>
      </c>
      <c r="BE63" s="63">
        <f t="shared" si="24"/>
        <v>331.42580399999997</v>
      </c>
      <c r="BF63" s="63">
        <f t="shared" si="25"/>
        <v>235.03280399999994</v>
      </c>
      <c r="BG63" s="63">
        <f t="shared" si="26"/>
        <v>348.26410074964832</v>
      </c>
      <c r="BH63" s="63">
        <f t="shared" si="27"/>
        <v>229.08310799999998</v>
      </c>
      <c r="BI63" s="63">
        <f t="shared" si="28"/>
        <v>229.08310799999998</v>
      </c>
      <c r="BJ63" s="63">
        <f t="shared" si="29"/>
        <v>229.08310799999998</v>
      </c>
      <c r="BK63" s="63" t="str">
        <f t="shared" si="30"/>
        <v>OK</v>
      </c>
      <c r="BL63" s="63">
        <f t="shared" si="31"/>
        <v>228.6</v>
      </c>
      <c r="BM63" s="63">
        <f t="shared" si="32"/>
        <v>381</v>
      </c>
      <c r="BN63" s="63">
        <f t="shared" si="33"/>
        <v>762</v>
      </c>
      <c r="BO63" s="63">
        <f t="shared" si="34"/>
        <v>1143</v>
      </c>
      <c r="BP63" s="63">
        <f t="shared" si="35"/>
        <v>48.196499999999993</v>
      </c>
      <c r="BQ63" s="63">
        <f t="shared" si="79"/>
        <v>304.74965745415722</v>
      </c>
      <c r="BR63" s="63" t="str">
        <f t="shared" si="80"/>
        <v>OK</v>
      </c>
      <c r="BW63" s="70">
        <f t="shared" si="154"/>
        <v>37.02600000000001</v>
      </c>
    </row>
    <row r="64" spans="4:104">
      <c r="D64" s="178"/>
      <c r="E64" s="178"/>
      <c r="F64" s="67" t="s">
        <v>15</v>
      </c>
      <c r="G64" s="78">
        <v>220</v>
      </c>
      <c r="H64" s="78">
        <v>450</v>
      </c>
      <c r="I64" s="79">
        <f t="shared" si="144"/>
        <v>71</v>
      </c>
      <c r="J64" s="80">
        <f t="shared" si="155"/>
        <v>379</v>
      </c>
      <c r="K64" s="81">
        <v>-295</v>
      </c>
      <c r="L64" s="81">
        <v>119</v>
      </c>
      <c r="M64" s="81">
        <v>119</v>
      </c>
      <c r="N64" s="82">
        <f t="shared" si="145"/>
        <v>0.61013998129281866</v>
      </c>
      <c r="O64" s="82" t="e">
        <f t="shared" si="156"/>
        <v>#NUM!</v>
      </c>
      <c r="P64" s="82" t="e">
        <f t="shared" si="157"/>
        <v>#NUM!</v>
      </c>
      <c r="Q64" s="83" t="e">
        <f t="shared" si="146"/>
        <v>#NUM!</v>
      </c>
      <c r="R64" s="84" t="e">
        <f t="shared" si="147"/>
        <v>#NUM!</v>
      </c>
      <c r="S64" s="131" t="e">
        <f t="shared" si="14"/>
        <v>#NUM!</v>
      </c>
      <c r="T64" s="86">
        <v>5</v>
      </c>
      <c r="U64" s="77">
        <v>22</v>
      </c>
      <c r="V64" s="87" t="str">
        <f t="shared" si="131"/>
        <v>+</v>
      </c>
      <c r="W64" s="86">
        <v>0</v>
      </c>
      <c r="X64" s="77">
        <v>18</v>
      </c>
      <c r="Y64" s="88">
        <f t="shared" si="158"/>
        <v>19.006635554218249</v>
      </c>
      <c r="Z64" s="89" t="e">
        <f t="shared" si="133"/>
        <v>#NUM!</v>
      </c>
      <c r="AA64" s="80">
        <f t="shared" si="148"/>
        <v>98.251770244621937</v>
      </c>
      <c r="AB64" s="80">
        <f t="shared" si="159"/>
        <v>261.88501108960935</v>
      </c>
      <c r="AC64" s="89" t="str">
        <f t="shared" si="83"/>
        <v>Not Ok</v>
      </c>
      <c r="AD64" s="85">
        <f t="shared" si="160"/>
        <v>1.9198621771937624E-2</v>
      </c>
      <c r="AE64" s="85">
        <f t="shared" si="149"/>
        <v>1.9281988961466403E-2</v>
      </c>
      <c r="AF64" s="60" t="str">
        <f t="shared" si="161"/>
        <v>Ok</v>
      </c>
      <c r="AG64" s="77">
        <v>8</v>
      </c>
      <c r="AH64" s="76">
        <v>3</v>
      </c>
      <c r="AI64" s="76">
        <v>100</v>
      </c>
      <c r="AJ64" s="60">
        <f t="shared" si="150"/>
        <v>10.048000000000002</v>
      </c>
      <c r="AK64" s="60" t="str">
        <f t="shared" si="151"/>
        <v>OK</v>
      </c>
      <c r="AL64" s="109">
        <f t="shared" si="152"/>
        <v>210</v>
      </c>
      <c r="AT64" s="133" t="str">
        <f t="shared" si="153"/>
        <v>need</v>
      </c>
      <c r="AV64" s="61">
        <f t="shared" si="18"/>
        <v>425.238</v>
      </c>
      <c r="AW64" s="61" t="str">
        <f t="shared" si="19"/>
        <v>OK</v>
      </c>
      <c r="AX64" s="63">
        <f t="shared" si="20"/>
        <v>305.38800840336125</v>
      </c>
      <c r="AY64" s="63">
        <f t="shared" si="21"/>
        <v>189.5</v>
      </c>
      <c r="AZ64" s="63">
        <f t="shared" si="22"/>
        <v>333.60948616600797</v>
      </c>
      <c r="BA64" s="63">
        <f t="shared" si="76"/>
        <v>63.249999999999993</v>
      </c>
      <c r="BB64" s="63">
        <f t="shared" si="77"/>
        <v>316.512</v>
      </c>
      <c r="BC64" s="63" t="str">
        <f t="shared" si="78"/>
        <v>OK</v>
      </c>
      <c r="BD64" s="63">
        <f t="shared" si="23"/>
        <v>479.20283454644448</v>
      </c>
      <c r="BE64" s="63">
        <f t="shared" si="24"/>
        <v>329.686036</v>
      </c>
      <c r="BF64" s="63">
        <f t="shared" si="25"/>
        <v>233.79903599999997</v>
      </c>
      <c r="BG64" s="63">
        <f t="shared" si="26"/>
        <v>346.43594274046376</v>
      </c>
      <c r="BH64" s="63">
        <f t="shared" si="27"/>
        <v>227.880572</v>
      </c>
      <c r="BI64" s="63">
        <f t="shared" si="28"/>
        <v>227.880572</v>
      </c>
      <c r="BJ64" s="63">
        <f t="shared" si="29"/>
        <v>227.880572</v>
      </c>
      <c r="BK64" s="63" t="str">
        <f t="shared" si="30"/>
        <v>OK</v>
      </c>
      <c r="BL64" s="63">
        <f t="shared" si="31"/>
        <v>227.4</v>
      </c>
      <c r="BM64" s="63">
        <f t="shared" si="32"/>
        <v>379</v>
      </c>
      <c r="BN64" s="63">
        <f t="shared" si="33"/>
        <v>758</v>
      </c>
      <c r="BO64" s="63">
        <f t="shared" si="34"/>
        <v>1137</v>
      </c>
      <c r="BP64" s="63">
        <f t="shared" si="35"/>
        <v>47.943499999999993</v>
      </c>
      <c r="BQ64" s="63">
        <f t="shared" si="79"/>
        <v>136.84353465741944</v>
      </c>
      <c r="BR64" s="63" t="str">
        <f t="shared" si="80"/>
        <v>OK</v>
      </c>
      <c r="BW64" s="70">
        <f t="shared" si="154"/>
        <v>37.02600000000001</v>
      </c>
    </row>
    <row r="65" spans="4:104">
      <c r="D65" s="179" t="s">
        <v>234</v>
      </c>
      <c r="E65" s="179" t="s">
        <v>232</v>
      </c>
      <c r="F65" s="91" t="s">
        <v>15</v>
      </c>
      <c r="G65" s="78">
        <v>220</v>
      </c>
      <c r="H65" s="78">
        <v>450</v>
      </c>
      <c r="I65" s="92">
        <f t="shared" si="144"/>
        <v>71</v>
      </c>
      <c r="J65" s="93">
        <f t="shared" si="155"/>
        <v>379</v>
      </c>
      <c r="K65" s="94">
        <v>-218</v>
      </c>
      <c r="L65" s="94">
        <v>97</v>
      </c>
      <c r="M65" s="94">
        <v>97</v>
      </c>
      <c r="N65" s="95">
        <f t="shared" si="145"/>
        <v>0.45088310481977784</v>
      </c>
      <c r="O65" s="95">
        <f t="shared" si="156"/>
        <v>0.68700000000000006</v>
      </c>
      <c r="P65" s="95">
        <f t="shared" si="157"/>
        <v>0.65649999999999997</v>
      </c>
      <c r="Q65" s="96" t="str">
        <f t="shared" si="146"/>
        <v>Not Ok</v>
      </c>
      <c r="R65" s="97">
        <f t="shared" si="147"/>
        <v>20.141568897481701</v>
      </c>
      <c r="S65" s="131">
        <f t="shared" si="14"/>
        <v>2.41563551181119E-2</v>
      </c>
      <c r="T65" s="99">
        <v>3</v>
      </c>
      <c r="U65" s="100">
        <v>22</v>
      </c>
      <c r="V65" s="101" t="str">
        <f t="shared" si="131"/>
        <v>+</v>
      </c>
      <c r="W65" s="99">
        <v>0</v>
      </c>
      <c r="X65" s="100">
        <v>18</v>
      </c>
      <c r="Y65" s="102">
        <f t="shared" si="158"/>
        <v>11.40398133253095</v>
      </c>
      <c r="Z65" s="103" t="str">
        <f t="shared" si="133"/>
        <v>Not Ok</v>
      </c>
      <c r="AA65" s="93">
        <f t="shared" si="148"/>
        <v>48.719886071713375</v>
      </c>
      <c r="AB65" s="93">
        <f t="shared" si="159"/>
        <v>161.10326194493061</v>
      </c>
      <c r="AC65" s="89" t="str">
        <f t="shared" si="83"/>
        <v>Not Ok</v>
      </c>
      <c r="AD65" s="98">
        <f t="shared" si="160"/>
        <v>1.1519173063162576E-2</v>
      </c>
      <c r="AE65" s="98">
        <f t="shared" si="149"/>
        <v>1.9281988961466403E-2</v>
      </c>
      <c r="AF65" s="104" t="str">
        <f t="shared" si="161"/>
        <v>Ok</v>
      </c>
      <c r="AG65" s="100">
        <v>8</v>
      </c>
      <c r="AH65" s="105">
        <v>2</v>
      </c>
      <c r="AI65" s="105">
        <v>100</v>
      </c>
      <c r="AJ65" s="104">
        <f t="shared" si="150"/>
        <v>10.048000000000002</v>
      </c>
      <c r="AK65" s="60" t="str">
        <f t="shared" si="151"/>
        <v>OK</v>
      </c>
      <c r="AL65" s="109">
        <f t="shared" si="152"/>
        <v>210</v>
      </c>
      <c r="AT65" s="133" t="str">
        <f t="shared" si="153"/>
        <v>need</v>
      </c>
      <c r="AV65" s="61">
        <f t="shared" si="18"/>
        <v>425.238</v>
      </c>
      <c r="AW65" s="61" t="str">
        <f t="shared" si="19"/>
        <v>OK</v>
      </c>
      <c r="AX65" s="63">
        <f t="shared" si="20"/>
        <v>374.65126804123702</v>
      </c>
      <c r="AY65" s="63">
        <f t="shared" si="21"/>
        <v>189.5</v>
      </c>
      <c r="AZ65" s="63">
        <f t="shared" si="22"/>
        <v>333.60948616600797</v>
      </c>
      <c r="BA65" s="63">
        <f t="shared" si="76"/>
        <v>63.249999999999993</v>
      </c>
      <c r="BB65" s="63">
        <f t="shared" si="77"/>
        <v>211.00799999999998</v>
      </c>
      <c r="BC65" s="63" t="str">
        <f t="shared" si="78"/>
        <v>OK</v>
      </c>
      <c r="BD65" s="63">
        <f t="shared" si="23"/>
        <v>586.90121396707013</v>
      </c>
      <c r="BE65" s="63">
        <f t="shared" si="24"/>
        <v>299.69652400000001</v>
      </c>
      <c r="BF65" s="63">
        <f t="shared" si="25"/>
        <v>203.80952399999995</v>
      </c>
      <c r="BG65" s="63">
        <f t="shared" si="26"/>
        <v>282.86376275806208</v>
      </c>
      <c r="BH65" s="63">
        <f t="shared" si="27"/>
        <v>167.90154799999996</v>
      </c>
      <c r="BI65" s="63">
        <f t="shared" si="28"/>
        <v>167.90154799999996</v>
      </c>
      <c r="BJ65" s="63">
        <f t="shared" si="29"/>
        <v>167.90154799999996</v>
      </c>
      <c r="BK65" s="63" t="str">
        <f t="shared" si="30"/>
        <v>OK</v>
      </c>
      <c r="BL65" s="63">
        <f t="shared" si="31"/>
        <v>227.4</v>
      </c>
      <c r="BM65" s="63">
        <f t="shared" si="32"/>
        <v>379</v>
      </c>
      <c r="BN65" s="63">
        <f t="shared" si="33"/>
        <v>758</v>
      </c>
      <c r="BO65" s="63">
        <f t="shared" si="34"/>
        <v>1137</v>
      </c>
      <c r="BP65" s="63">
        <f t="shared" si="35"/>
        <v>47.943499999999993</v>
      </c>
      <c r="BQ65" s="63">
        <f t="shared" si="79"/>
        <v>304.74965745415722</v>
      </c>
      <c r="BR65" s="63" t="str">
        <f t="shared" si="80"/>
        <v>OK</v>
      </c>
      <c r="BW65" s="70">
        <f t="shared" si="154"/>
        <v>37.02600000000001</v>
      </c>
    </row>
    <row r="66" spans="4:104">
      <c r="D66" s="180"/>
      <c r="E66" s="180"/>
      <c r="F66" s="106" t="s">
        <v>16</v>
      </c>
      <c r="G66" s="78">
        <v>220</v>
      </c>
      <c r="H66" s="78">
        <v>450</v>
      </c>
      <c r="I66" s="92">
        <f t="shared" si="144"/>
        <v>69</v>
      </c>
      <c r="J66" s="93">
        <f t="shared" si="155"/>
        <v>381</v>
      </c>
      <c r="K66" s="94">
        <v>111</v>
      </c>
      <c r="L66" s="94">
        <v>40</v>
      </c>
      <c r="M66" s="94">
        <v>40</v>
      </c>
      <c r="N66" s="95">
        <f t="shared" si="145"/>
        <v>0.22717415211023728</v>
      </c>
      <c r="O66" s="95">
        <f t="shared" si="156"/>
        <v>0.26100000000000001</v>
      </c>
      <c r="P66" s="95">
        <f t="shared" si="157"/>
        <v>0.86949999999999994</v>
      </c>
      <c r="Q66" s="96" t="str">
        <f t="shared" si="146"/>
        <v>Ok</v>
      </c>
      <c r="R66" s="97">
        <f t="shared" si="147"/>
        <v>7.7026321819823886</v>
      </c>
      <c r="S66" s="131">
        <f t="shared" si="14"/>
        <v>9.1894919851853839E-3</v>
      </c>
      <c r="T66" s="99">
        <v>3</v>
      </c>
      <c r="U66" s="100">
        <v>18</v>
      </c>
      <c r="V66" s="101" t="str">
        <f t="shared" si="131"/>
        <v>+</v>
      </c>
      <c r="W66" s="99">
        <v>0</v>
      </c>
      <c r="X66" s="100">
        <v>18</v>
      </c>
      <c r="Y66" s="102">
        <f t="shared" si="158"/>
        <v>7.6340701482231976</v>
      </c>
      <c r="Z66" s="103" t="str">
        <f t="shared" si="133"/>
        <v>Not Ok</v>
      </c>
      <c r="AA66" s="93">
        <f t="shared" si="148"/>
        <v>-48.719886071713375</v>
      </c>
      <c r="AB66" s="93">
        <f t="shared" si="159"/>
        <v>87.30725051210635</v>
      </c>
      <c r="AC66" s="89" t="str">
        <f t="shared" si="83"/>
        <v>Not Ok</v>
      </c>
      <c r="AD66" s="98">
        <f t="shared" si="160"/>
        <v>7.7111819679022194E-3</v>
      </c>
      <c r="AE66" s="98">
        <f t="shared" si="149"/>
        <v>1.9281988961466403E-2</v>
      </c>
      <c r="AF66" s="104" t="str">
        <f t="shared" si="161"/>
        <v>Ok</v>
      </c>
      <c r="AG66" s="100">
        <v>8</v>
      </c>
      <c r="AH66" s="105">
        <v>2</v>
      </c>
      <c r="AI66" s="105">
        <v>100</v>
      </c>
      <c r="AJ66" s="104">
        <f t="shared" si="150"/>
        <v>10.048000000000002</v>
      </c>
      <c r="AK66" s="60" t="str">
        <f t="shared" si="151"/>
        <v>OK</v>
      </c>
      <c r="AL66" s="109">
        <f t="shared" si="152"/>
        <v>210</v>
      </c>
      <c r="AT66" s="133" t="str">
        <f t="shared" si="153"/>
        <v>no need</v>
      </c>
      <c r="AV66" s="61">
        <f t="shared" si="18"/>
        <v>427.48200000000003</v>
      </c>
      <c r="AW66" s="61" t="str">
        <f t="shared" si="19"/>
        <v>OK</v>
      </c>
      <c r="AX66" s="63">
        <f t="shared" si="20"/>
        <v>918.14332499999978</v>
      </c>
      <c r="AY66" s="63">
        <f t="shared" si="21"/>
        <v>190.5</v>
      </c>
      <c r="AZ66" s="63">
        <f t="shared" si="22"/>
        <v>333.60948616600797</v>
      </c>
      <c r="BA66" s="63">
        <f t="shared" si="76"/>
        <v>63.249999999999993</v>
      </c>
      <c r="BB66" s="63">
        <f t="shared" si="77"/>
        <v>211.00799999999998</v>
      </c>
      <c r="BC66" s="63" t="str">
        <f t="shared" si="78"/>
        <v>OK</v>
      </c>
      <c r="BD66" s="63">
        <f t="shared" si="23"/>
        <v>589.9983179985586</v>
      </c>
      <c r="BE66" s="63">
        <f t="shared" si="24"/>
        <v>301.27803599999999</v>
      </c>
      <c r="BF66" s="63">
        <f t="shared" si="25"/>
        <v>204.88503599999996</v>
      </c>
      <c r="BG66" s="63">
        <f t="shared" si="26"/>
        <v>284.35644752195691</v>
      </c>
      <c r="BH66" s="63">
        <f t="shared" si="27"/>
        <v>168.78757199999998</v>
      </c>
      <c r="BI66" s="63">
        <f t="shared" si="28"/>
        <v>168.78757199999998</v>
      </c>
      <c r="BJ66" s="63">
        <f t="shared" si="29"/>
        <v>168.78757199999998</v>
      </c>
      <c r="BK66" s="63" t="str">
        <f t="shared" si="30"/>
        <v>OK</v>
      </c>
      <c r="BL66" s="63">
        <f t="shared" si="31"/>
        <v>228.6</v>
      </c>
      <c r="BM66" s="63">
        <f t="shared" si="32"/>
        <v>381</v>
      </c>
      <c r="BN66" s="63">
        <f t="shared" si="33"/>
        <v>762</v>
      </c>
      <c r="BO66" s="63">
        <f t="shared" si="34"/>
        <v>1143</v>
      </c>
      <c r="BP66" s="63">
        <f t="shared" si="35"/>
        <v>48.196499999999993</v>
      </c>
      <c r="BQ66" s="63">
        <f t="shared" si="79"/>
        <v>184.36526447889435</v>
      </c>
      <c r="BR66" s="63" t="str">
        <f t="shared" si="80"/>
        <v>OK</v>
      </c>
      <c r="BW66" s="70">
        <f t="shared" si="154"/>
        <v>37.02600000000001</v>
      </c>
    </row>
    <row r="67" spans="4:104">
      <c r="D67" s="181"/>
      <c r="E67" s="181"/>
      <c r="F67" s="91" t="s">
        <v>15</v>
      </c>
      <c r="G67" s="78">
        <v>220</v>
      </c>
      <c r="H67" s="78">
        <v>450</v>
      </c>
      <c r="I67" s="92">
        <f t="shared" si="144"/>
        <v>71</v>
      </c>
      <c r="J67" s="93">
        <f t="shared" si="155"/>
        <v>379</v>
      </c>
      <c r="K67" s="94">
        <v>-207</v>
      </c>
      <c r="L67" s="94">
        <v>75</v>
      </c>
      <c r="M67" s="94">
        <v>75</v>
      </c>
      <c r="N67" s="95">
        <f t="shared" si="145"/>
        <v>0.4281321224664863</v>
      </c>
      <c r="O67" s="95">
        <f t="shared" si="156"/>
        <v>0.621</v>
      </c>
      <c r="P67" s="95">
        <f t="shared" si="157"/>
        <v>0.6895</v>
      </c>
      <c r="Q67" s="96" t="str">
        <f t="shared" si="146"/>
        <v>Not Ok</v>
      </c>
      <c r="R67" s="97">
        <f t="shared" si="147"/>
        <v>18.209901977285259</v>
      </c>
      <c r="S67" s="131">
        <f t="shared" si="14"/>
        <v>2.1839652167528496E-2</v>
      </c>
      <c r="T67" s="99">
        <v>3</v>
      </c>
      <c r="U67" s="100">
        <v>22</v>
      </c>
      <c r="V67" s="101" t="str">
        <f t="shared" si="131"/>
        <v>+</v>
      </c>
      <c r="W67" s="99">
        <v>0</v>
      </c>
      <c r="X67" s="100">
        <v>18</v>
      </c>
      <c r="Y67" s="102">
        <f t="shared" si="158"/>
        <v>11.40398133253095</v>
      </c>
      <c r="Z67" s="103" t="str">
        <f t="shared" si="133"/>
        <v>Not Ok</v>
      </c>
      <c r="AA67" s="93">
        <f t="shared" si="148"/>
        <v>48.719886071713375</v>
      </c>
      <c r="AB67" s="93">
        <f t="shared" si="159"/>
        <v>154.72728655713462</v>
      </c>
      <c r="AC67" s="89" t="str">
        <f t="shared" si="83"/>
        <v>Not Ok</v>
      </c>
      <c r="AD67" s="98">
        <f t="shared" si="160"/>
        <v>1.1519173063162576E-2</v>
      </c>
      <c r="AE67" s="98">
        <f t="shared" si="149"/>
        <v>1.9281988961466403E-2</v>
      </c>
      <c r="AF67" s="104" t="str">
        <f t="shared" si="161"/>
        <v>Ok</v>
      </c>
      <c r="AG67" s="100">
        <v>8</v>
      </c>
      <c r="AH67" s="105">
        <v>2</v>
      </c>
      <c r="AI67" s="105">
        <v>100</v>
      </c>
      <c r="AJ67" s="104">
        <f t="shared" si="150"/>
        <v>10.048000000000002</v>
      </c>
      <c r="AK67" s="60" t="str">
        <f t="shared" si="151"/>
        <v>OK</v>
      </c>
      <c r="AL67" s="109">
        <f t="shared" si="152"/>
        <v>210</v>
      </c>
      <c r="AT67" s="133" t="str">
        <f t="shared" si="153"/>
        <v>need</v>
      </c>
      <c r="AV67" s="61">
        <f t="shared" si="18"/>
        <v>425.238</v>
      </c>
      <c r="AW67" s="61" t="str">
        <f t="shared" si="19"/>
        <v>OK</v>
      </c>
      <c r="AX67" s="63">
        <f t="shared" si="20"/>
        <v>484.54897333333321</v>
      </c>
      <c r="AY67" s="63">
        <f t="shared" si="21"/>
        <v>189.5</v>
      </c>
      <c r="AZ67" s="63">
        <f t="shared" si="22"/>
        <v>333.60948616600797</v>
      </c>
      <c r="BA67" s="63">
        <f t="shared" si="76"/>
        <v>63.249999999999993</v>
      </c>
      <c r="BB67" s="63">
        <f t="shared" si="77"/>
        <v>211.00799999999998</v>
      </c>
      <c r="BC67" s="63" t="str">
        <f t="shared" si="78"/>
        <v>OK</v>
      </c>
      <c r="BD67" s="63">
        <f t="shared" si="23"/>
        <v>586.90121396707013</v>
      </c>
      <c r="BE67" s="63">
        <f t="shared" si="24"/>
        <v>299.69652400000001</v>
      </c>
      <c r="BF67" s="63">
        <f t="shared" si="25"/>
        <v>203.80952399999995</v>
      </c>
      <c r="BG67" s="63">
        <f t="shared" si="26"/>
        <v>282.86376275806208</v>
      </c>
      <c r="BH67" s="63">
        <f t="shared" si="27"/>
        <v>167.90154799999996</v>
      </c>
      <c r="BI67" s="63">
        <f t="shared" si="28"/>
        <v>167.90154799999996</v>
      </c>
      <c r="BJ67" s="63">
        <f t="shared" si="29"/>
        <v>167.90154799999996</v>
      </c>
      <c r="BK67" s="63" t="str">
        <f t="shared" si="30"/>
        <v>OK</v>
      </c>
      <c r="BL67" s="63">
        <f t="shared" si="31"/>
        <v>227.4</v>
      </c>
      <c r="BM67" s="63">
        <f t="shared" si="32"/>
        <v>379</v>
      </c>
      <c r="BN67" s="63">
        <f t="shared" si="33"/>
        <v>758</v>
      </c>
      <c r="BO67" s="63">
        <f t="shared" si="34"/>
        <v>1137</v>
      </c>
      <c r="BP67" s="63">
        <f t="shared" si="35"/>
        <v>47.943499999999993</v>
      </c>
      <c r="BQ67" s="63">
        <f t="shared" si="79"/>
        <v>129.18600158541943</v>
      </c>
      <c r="BR67" s="63" t="str">
        <f t="shared" si="80"/>
        <v>OK</v>
      </c>
      <c r="BW67" s="70">
        <f t="shared" si="154"/>
        <v>37.02600000000001</v>
      </c>
    </row>
    <row r="68" spans="4:104" ht="12.75" customHeight="1">
      <c r="D68" s="176" t="s">
        <v>234</v>
      </c>
      <c r="E68" s="176" t="s">
        <v>233</v>
      </c>
      <c r="F68" s="67" t="s">
        <v>15</v>
      </c>
      <c r="G68" s="78">
        <v>220</v>
      </c>
      <c r="H68" s="78">
        <v>450</v>
      </c>
      <c r="I68" s="79">
        <f t="shared" si="144"/>
        <v>88.2</v>
      </c>
      <c r="J68" s="80">
        <f>H68-I68</f>
        <v>361.8</v>
      </c>
      <c r="K68" s="81">
        <v>-233</v>
      </c>
      <c r="L68" s="81">
        <v>100</v>
      </c>
      <c r="M68" s="81">
        <v>100</v>
      </c>
      <c r="N68" s="82">
        <f t="shared" si="145"/>
        <v>0.52881611875788925</v>
      </c>
      <c r="O68" s="82" t="e">
        <f>ROUND(1-SQRT(1-2*N68),3)</f>
        <v>#NUM!</v>
      </c>
      <c r="P68" s="82" t="e">
        <f>1-0.5*O68</f>
        <v>#NUM!</v>
      </c>
      <c r="Q68" s="83" t="e">
        <f t="shared" si="146"/>
        <v>#NUM!</v>
      </c>
      <c r="R68" s="84" t="e">
        <f t="shared" si="147"/>
        <v>#NUM!</v>
      </c>
      <c r="S68" s="131" t="e">
        <f t="shared" si="14"/>
        <v>#NUM!</v>
      </c>
      <c r="T68" s="86">
        <v>3</v>
      </c>
      <c r="U68" s="77">
        <v>18</v>
      </c>
      <c r="V68" s="87" t="str">
        <f t="shared" si="131"/>
        <v>+</v>
      </c>
      <c r="W68" s="86">
        <v>2</v>
      </c>
      <c r="X68" s="77">
        <v>18</v>
      </c>
      <c r="Y68" s="88">
        <f>(T68*PI()*U68^2/4+W68*PI()*X68^2/4)/100</f>
        <v>12.723450247038663</v>
      </c>
      <c r="Z68" s="89" t="e">
        <f t="shared" si="133"/>
        <v>#NUM!</v>
      </c>
      <c r="AA68" s="90">
        <f t="shared" si="148"/>
        <v>65.771846196813073</v>
      </c>
      <c r="AB68" s="80">
        <f>($J$11*$H$4*G68*ABS(AA68)*(J68-0.5*ABS(AA68))+$H$6*(T69*PI()*U69^2/4)*(J68-I69))*10^-6</f>
        <v>170.05126560222971</v>
      </c>
      <c r="AC68" s="89" t="str">
        <f t="shared" si="83"/>
        <v>Not Ok</v>
      </c>
      <c r="AD68" s="85">
        <f>(Y68*100)/(G68*H68)</f>
        <v>1.28519699465037E-2</v>
      </c>
      <c r="AE68" s="85">
        <f t="shared" si="149"/>
        <v>1.9281988961466403E-2</v>
      </c>
      <c r="AF68" s="60" t="str">
        <f>IF(AND(AD68&gt;0.1%,AD68&lt;AE68),"Ok","No-Ok")</f>
        <v>Ok</v>
      </c>
      <c r="AG68" s="77">
        <v>8</v>
      </c>
      <c r="AH68" s="76">
        <v>2</v>
      </c>
      <c r="AI68" s="76">
        <v>100</v>
      </c>
      <c r="AJ68" s="60">
        <f t="shared" si="150"/>
        <v>10.048000000000002</v>
      </c>
      <c r="AK68" s="60" t="str">
        <f t="shared" si="151"/>
        <v>OK</v>
      </c>
      <c r="AL68" s="109">
        <f t="shared" si="152"/>
        <v>210</v>
      </c>
      <c r="AT68" s="133" t="str">
        <f t="shared" si="153"/>
        <v>need</v>
      </c>
      <c r="AV68" s="61">
        <f t="shared" si="18"/>
        <v>405.93960000000004</v>
      </c>
      <c r="AW68" s="61" t="str">
        <f t="shared" si="19"/>
        <v>OK</v>
      </c>
      <c r="AX68" s="63">
        <f t="shared" si="20"/>
        <v>331.17507719999998</v>
      </c>
      <c r="AY68" s="63">
        <f t="shared" si="21"/>
        <v>180.9</v>
      </c>
      <c r="AZ68" s="63">
        <f t="shared" si="22"/>
        <v>333.60948616600797</v>
      </c>
      <c r="BA68" s="63">
        <f t="shared" si="76"/>
        <v>63.249999999999993</v>
      </c>
      <c r="BB68" s="63">
        <f t="shared" si="77"/>
        <v>211.00799999999998</v>
      </c>
      <c r="BC68" s="63" t="str">
        <f t="shared" si="78"/>
        <v>OK</v>
      </c>
      <c r="BD68" s="63">
        <f t="shared" si="23"/>
        <v>560.26611929626904</v>
      </c>
      <c r="BE68" s="63">
        <f t="shared" si="24"/>
        <v>286.09552080000003</v>
      </c>
      <c r="BF68" s="63">
        <f t="shared" si="25"/>
        <v>194.56012079999996</v>
      </c>
      <c r="BG68" s="63">
        <f t="shared" si="26"/>
        <v>270.02667378856694</v>
      </c>
      <c r="BH68" s="63">
        <f t="shared" si="27"/>
        <v>160.28174159999998</v>
      </c>
      <c r="BI68" s="63">
        <f t="shared" si="28"/>
        <v>160.28174159999998</v>
      </c>
      <c r="BJ68" s="63">
        <f t="shared" si="29"/>
        <v>160.28174159999998</v>
      </c>
      <c r="BK68" s="63" t="str">
        <f t="shared" si="30"/>
        <v>OK</v>
      </c>
      <c r="BL68" s="63">
        <f t="shared" si="31"/>
        <v>217.08</v>
      </c>
      <c r="BM68" s="63">
        <f t="shared" si="32"/>
        <v>361.8</v>
      </c>
      <c r="BN68" s="63">
        <f t="shared" si="33"/>
        <v>723.6</v>
      </c>
      <c r="BO68" s="63">
        <f t="shared" si="34"/>
        <v>1085.4000000000001</v>
      </c>
      <c r="BP68" s="63">
        <f t="shared" si="35"/>
        <v>45.767699999999998</v>
      </c>
      <c r="BQ68" s="63">
        <f t="shared" si="79"/>
        <v>184.36526447889435</v>
      </c>
      <c r="BR68" s="63" t="str">
        <f t="shared" si="80"/>
        <v>OK</v>
      </c>
      <c r="BU68" s="70">
        <v>12</v>
      </c>
      <c r="BV68" s="70">
        <v>1</v>
      </c>
      <c r="BW68" s="70">
        <f t="shared" si="154"/>
        <v>37.02600000000001</v>
      </c>
      <c r="BX68" s="70" t="str">
        <f>IF(BW68&gt;AT68,"OK","NOT OK")</f>
        <v>NOT OK</v>
      </c>
      <c r="BY68" s="70">
        <f>G68</f>
        <v>220</v>
      </c>
      <c r="BZ68" s="70">
        <f>H68</f>
        <v>450</v>
      </c>
      <c r="CA68" s="70">
        <f>BY68/(2*BZ68+BY68)</f>
        <v>0.19642857142857142</v>
      </c>
      <c r="CB68" s="27">
        <f>O55*AJ68/10</f>
        <v>0.75159040000000021</v>
      </c>
      <c r="CE68" s="71">
        <f>CB68*CA68*BY68*BZ68/1000000</f>
        <v>1.4615749028571434E-2</v>
      </c>
      <c r="CF68" s="71"/>
      <c r="CG68" s="71"/>
      <c r="CH68" s="70">
        <f>T69*3.14*U69^2/4</f>
        <v>763.02</v>
      </c>
      <c r="CI68" s="71">
        <f>0.5*$H$6*CH68*BZ68/1000000</f>
        <v>74.6805825</v>
      </c>
      <c r="CJ68" s="70" t="str">
        <f>IF((CI68+CE68)&gt;AT68,"OK","NOT OK")</f>
        <v>NOT OK</v>
      </c>
      <c r="CK68" s="27">
        <f>BZ68</f>
        <v>450</v>
      </c>
      <c r="CL68" s="27">
        <f>BY68</f>
        <v>220</v>
      </c>
      <c r="CM68" s="74">
        <f>CK68/(2*CL68+CK68)</f>
        <v>0.5056179775280899</v>
      </c>
      <c r="CN68" s="74"/>
      <c r="CO68" s="27">
        <f>O55*AJ68/10</f>
        <v>0.75159040000000021</v>
      </c>
      <c r="CP68" s="74">
        <f>CO68*CM68*CK68*CL68/1000000</f>
        <v>3.7621744179775291E-2</v>
      </c>
      <c r="CQ68" s="27">
        <f>3.14*U69^2/4+3.14*U68^2/4+BV68*3.14*BU68^2/4</f>
        <v>621.72</v>
      </c>
      <c r="CT68" s="71">
        <f>0.5*$H$6*CQ68*CL68/1000000</f>
        <v>29.749302</v>
      </c>
      <c r="CU68" s="71"/>
      <c r="CV68" s="70" t="str">
        <f>IF((CT68+CP68)&gt;U68,"OK","NOT OK")</f>
        <v>OK</v>
      </c>
      <c r="CW68" s="74">
        <f>MIN((CP68+CT68),(CE68+CI68))</f>
        <v>29.786923744179777</v>
      </c>
      <c r="CX68" s="71">
        <f>AB68</f>
        <v>170.05126560222971</v>
      </c>
      <c r="CY68" s="71">
        <f>(BG68+BO68*J68)/1000</f>
        <v>392.96774667378861</v>
      </c>
      <c r="CZ68" s="62">
        <f>CW68*SQRT(1-(K68/CX68)^1)</f>
        <v>45.8580796144376</v>
      </c>
    </row>
    <row r="69" spans="4:104">
      <c r="D69" s="177"/>
      <c r="E69" s="177"/>
      <c r="F69" s="68" t="s">
        <v>16</v>
      </c>
      <c r="G69" s="78">
        <v>220</v>
      </c>
      <c r="H69" s="78">
        <v>450</v>
      </c>
      <c r="I69" s="79">
        <f t="shared" si="144"/>
        <v>69</v>
      </c>
      <c r="J69" s="80">
        <f t="shared" ref="J69:J79" si="162">H69-I69</f>
        <v>381</v>
      </c>
      <c r="K69" s="81">
        <v>102</v>
      </c>
      <c r="L69" s="81">
        <v>70</v>
      </c>
      <c r="M69" s="81">
        <v>70</v>
      </c>
      <c r="N69" s="82">
        <f t="shared" si="145"/>
        <v>0.20875462626346128</v>
      </c>
      <c r="O69" s="82">
        <f t="shared" ref="O69:O79" si="163">ROUND(1-SQRT(1-2*N69),3)</f>
        <v>0.23699999999999999</v>
      </c>
      <c r="P69" s="82">
        <f t="shared" ref="P69:P79" si="164">1-0.5*O69</f>
        <v>0.88149999999999995</v>
      </c>
      <c r="Q69" s="83" t="str">
        <f t="shared" si="146"/>
        <v>Ok</v>
      </c>
      <c r="R69" s="84">
        <f t="shared" si="147"/>
        <v>6.9817392097605531</v>
      </c>
      <c r="S69" s="131">
        <f t="shared" si="14"/>
        <v>8.3294431039853886E-3</v>
      </c>
      <c r="T69" s="86">
        <v>3</v>
      </c>
      <c r="U69" s="77">
        <v>18</v>
      </c>
      <c r="V69" s="87" t="str">
        <f t="shared" si="131"/>
        <v>+</v>
      </c>
      <c r="W69" s="86">
        <v>0</v>
      </c>
      <c r="X69" s="77">
        <v>18</v>
      </c>
      <c r="Y69" s="88">
        <f t="shared" ref="Y69:Y79" si="165">(T69*PI()*U69^2/4+W69*PI()*X69^2/4)/100</f>
        <v>7.6340701482231976</v>
      </c>
      <c r="Z69" s="89" t="str">
        <f t="shared" si="133"/>
        <v>Ok</v>
      </c>
      <c r="AA69" s="80">
        <f t="shared" si="148"/>
        <v>0</v>
      </c>
      <c r="AB69" s="80">
        <f t="shared" ref="AB69:AB79" si="166">($J$11*$H$4*G69*AA69*(J69-0.5*AA69)+$H$6*(T70*PI()*U70^2/4)*(J69-I70))*10^-6</f>
        <v>97.233624663889231</v>
      </c>
      <c r="AC69" s="89" t="str">
        <f t="shared" si="83"/>
        <v>Not Ok</v>
      </c>
      <c r="AD69" s="85">
        <f t="shared" ref="AD69:AD79" si="167">(Y69*100)/(G69*H69)</f>
        <v>7.7111819679022194E-3</v>
      </c>
      <c r="AE69" s="85">
        <f t="shared" si="149"/>
        <v>1.9281988961466403E-2</v>
      </c>
      <c r="AF69" s="60" t="str">
        <f t="shared" ref="AF69:AF79" si="168">IF(AND(AD69&gt;0.1%,AD69&lt;AE69),"Ok","No-Ok")</f>
        <v>Ok</v>
      </c>
      <c r="AG69" s="77">
        <v>8</v>
      </c>
      <c r="AH69" s="76">
        <v>2</v>
      </c>
      <c r="AI69" s="76">
        <v>100</v>
      </c>
      <c r="AJ69" s="60">
        <f t="shared" si="150"/>
        <v>10.048000000000002</v>
      </c>
      <c r="AK69" s="60" t="str">
        <f t="shared" si="151"/>
        <v>OK</v>
      </c>
      <c r="AL69" s="109">
        <f t="shared" si="152"/>
        <v>210</v>
      </c>
      <c r="AT69" s="133" t="str">
        <f t="shared" si="153"/>
        <v>need</v>
      </c>
      <c r="AV69" s="61">
        <f t="shared" si="18"/>
        <v>427.48200000000003</v>
      </c>
      <c r="AW69" s="61" t="str">
        <f t="shared" si="19"/>
        <v>OK</v>
      </c>
      <c r="AX69" s="63">
        <f t="shared" si="20"/>
        <v>524.65332857142846</v>
      </c>
      <c r="AY69" s="63">
        <f t="shared" si="21"/>
        <v>190.5</v>
      </c>
      <c r="AZ69" s="63">
        <f t="shared" si="22"/>
        <v>333.60948616600797</v>
      </c>
      <c r="BA69" s="63">
        <f t="shared" si="76"/>
        <v>63.249999999999993</v>
      </c>
      <c r="BB69" s="63">
        <f t="shared" si="77"/>
        <v>211.00799999999998</v>
      </c>
      <c r="BC69" s="63" t="str">
        <f t="shared" si="78"/>
        <v>OK</v>
      </c>
      <c r="BD69" s="63">
        <f t="shared" si="23"/>
        <v>589.9983179985586</v>
      </c>
      <c r="BE69" s="63">
        <f t="shared" si="24"/>
        <v>301.27803599999999</v>
      </c>
      <c r="BF69" s="63">
        <f t="shared" si="25"/>
        <v>204.88503599999996</v>
      </c>
      <c r="BG69" s="63">
        <f t="shared" si="26"/>
        <v>284.35644752195691</v>
      </c>
      <c r="BH69" s="63">
        <f t="shared" si="27"/>
        <v>168.78757199999998</v>
      </c>
      <c r="BI69" s="63">
        <f t="shared" si="28"/>
        <v>168.78757199999998</v>
      </c>
      <c r="BJ69" s="63">
        <f t="shared" si="29"/>
        <v>168.78757199999998</v>
      </c>
      <c r="BK69" s="63" t="str">
        <f t="shared" si="30"/>
        <v>OK</v>
      </c>
      <c r="BL69" s="63">
        <f t="shared" si="31"/>
        <v>228.6</v>
      </c>
      <c r="BM69" s="63">
        <f t="shared" si="32"/>
        <v>381</v>
      </c>
      <c r="BN69" s="63">
        <f t="shared" si="33"/>
        <v>762</v>
      </c>
      <c r="BO69" s="63">
        <f t="shared" si="34"/>
        <v>1143</v>
      </c>
      <c r="BP69" s="63">
        <f t="shared" si="35"/>
        <v>48.196499999999993</v>
      </c>
      <c r="BQ69" s="63">
        <f t="shared" si="79"/>
        <v>194.03132273763174</v>
      </c>
      <c r="BR69" s="63" t="str">
        <f t="shared" si="80"/>
        <v>OK</v>
      </c>
      <c r="BW69" s="70">
        <f t="shared" si="154"/>
        <v>37.02600000000001</v>
      </c>
    </row>
    <row r="70" spans="4:104">
      <c r="D70" s="178"/>
      <c r="E70" s="178"/>
      <c r="F70" s="67" t="s">
        <v>15</v>
      </c>
      <c r="G70" s="78">
        <v>220</v>
      </c>
      <c r="H70" s="78">
        <v>450</v>
      </c>
      <c r="I70" s="79">
        <f t="shared" si="144"/>
        <v>88.2</v>
      </c>
      <c r="J70" s="80">
        <f t="shared" si="162"/>
        <v>361.8</v>
      </c>
      <c r="K70" s="81">
        <v>-140</v>
      </c>
      <c r="L70" s="81">
        <v>92</v>
      </c>
      <c r="M70" s="81">
        <v>92</v>
      </c>
      <c r="N70" s="82">
        <f t="shared" si="145"/>
        <v>0.31774359066997637</v>
      </c>
      <c r="O70" s="82">
        <f t="shared" si="163"/>
        <v>0.39600000000000002</v>
      </c>
      <c r="P70" s="82">
        <f t="shared" si="164"/>
        <v>0.80200000000000005</v>
      </c>
      <c r="Q70" s="83" t="str">
        <f t="shared" si="146"/>
        <v>Ok</v>
      </c>
      <c r="R70" s="84">
        <f t="shared" si="147"/>
        <v>11.091642110167163</v>
      </c>
      <c r="S70" s="131">
        <f t="shared" si="14"/>
        <v>1.3934924003928793E-2</v>
      </c>
      <c r="T70" s="86">
        <v>3</v>
      </c>
      <c r="U70" s="77">
        <v>18</v>
      </c>
      <c r="V70" s="87" t="str">
        <f t="shared" si="131"/>
        <v>+</v>
      </c>
      <c r="W70" s="86">
        <v>2</v>
      </c>
      <c r="X70" s="77">
        <v>18</v>
      </c>
      <c r="Y70" s="88">
        <f t="shared" si="165"/>
        <v>12.723450247038663</v>
      </c>
      <c r="Z70" s="89" t="str">
        <f t="shared" si="133"/>
        <v>Ok</v>
      </c>
      <c r="AA70" s="80">
        <f t="shared" si="148"/>
        <v>-25.88243947559771</v>
      </c>
      <c r="AB70" s="80">
        <f t="shared" si="166"/>
        <v>135.05899648785521</v>
      </c>
      <c r="AC70" s="89" t="str">
        <f t="shared" si="83"/>
        <v>Not Ok</v>
      </c>
      <c r="AD70" s="85">
        <f t="shared" si="167"/>
        <v>1.28519699465037E-2</v>
      </c>
      <c r="AE70" s="85">
        <f t="shared" si="149"/>
        <v>1.9281988961466403E-2</v>
      </c>
      <c r="AF70" s="60" t="str">
        <f t="shared" si="168"/>
        <v>Ok</v>
      </c>
      <c r="AG70" s="77">
        <v>8</v>
      </c>
      <c r="AH70" s="76">
        <v>2</v>
      </c>
      <c r="AI70" s="76">
        <v>100</v>
      </c>
      <c r="AJ70" s="60">
        <f t="shared" si="150"/>
        <v>10.048000000000002</v>
      </c>
      <c r="AK70" s="60" t="str">
        <f t="shared" si="151"/>
        <v>OK</v>
      </c>
      <c r="AL70" s="109">
        <f t="shared" si="152"/>
        <v>210</v>
      </c>
      <c r="AT70" s="133" t="str">
        <f t="shared" si="153"/>
        <v>need</v>
      </c>
      <c r="AV70" s="61">
        <f t="shared" si="18"/>
        <v>405.93960000000004</v>
      </c>
      <c r="AW70" s="61" t="str">
        <f t="shared" si="19"/>
        <v>OK</v>
      </c>
      <c r="AX70" s="63">
        <f t="shared" si="20"/>
        <v>359.97291000000001</v>
      </c>
      <c r="AY70" s="63">
        <f t="shared" si="21"/>
        <v>180.9</v>
      </c>
      <c r="AZ70" s="63">
        <f t="shared" si="22"/>
        <v>333.60948616600797</v>
      </c>
      <c r="BA70" s="63">
        <f t="shared" si="76"/>
        <v>63.249999999999993</v>
      </c>
      <c r="BB70" s="63">
        <f t="shared" si="77"/>
        <v>211.00799999999998</v>
      </c>
      <c r="BC70" s="63" t="str">
        <f t="shared" si="78"/>
        <v>OK</v>
      </c>
      <c r="BD70" s="63">
        <f t="shared" si="23"/>
        <v>560.26611929626904</v>
      </c>
      <c r="BE70" s="63">
        <f t="shared" si="24"/>
        <v>286.09552080000003</v>
      </c>
      <c r="BF70" s="63">
        <f t="shared" si="25"/>
        <v>194.56012079999996</v>
      </c>
      <c r="BG70" s="63">
        <f t="shared" si="26"/>
        <v>270.02667378856694</v>
      </c>
      <c r="BH70" s="63">
        <f t="shared" si="27"/>
        <v>160.28174159999998</v>
      </c>
      <c r="BI70" s="63">
        <f t="shared" si="28"/>
        <v>160.28174159999998</v>
      </c>
      <c r="BJ70" s="63">
        <f t="shared" si="29"/>
        <v>160.28174159999998</v>
      </c>
      <c r="BK70" s="63" t="str">
        <f t="shared" si="30"/>
        <v>OK</v>
      </c>
      <c r="BL70" s="63">
        <f t="shared" si="31"/>
        <v>217.08</v>
      </c>
      <c r="BM70" s="63">
        <f t="shared" si="32"/>
        <v>361.8</v>
      </c>
      <c r="BN70" s="63">
        <f t="shared" si="33"/>
        <v>723.6</v>
      </c>
      <c r="BO70" s="63">
        <f t="shared" si="34"/>
        <v>1085.4000000000001</v>
      </c>
      <c r="BP70" s="63">
        <f t="shared" si="35"/>
        <v>45.767699999999998</v>
      </c>
      <c r="BQ70" s="63">
        <f t="shared" si="79"/>
        <v>129.18600158541943</v>
      </c>
      <c r="BR70" s="63" t="str">
        <f t="shared" si="80"/>
        <v>OK</v>
      </c>
      <c r="BW70" s="70">
        <f t="shared" si="154"/>
        <v>37.02600000000001</v>
      </c>
    </row>
    <row r="71" spans="4:104">
      <c r="D71" s="179" t="s">
        <v>118</v>
      </c>
      <c r="E71" s="179" t="s">
        <v>235</v>
      </c>
      <c r="F71" s="91" t="s">
        <v>15</v>
      </c>
      <c r="G71" s="78">
        <v>220</v>
      </c>
      <c r="H71" s="78">
        <v>450</v>
      </c>
      <c r="I71" s="92">
        <f t="shared" si="144"/>
        <v>100</v>
      </c>
      <c r="J71" s="93">
        <f t="shared" si="162"/>
        <v>350</v>
      </c>
      <c r="K71" s="94">
        <v>-573</v>
      </c>
      <c r="L71" s="94">
        <v>273</v>
      </c>
      <c r="M71" s="94">
        <v>273</v>
      </c>
      <c r="N71" s="95">
        <f t="shared" si="145"/>
        <v>1.3896467677980282</v>
      </c>
      <c r="O71" s="95" t="e">
        <f t="shared" si="163"/>
        <v>#NUM!</v>
      </c>
      <c r="P71" s="95" t="e">
        <f t="shared" si="164"/>
        <v>#NUM!</v>
      </c>
      <c r="Q71" s="96" t="e">
        <f t="shared" si="146"/>
        <v>#NUM!</v>
      </c>
      <c r="R71" s="97" t="e">
        <f t="shared" si="147"/>
        <v>#NUM!</v>
      </c>
      <c r="S71" s="131" t="e">
        <f t="shared" si="14"/>
        <v>#NUM!</v>
      </c>
      <c r="T71" s="99">
        <v>3</v>
      </c>
      <c r="U71" s="100">
        <v>25</v>
      </c>
      <c r="V71" s="101" t="str">
        <f t="shared" si="131"/>
        <v>+</v>
      </c>
      <c r="W71" s="99">
        <v>3</v>
      </c>
      <c r="X71" s="100">
        <v>25</v>
      </c>
      <c r="Y71" s="102">
        <f t="shared" si="165"/>
        <v>29.45243112740431</v>
      </c>
      <c r="Z71" s="103" t="e">
        <f t="shared" si="133"/>
        <v>#NUM!</v>
      </c>
      <c r="AA71" s="93">
        <f t="shared" si="148"/>
        <v>190.31205496763036</v>
      </c>
      <c r="AB71" s="93">
        <f t="shared" si="166"/>
        <v>326.92143776456004</v>
      </c>
      <c r="AC71" s="89" t="str">
        <f t="shared" si="83"/>
        <v>Not Ok</v>
      </c>
      <c r="AD71" s="98">
        <f t="shared" si="167"/>
        <v>2.9749930431721527E-2</v>
      </c>
      <c r="AE71" s="98">
        <f t="shared" si="149"/>
        <v>1.9281988961466403E-2</v>
      </c>
      <c r="AF71" s="104" t="str">
        <f t="shared" si="168"/>
        <v>No-Ok</v>
      </c>
      <c r="AG71" s="100">
        <v>8</v>
      </c>
      <c r="AH71" s="105">
        <v>2</v>
      </c>
      <c r="AI71" s="105">
        <v>100</v>
      </c>
      <c r="AJ71" s="104">
        <f t="shared" si="150"/>
        <v>10.048000000000002</v>
      </c>
      <c r="AK71" s="60" t="str">
        <f t="shared" si="151"/>
        <v>NOT OK</v>
      </c>
      <c r="AL71" s="109">
        <f t="shared" si="152"/>
        <v>210</v>
      </c>
      <c r="AT71" s="133" t="str">
        <f t="shared" si="153"/>
        <v>need</v>
      </c>
      <c r="AV71" s="61">
        <f t="shared" si="18"/>
        <v>392.7</v>
      </c>
      <c r="AW71" s="61" t="str">
        <f t="shared" si="19"/>
        <v>OK</v>
      </c>
      <c r="AX71" s="63">
        <f t="shared" si="20"/>
        <v>113.52564102564101</v>
      </c>
      <c r="AY71" s="63">
        <f t="shared" si="21"/>
        <v>175</v>
      </c>
      <c r="AZ71" s="63">
        <f t="shared" si="22"/>
        <v>333.60948616600797</v>
      </c>
      <c r="BA71" s="63">
        <f t="shared" si="76"/>
        <v>63.249999999999993</v>
      </c>
      <c r="BB71" s="63">
        <f t="shared" si="77"/>
        <v>211.00799999999998</v>
      </c>
      <c r="BC71" s="63" t="str">
        <f t="shared" si="78"/>
        <v>OK</v>
      </c>
      <c r="BD71" s="63">
        <f t="shared" si="23"/>
        <v>541.99320551048697</v>
      </c>
      <c r="BE71" s="63">
        <f t="shared" si="24"/>
        <v>276.76459999999997</v>
      </c>
      <c r="BF71" s="63">
        <f t="shared" si="25"/>
        <v>188.21459999999996</v>
      </c>
      <c r="BG71" s="63">
        <f t="shared" si="26"/>
        <v>261.21983368158772</v>
      </c>
      <c r="BH71" s="63">
        <f t="shared" si="27"/>
        <v>155.05419999999998</v>
      </c>
      <c r="BI71" s="63">
        <f t="shared" si="28"/>
        <v>155.05419999999998</v>
      </c>
      <c r="BJ71" s="63">
        <f t="shared" si="29"/>
        <v>155.05419999999998</v>
      </c>
      <c r="BK71" s="63" t="str">
        <f t="shared" si="30"/>
        <v>NOT OK</v>
      </c>
      <c r="BL71" s="63">
        <f t="shared" si="31"/>
        <v>210</v>
      </c>
      <c r="BM71" s="63">
        <f t="shared" si="32"/>
        <v>350</v>
      </c>
      <c r="BN71" s="63">
        <f t="shared" si="33"/>
        <v>700</v>
      </c>
      <c r="BO71" s="63">
        <f t="shared" si="34"/>
        <v>1050</v>
      </c>
      <c r="BP71" s="63">
        <f t="shared" si="35"/>
        <v>44.274999999999991</v>
      </c>
      <c r="BQ71" s="63">
        <f t="shared" si="79"/>
        <v>194.03132273763174</v>
      </c>
      <c r="BR71" s="63" t="str">
        <f t="shared" si="80"/>
        <v>OK</v>
      </c>
      <c r="BW71" s="70">
        <f t="shared" si="154"/>
        <v>37.02600000000001</v>
      </c>
    </row>
    <row r="72" spans="4:104">
      <c r="D72" s="180"/>
      <c r="E72" s="180"/>
      <c r="F72" s="106" t="s">
        <v>16</v>
      </c>
      <c r="G72" s="78">
        <v>220</v>
      </c>
      <c r="H72" s="78">
        <v>450</v>
      </c>
      <c r="I72" s="92">
        <f t="shared" si="144"/>
        <v>94.5</v>
      </c>
      <c r="J72" s="93">
        <f t="shared" si="162"/>
        <v>355.5</v>
      </c>
      <c r="K72" s="94">
        <v>553</v>
      </c>
      <c r="L72" s="94">
        <v>256</v>
      </c>
      <c r="M72" s="94">
        <v>256</v>
      </c>
      <c r="N72" s="95">
        <f t="shared" si="145"/>
        <v>1.299965448775465</v>
      </c>
      <c r="O72" s="95" t="e">
        <f t="shared" si="163"/>
        <v>#NUM!</v>
      </c>
      <c r="P72" s="95" t="e">
        <f t="shared" si="164"/>
        <v>#NUM!</v>
      </c>
      <c r="Q72" s="96" t="e">
        <f t="shared" si="146"/>
        <v>#NUM!</v>
      </c>
      <c r="R72" s="97" t="e">
        <f t="shared" si="147"/>
        <v>#NUM!</v>
      </c>
      <c r="S72" s="131" t="e">
        <f t="shared" si="14"/>
        <v>#NUM!</v>
      </c>
      <c r="T72" s="99">
        <v>3</v>
      </c>
      <c r="U72" s="100">
        <v>25</v>
      </c>
      <c r="V72" s="101" t="str">
        <f t="shared" si="131"/>
        <v>+</v>
      </c>
      <c r="W72" s="99">
        <v>2</v>
      </c>
      <c r="X72" s="100">
        <v>25</v>
      </c>
      <c r="Y72" s="102">
        <f t="shared" si="165"/>
        <v>24.543692606170261</v>
      </c>
      <c r="Z72" s="103" t="e">
        <f t="shared" si="133"/>
        <v>#NUM!</v>
      </c>
      <c r="AA72" s="93">
        <f t="shared" si="148"/>
        <v>126.87470331175358</v>
      </c>
      <c r="AB72" s="93">
        <f t="shared" si="166"/>
        <v>288.39918933989429</v>
      </c>
      <c r="AC72" s="89" t="str">
        <f t="shared" si="83"/>
        <v>Not Ok</v>
      </c>
      <c r="AD72" s="98">
        <f t="shared" si="167"/>
        <v>2.4791608693101274E-2</v>
      </c>
      <c r="AE72" s="98">
        <f t="shared" si="149"/>
        <v>1.9281988961466403E-2</v>
      </c>
      <c r="AF72" s="104" t="str">
        <f t="shared" si="168"/>
        <v>No-Ok</v>
      </c>
      <c r="AG72" s="100">
        <v>8</v>
      </c>
      <c r="AH72" s="105">
        <v>2</v>
      </c>
      <c r="AI72" s="105">
        <v>100</v>
      </c>
      <c r="AJ72" s="104">
        <f t="shared" si="150"/>
        <v>10.048000000000002</v>
      </c>
      <c r="AK72" s="60" t="str">
        <f t="shared" si="151"/>
        <v>NOT OK</v>
      </c>
      <c r="AL72" s="109">
        <f t="shared" si="152"/>
        <v>210</v>
      </c>
      <c r="AT72" s="133" t="str">
        <f t="shared" si="153"/>
        <v>need</v>
      </c>
      <c r="AV72" s="61">
        <f t="shared" si="18"/>
        <v>398.87099999999998</v>
      </c>
      <c r="AW72" s="61" t="str">
        <f t="shared" si="19"/>
        <v>OK</v>
      </c>
      <c r="AX72" s="63">
        <f t="shared" si="20"/>
        <v>124.89923144531248</v>
      </c>
      <c r="AY72" s="63">
        <f t="shared" si="21"/>
        <v>177.75</v>
      </c>
      <c r="AZ72" s="63">
        <f t="shared" si="22"/>
        <v>333.60948616600797</v>
      </c>
      <c r="BA72" s="63">
        <f t="shared" si="76"/>
        <v>63.249999999999993</v>
      </c>
      <c r="BB72" s="63">
        <f t="shared" si="77"/>
        <v>211.00799999999998</v>
      </c>
      <c r="BC72" s="63" t="str">
        <f t="shared" si="78"/>
        <v>OK</v>
      </c>
      <c r="BD72" s="63">
        <f t="shared" si="23"/>
        <v>550.51024159708027</v>
      </c>
      <c r="BE72" s="63">
        <f t="shared" si="24"/>
        <v>281.11375799999996</v>
      </c>
      <c r="BF72" s="63">
        <f t="shared" si="25"/>
        <v>191.17225799999994</v>
      </c>
      <c r="BG72" s="63">
        <f t="shared" si="26"/>
        <v>265.32471678229837</v>
      </c>
      <c r="BH72" s="63">
        <f t="shared" si="27"/>
        <v>157.49076599999995</v>
      </c>
      <c r="BI72" s="63">
        <f t="shared" si="28"/>
        <v>157.49076599999995</v>
      </c>
      <c r="BJ72" s="63">
        <f t="shared" si="29"/>
        <v>157.49076599999995</v>
      </c>
      <c r="BK72" s="63" t="str">
        <f t="shared" si="30"/>
        <v>NOT OK</v>
      </c>
      <c r="BL72" s="63">
        <f t="shared" si="31"/>
        <v>213.29999999999998</v>
      </c>
      <c r="BM72" s="63">
        <f t="shared" si="32"/>
        <v>355.5</v>
      </c>
      <c r="BN72" s="63">
        <f t="shared" si="33"/>
        <v>711</v>
      </c>
      <c r="BO72" s="63">
        <f t="shared" si="34"/>
        <v>1066.5</v>
      </c>
      <c r="BP72" s="63">
        <f t="shared" si="35"/>
        <v>44.970749999999995</v>
      </c>
      <c r="BQ72" s="63">
        <f t="shared" si="79"/>
        <v>416.49617752325759</v>
      </c>
      <c r="BR72" s="63" t="str">
        <f t="shared" si="80"/>
        <v>OK</v>
      </c>
      <c r="BW72" s="70">
        <f t="shared" si="154"/>
        <v>37.02600000000001</v>
      </c>
    </row>
    <row r="73" spans="4:104">
      <c r="D73" s="181"/>
      <c r="E73" s="181"/>
      <c r="F73" s="91" t="s">
        <v>15</v>
      </c>
      <c r="G73" s="78">
        <v>220</v>
      </c>
      <c r="H73" s="78">
        <v>450</v>
      </c>
      <c r="I73" s="92">
        <f t="shared" si="144"/>
        <v>100</v>
      </c>
      <c r="J73" s="93">
        <f t="shared" si="162"/>
        <v>350</v>
      </c>
      <c r="K73" s="94">
        <v>-637</v>
      </c>
      <c r="L73" s="94">
        <v>298</v>
      </c>
      <c r="M73" s="94">
        <v>298</v>
      </c>
      <c r="N73" s="95">
        <f t="shared" si="145"/>
        <v>1.5448603683897801</v>
      </c>
      <c r="O73" s="95" t="e">
        <f t="shared" si="163"/>
        <v>#NUM!</v>
      </c>
      <c r="P73" s="95" t="e">
        <f t="shared" si="164"/>
        <v>#NUM!</v>
      </c>
      <c r="Q73" s="96" t="e">
        <f t="shared" si="146"/>
        <v>#NUM!</v>
      </c>
      <c r="R73" s="97" t="e">
        <f t="shared" si="147"/>
        <v>#NUM!</v>
      </c>
      <c r="S73" s="131" t="e">
        <f t="shared" si="14"/>
        <v>#NUM!</v>
      </c>
      <c r="T73" s="99">
        <v>3</v>
      </c>
      <c r="U73" s="100">
        <v>25</v>
      </c>
      <c r="V73" s="101" t="str">
        <f t="shared" si="131"/>
        <v>+</v>
      </c>
      <c r="W73" s="99">
        <v>3</v>
      </c>
      <c r="X73" s="100">
        <v>25</v>
      </c>
      <c r="Y73" s="102">
        <f t="shared" si="165"/>
        <v>29.45243112740431</v>
      </c>
      <c r="Z73" s="103" t="e">
        <f t="shared" si="133"/>
        <v>#NUM!</v>
      </c>
      <c r="AA73" s="93">
        <f t="shared" si="148"/>
        <v>190.31205496763036</v>
      </c>
      <c r="AB73" s="93">
        <f t="shared" si="166"/>
        <v>320.87561034537907</v>
      </c>
      <c r="AC73" s="89" t="str">
        <f t="shared" si="83"/>
        <v>Not Ok</v>
      </c>
      <c r="AD73" s="98">
        <f t="shared" si="167"/>
        <v>2.9749930431721527E-2</v>
      </c>
      <c r="AE73" s="98">
        <f t="shared" si="149"/>
        <v>1.9281988961466403E-2</v>
      </c>
      <c r="AF73" s="104" t="str">
        <f t="shared" si="168"/>
        <v>No-Ok</v>
      </c>
      <c r="AG73" s="100">
        <v>8</v>
      </c>
      <c r="AH73" s="105">
        <v>2</v>
      </c>
      <c r="AI73" s="105">
        <v>100</v>
      </c>
      <c r="AJ73" s="104">
        <f t="shared" si="150"/>
        <v>10.048000000000002</v>
      </c>
      <c r="AK73" s="60" t="str">
        <f t="shared" si="151"/>
        <v>NOT OK</v>
      </c>
      <c r="AL73" s="109">
        <f t="shared" si="152"/>
        <v>210</v>
      </c>
      <c r="AT73" s="133" t="str">
        <f t="shared" si="153"/>
        <v>need</v>
      </c>
      <c r="AV73" s="61">
        <f t="shared" si="18"/>
        <v>392.7</v>
      </c>
      <c r="AW73" s="61" t="str">
        <f t="shared" si="19"/>
        <v>OK</v>
      </c>
      <c r="AX73" s="63">
        <f t="shared" si="20"/>
        <v>104.00167785234898</v>
      </c>
      <c r="AY73" s="63">
        <f t="shared" si="21"/>
        <v>175</v>
      </c>
      <c r="AZ73" s="63">
        <f t="shared" si="22"/>
        <v>333.60948616600797</v>
      </c>
      <c r="BA73" s="63">
        <f t="shared" si="76"/>
        <v>63.249999999999993</v>
      </c>
      <c r="BB73" s="63">
        <f t="shared" si="77"/>
        <v>211.00799999999998</v>
      </c>
      <c r="BC73" s="63" t="str">
        <f t="shared" si="78"/>
        <v>OK</v>
      </c>
      <c r="BD73" s="63">
        <f t="shared" si="23"/>
        <v>541.99320551048697</v>
      </c>
      <c r="BE73" s="63">
        <f t="shared" si="24"/>
        <v>276.76459999999997</v>
      </c>
      <c r="BF73" s="63">
        <f t="shared" si="25"/>
        <v>188.21459999999996</v>
      </c>
      <c r="BG73" s="63">
        <f t="shared" si="26"/>
        <v>261.21983368158772</v>
      </c>
      <c r="BH73" s="63">
        <f t="shared" si="27"/>
        <v>155.05419999999998</v>
      </c>
      <c r="BI73" s="63">
        <f t="shared" si="28"/>
        <v>155.05419999999998</v>
      </c>
      <c r="BJ73" s="63">
        <f t="shared" si="29"/>
        <v>155.05419999999998</v>
      </c>
      <c r="BK73" s="63" t="str">
        <f t="shared" si="30"/>
        <v>NOT OK</v>
      </c>
      <c r="BL73" s="63">
        <f t="shared" si="31"/>
        <v>210</v>
      </c>
      <c r="BM73" s="63">
        <f t="shared" si="32"/>
        <v>350</v>
      </c>
      <c r="BN73" s="63">
        <f t="shared" si="33"/>
        <v>700</v>
      </c>
      <c r="BO73" s="63">
        <f t="shared" si="34"/>
        <v>1050</v>
      </c>
      <c r="BP73" s="63">
        <f t="shared" si="35"/>
        <v>44.274999999999991</v>
      </c>
      <c r="BQ73" s="63">
        <f t="shared" si="79"/>
        <v>354.92844044247164</v>
      </c>
      <c r="BR73" s="63" t="str">
        <f t="shared" si="80"/>
        <v>NOT OK</v>
      </c>
      <c r="BW73" s="70">
        <f t="shared" si="154"/>
        <v>37.02600000000001</v>
      </c>
    </row>
    <row r="74" spans="4:104">
      <c r="D74" s="176" t="s">
        <v>119</v>
      </c>
      <c r="E74" s="176" t="s">
        <v>236</v>
      </c>
      <c r="F74" s="67" t="s">
        <v>15</v>
      </c>
      <c r="G74" s="78">
        <v>220</v>
      </c>
      <c r="H74" s="78">
        <v>450</v>
      </c>
      <c r="I74" s="79">
        <f t="shared" si="144"/>
        <v>103.93789921930448</v>
      </c>
      <c r="J74" s="80">
        <f t="shared" si="162"/>
        <v>346.06210078069552</v>
      </c>
      <c r="K74" s="81">
        <v>-379</v>
      </c>
      <c r="L74" s="81">
        <v>174</v>
      </c>
      <c r="M74" s="81">
        <v>174</v>
      </c>
      <c r="N74" s="82">
        <f t="shared" si="145"/>
        <v>0.94019301126767163</v>
      </c>
      <c r="O74" s="82" t="e">
        <f t="shared" si="163"/>
        <v>#NUM!</v>
      </c>
      <c r="P74" s="82" t="e">
        <f t="shared" si="164"/>
        <v>#NUM!</v>
      </c>
      <c r="Q74" s="83" t="e">
        <f t="shared" si="146"/>
        <v>#NUM!</v>
      </c>
      <c r="R74" s="84" t="e">
        <f t="shared" si="147"/>
        <v>#NUM!</v>
      </c>
      <c r="S74" s="131" t="e">
        <f t="shared" si="14"/>
        <v>#NUM!</v>
      </c>
      <c r="T74" s="86">
        <v>3</v>
      </c>
      <c r="U74" s="77">
        <v>25</v>
      </c>
      <c r="V74" s="87" t="str">
        <f t="shared" si="131"/>
        <v>+</v>
      </c>
      <c r="W74" s="86">
        <v>3</v>
      </c>
      <c r="X74" s="77">
        <v>28</v>
      </c>
      <c r="Y74" s="88">
        <f t="shared" si="165"/>
        <v>33.198780366810141</v>
      </c>
      <c r="Z74" s="89" t="e">
        <f t="shared" si="133"/>
        <v>#NUM!</v>
      </c>
      <c r="AA74" s="80">
        <f t="shared" si="148"/>
        <v>281.66184135209295</v>
      </c>
      <c r="AB74" s="80">
        <f t="shared" si="166"/>
        <v>320.70690709175432</v>
      </c>
      <c r="AC74" s="89" t="str">
        <f t="shared" si="83"/>
        <v>Not Ok</v>
      </c>
      <c r="AD74" s="85">
        <f t="shared" si="167"/>
        <v>3.3534121582636509E-2</v>
      </c>
      <c r="AE74" s="85">
        <f t="shared" si="149"/>
        <v>1.9281988961466403E-2</v>
      </c>
      <c r="AF74" s="60" t="str">
        <f t="shared" si="168"/>
        <v>No-Ok</v>
      </c>
      <c r="AG74" s="77">
        <v>8</v>
      </c>
      <c r="AH74" s="76">
        <v>2</v>
      </c>
      <c r="AI74" s="76">
        <v>100</v>
      </c>
      <c r="AJ74" s="60">
        <f t="shared" si="150"/>
        <v>10.048000000000002</v>
      </c>
      <c r="AK74" s="60" t="str">
        <f t="shared" si="151"/>
        <v>NOT OK</v>
      </c>
      <c r="AL74" s="109">
        <f t="shared" si="152"/>
        <v>210</v>
      </c>
      <c r="AT74" s="133" t="str">
        <f t="shared" si="153"/>
        <v>need</v>
      </c>
      <c r="AV74" s="61">
        <f t="shared" si="18"/>
        <v>388.28167707594037</v>
      </c>
      <c r="AW74" s="61" t="str">
        <f t="shared" si="19"/>
        <v>OK</v>
      </c>
      <c r="AX74" s="63">
        <f t="shared" si="20"/>
        <v>174.1323065056167</v>
      </c>
      <c r="AY74" s="63">
        <f t="shared" si="21"/>
        <v>173.03105039034776</v>
      </c>
      <c r="AZ74" s="63">
        <f t="shared" si="22"/>
        <v>333.60948616600797</v>
      </c>
      <c r="BA74" s="63">
        <f t="shared" si="76"/>
        <v>63.249999999999993</v>
      </c>
      <c r="BB74" s="63">
        <f t="shared" si="77"/>
        <v>211.00799999999998</v>
      </c>
      <c r="BC74" s="63" t="str">
        <f t="shared" si="78"/>
        <v>OK</v>
      </c>
      <c r="BD74" s="63">
        <f t="shared" si="23"/>
        <v>535.89516373663525</v>
      </c>
      <c r="BE74" s="63">
        <f t="shared" si="24"/>
        <v>273.65068256493964</v>
      </c>
      <c r="BF74" s="63">
        <f t="shared" si="25"/>
        <v>186.09697106742365</v>
      </c>
      <c r="BG74" s="63">
        <f t="shared" si="26"/>
        <v>258.28081259838319</v>
      </c>
      <c r="BH74" s="63">
        <f t="shared" si="27"/>
        <v>153.30966339105746</v>
      </c>
      <c r="BI74" s="63">
        <f t="shared" si="28"/>
        <v>153.30966339105746</v>
      </c>
      <c r="BJ74" s="63">
        <f t="shared" si="29"/>
        <v>153.30966339105746</v>
      </c>
      <c r="BK74" s="63" t="str">
        <f t="shared" si="30"/>
        <v>NOT OK</v>
      </c>
      <c r="BL74" s="63">
        <f t="shared" si="31"/>
        <v>207.63726046841731</v>
      </c>
      <c r="BM74" s="63">
        <f t="shared" si="32"/>
        <v>346.06210078069552</v>
      </c>
      <c r="BN74" s="63">
        <f t="shared" si="33"/>
        <v>692.12420156139103</v>
      </c>
      <c r="BO74" s="63">
        <f t="shared" si="34"/>
        <v>1038.1863023420865</v>
      </c>
      <c r="BP74" s="63">
        <f t="shared" si="35"/>
        <v>43.776855748757974</v>
      </c>
      <c r="BQ74" s="63">
        <f t="shared" si="79"/>
        <v>416.49617752325759</v>
      </c>
      <c r="BR74" s="63" t="str">
        <f t="shared" si="80"/>
        <v>OK</v>
      </c>
      <c r="BW74" s="70">
        <f t="shared" si="154"/>
        <v>37.02600000000001</v>
      </c>
    </row>
    <row r="75" spans="4:104">
      <c r="D75" s="177"/>
      <c r="E75" s="177"/>
      <c r="F75" s="68" t="s">
        <v>16</v>
      </c>
      <c r="G75" s="78">
        <v>220</v>
      </c>
      <c r="H75" s="78">
        <v>450</v>
      </c>
      <c r="I75" s="79">
        <f t="shared" si="144"/>
        <v>91.8</v>
      </c>
      <c r="J75" s="80">
        <f t="shared" si="162"/>
        <v>358.2</v>
      </c>
      <c r="K75" s="81">
        <v>304</v>
      </c>
      <c r="L75" s="81">
        <v>156</v>
      </c>
      <c r="M75" s="81">
        <v>156</v>
      </c>
      <c r="N75" s="82">
        <f t="shared" si="145"/>
        <v>0.70389569477393177</v>
      </c>
      <c r="O75" s="82" t="e">
        <f t="shared" si="163"/>
        <v>#NUM!</v>
      </c>
      <c r="P75" s="82" t="e">
        <f t="shared" si="164"/>
        <v>#NUM!</v>
      </c>
      <c r="Q75" s="83" t="e">
        <f t="shared" si="146"/>
        <v>#NUM!</v>
      </c>
      <c r="R75" s="84" t="e">
        <f t="shared" si="147"/>
        <v>#NUM!</v>
      </c>
      <c r="S75" s="131" t="e">
        <f t="shared" si="14"/>
        <v>#NUM!</v>
      </c>
      <c r="T75" s="86">
        <v>3</v>
      </c>
      <c r="U75" s="77">
        <v>22</v>
      </c>
      <c r="V75" s="87" t="str">
        <f t="shared" si="131"/>
        <v>+</v>
      </c>
      <c r="W75" s="86">
        <v>2</v>
      </c>
      <c r="X75" s="77">
        <v>22</v>
      </c>
      <c r="Y75" s="88">
        <f t="shared" si="165"/>
        <v>19.006635554218249</v>
      </c>
      <c r="Z75" s="89" t="e">
        <f t="shared" si="133"/>
        <v>#NUM!</v>
      </c>
      <c r="AA75" s="80">
        <f t="shared" si="148"/>
        <v>55.317370643924527</v>
      </c>
      <c r="AB75" s="80">
        <f t="shared" si="166"/>
        <v>224.42407582147976</v>
      </c>
      <c r="AC75" s="89" t="str">
        <f t="shared" si="83"/>
        <v>Not Ok</v>
      </c>
      <c r="AD75" s="85">
        <f t="shared" si="167"/>
        <v>1.9198621771937624E-2</v>
      </c>
      <c r="AE75" s="85">
        <f t="shared" si="149"/>
        <v>1.9281988961466403E-2</v>
      </c>
      <c r="AF75" s="60" t="str">
        <f t="shared" si="168"/>
        <v>Ok</v>
      </c>
      <c r="AG75" s="77">
        <v>8</v>
      </c>
      <c r="AH75" s="76">
        <v>2</v>
      </c>
      <c r="AI75" s="76">
        <v>100</v>
      </c>
      <c r="AJ75" s="60">
        <f t="shared" si="150"/>
        <v>10.048000000000002</v>
      </c>
      <c r="AK75" s="60" t="str">
        <f t="shared" si="151"/>
        <v>OK</v>
      </c>
      <c r="AL75" s="109">
        <f t="shared" si="152"/>
        <v>210</v>
      </c>
      <c r="AT75" s="133" t="str">
        <f t="shared" si="153"/>
        <v>need</v>
      </c>
      <c r="AV75" s="61">
        <f t="shared" si="18"/>
        <v>401.90039999999999</v>
      </c>
      <c r="AW75" s="61" t="str">
        <f t="shared" si="19"/>
        <v>OK</v>
      </c>
      <c r="AX75" s="63">
        <f t="shared" si="20"/>
        <v>208.08802384615382</v>
      </c>
      <c r="AY75" s="63">
        <f t="shared" si="21"/>
        <v>179.1</v>
      </c>
      <c r="AZ75" s="63">
        <f t="shared" si="22"/>
        <v>333.60948616600797</v>
      </c>
      <c r="BA75" s="63">
        <f t="shared" si="76"/>
        <v>63.249999999999993</v>
      </c>
      <c r="BB75" s="63">
        <f t="shared" si="77"/>
        <v>211.00799999999998</v>
      </c>
      <c r="BC75" s="63" t="str">
        <f t="shared" si="78"/>
        <v>OK</v>
      </c>
      <c r="BD75" s="63">
        <f t="shared" si="23"/>
        <v>554.69133203958972</v>
      </c>
      <c r="BE75" s="63">
        <f t="shared" si="24"/>
        <v>283.24879920000001</v>
      </c>
      <c r="BF75" s="63">
        <f t="shared" si="25"/>
        <v>192.62419919999994</v>
      </c>
      <c r="BG75" s="63">
        <f t="shared" si="26"/>
        <v>267.33984121355633</v>
      </c>
      <c r="BH75" s="63">
        <f t="shared" si="27"/>
        <v>158.68689839999996</v>
      </c>
      <c r="BI75" s="63">
        <f t="shared" si="28"/>
        <v>158.68689839999996</v>
      </c>
      <c r="BJ75" s="63">
        <f t="shared" si="29"/>
        <v>158.68689839999996</v>
      </c>
      <c r="BK75" s="63" t="str">
        <f t="shared" si="30"/>
        <v>OK</v>
      </c>
      <c r="BL75" s="63">
        <f t="shared" si="31"/>
        <v>214.92</v>
      </c>
      <c r="BM75" s="63">
        <f t="shared" si="32"/>
        <v>358.2</v>
      </c>
      <c r="BN75" s="63">
        <f t="shared" si="33"/>
        <v>716.4</v>
      </c>
      <c r="BO75" s="63">
        <f t="shared" si="34"/>
        <v>1074.5999999999999</v>
      </c>
      <c r="BP75" s="63">
        <f t="shared" si="35"/>
        <v>45.312299999999993</v>
      </c>
      <c r="BQ75" s="63">
        <f t="shared" si="79"/>
        <v>462.42312453064551</v>
      </c>
      <c r="BR75" s="63" t="str">
        <f t="shared" si="80"/>
        <v>OK</v>
      </c>
      <c r="BW75" s="70">
        <f t="shared" si="154"/>
        <v>37.02600000000001</v>
      </c>
    </row>
    <row r="76" spans="4:104">
      <c r="D76" s="178"/>
      <c r="E76" s="177"/>
      <c r="F76" s="67" t="s">
        <v>15</v>
      </c>
      <c r="G76" s="78">
        <v>220</v>
      </c>
      <c r="H76" s="78">
        <v>450</v>
      </c>
      <c r="I76" s="79">
        <f t="shared" si="144"/>
        <v>103.93789921930448</v>
      </c>
      <c r="J76" s="80">
        <f t="shared" si="162"/>
        <v>346.06210078069552</v>
      </c>
      <c r="K76" s="81">
        <v>-395</v>
      </c>
      <c r="L76" s="81">
        <v>178</v>
      </c>
      <c r="M76" s="81">
        <v>178</v>
      </c>
      <c r="N76" s="82">
        <f t="shared" si="145"/>
        <v>0.97988453680931475</v>
      </c>
      <c r="O76" s="82" t="e">
        <f t="shared" si="163"/>
        <v>#NUM!</v>
      </c>
      <c r="P76" s="82" t="e">
        <f t="shared" si="164"/>
        <v>#NUM!</v>
      </c>
      <c r="Q76" s="83" t="e">
        <f t="shared" si="146"/>
        <v>#NUM!</v>
      </c>
      <c r="R76" s="84" t="e">
        <f t="shared" si="147"/>
        <v>#NUM!</v>
      </c>
      <c r="S76" s="131" t="e">
        <f t="shared" si="14"/>
        <v>#NUM!</v>
      </c>
      <c r="T76" s="86">
        <v>3</v>
      </c>
      <c r="U76" s="77">
        <v>25</v>
      </c>
      <c r="V76" s="87" t="str">
        <f t="shared" si="131"/>
        <v>+</v>
      </c>
      <c r="W76" s="86">
        <v>3</v>
      </c>
      <c r="X76" s="77">
        <v>28</v>
      </c>
      <c r="Y76" s="88">
        <f t="shared" si="165"/>
        <v>33.198780366810141</v>
      </c>
      <c r="Z76" s="89" t="e">
        <f t="shared" si="133"/>
        <v>#NUM!</v>
      </c>
      <c r="AA76" s="80">
        <f t="shared" si="148"/>
        <v>238.72744175139553</v>
      </c>
      <c r="AB76" s="80">
        <f t="shared" si="166"/>
        <v>337.26740590375852</v>
      </c>
      <c r="AC76" s="89" t="str">
        <f t="shared" si="83"/>
        <v>Not Ok</v>
      </c>
      <c r="AD76" s="85">
        <f t="shared" si="167"/>
        <v>3.3534121582636509E-2</v>
      </c>
      <c r="AE76" s="85">
        <f t="shared" si="149"/>
        <v>1.9281988961466403E-2</v>
      </c>
      <c r="AF76" s="60" t="str">
        <f t="shared" si="168"/>
        <v>No-Ok</v>
      </c>
      <c r="AG76" s="77">
        <v>8</v>
      </c>
      <c r="AH76" s="76">
        <v>2</v>
      </c>
      <c r="AI76" s="76">
        <v>100</v>
      </c>
      <c r="AJ76" s="60">
        <f t="shared" si="150"/>
        <v>10.048000000000002</v>
      </c>
      <c r="AK76" s="60" t="str">
        <f t="shared" si="151"/>
        <v>NOT OK</v>
      </c>
      <c r="AL76" s="109">
        <f t="shared" si="152"/>
        <v>210</v>
      </c>
      <c r="AT76" s="133" t="str">
        <f t="shared" si="153"/>
        <v>need</v>
      </c>
      <c r="AV76" s="61">
        <f t="shared" si="18"/>
        <v>388.28167707594037</v>
      </c>
      <c r="AW76" s="61" t="str">
        <f t="shared" si="19"/>
        <v>OK</v>
      </c>
      <c r="AX76" s="63">
        <f t="shared" si="20"/>
        <v>170.21922096616464</v>
      </c>
      <c r="AY76" s="63">
        <f t="shared" si="21"/>
        <v>173.03105039034776</v>
      </c>
      <c r="AZ76" s="63">
        <f t="shared" si="22"/>
        <v>333.60948616600797</v>
      </c>
      <c r="BA76" s="63">
        <f t="shared" si="76"/>
        <v>63.249999999999993</v>
      </c>
      <c r="BB76" s="63">
        <f t="shared" si="77"/>
        <v>211.00799999999998</v>
      </c>
      <c r="BC76" s="63" t="str">
        <f t="shared" si="78"/>
        <v>OK</v>
      </c>
      <c r="BD76" s="63">
        <f t="shared" si="23"/>
        <v>535.89516373663525</v>
      </c>
      <c r="BE76" s="63">
        <f t="shared" si="24"/>
        <v>273.65068256493964</v>
      </c>
      <c r="BF76" s="63">
        <f t="shared" si="25"/>
        <v>186.09697106742365</v>
      </c>
      <c r="BG76" s="63">
        <f t="shared" si="26"/>
        <v>258.28081259838319</v>
      </c>
      <c r="BH76" s="63">
        <f t="shared" si="27"/>
        <v>153.30966339105746</v>
      </c>
      <c r="BI76" s="63">
        <f t="shared" si="28"/>
        <v>153.30966339105746</v>
      </c>
      <c r="BJ76" s="63">
        <f t="shared" si="29"/>
        <v>153.30966339105746</v>
      </c>
      <c r="BK76" s="63" t="str">
        <f t="shared" si="30"/>
        <v>NOT OK</v>
      </c>
      <c r="BL76" s="63">
        <f t="shared" si="31"/>
        <v>207.63726046841731</v>
      </c>
      <c r="BM76" s="63">
        <f t="shared" si="32"/>
        <v>346.06210078069552</v>
      </c>
      <c r="BN76" s="63">
        <f t="shared" si="33"/>
        <v>692.12420156139103</v>
      </c>
      <c r="BO76" s="63">
        <f t="shared" si="34"/>
        <v>1038.1863023420865</v>
      </c>
      <c r="BP76" s="63">
        <f t="shared" si="35"/>
        <v>43.776855748757974</v>
      </c>
      <c r="BQ76" s="63">
        <f t="shared" si="79"/>
        <v>280.07705094260621</v>
      </c>
      <c r="BR76" s="63" t="str">
        <f t="shared" si="80"/>
        <v>NOT OK</v>
      </c>
      <c r="BW76" s="70">
        <f t="shared" si="154"/>
        <v>37.02600000000001</v>
      </c>
    </row>
    <row r="77" spans="4:104">
      <c r="D77" s="179" t="s">
        <v>121</v>
      </c>
      <c r="E77" s="177"/>
      <c r="F77" s="91" t="s">
        <v>15</v>
      </c>
      <c r="G77" s="78">
        <v>220</v>
      </c>
      <c r="H77" s="78">
        <v>450</v>
      </c>
      <c r="I77" s="92">
        <f t="shared" si="144"/>
        <v>103.93789921930448</v>
      </c>
      <c r="J77" s="93">
        <f t="shared" si="162"/>
        <v>346.06210078069552</v>
      </c>
      <c r="K77" s="94">
        <v>-510</v>
      </c>
      <c r="L77" s="94">
        <v>200</v>
      </c>
      <c r="M77" s="94">
        <v>200</v>
      </c>
      <c r="N77" s="95">
        <f t="shared" si="145"/>
        <v>1.2651673766398748</v>
      </c>
      <c r="O77" s="95" t="e">
        <f t="shared" si="163"/>
        <v>#NUM!</v>
      </c>
      <c r="P77" s="95" t="e">
        <f t="shared" si="164"/>
        <v>#NUM!</v>
      </c>
      <c r="Q77" s="96" t="e">
        <f t="shared" si="146"/>
        <v>#NUM!</v>
      </c>
      <c r="R77" s="97" t="e">
        <f t="shared" si="147"/>
        <v>#NUM!</v>
      </c>
      <c r="S77" s="131" t="e">
        <f t="shared" si="14"/>
        <v>#NUM!</v>
      </c>
      <c r="T77" s="99">
        <v>3</v>
      </c>
      <c r="U77" s="100">
        <v>25</v>
      </c>
      <c r="V77" s="101" t="str">
        <f t="shared" si="131"/>
        <v>+</v>
      </c>
      <c r="W77" s="99">
        <v>3</v>
      </c>
      <c r="X77" s="100">
        <v>28</v>
      </c>
      <c r="Y77" s="102">
        <f t="shared" si="165"/>
        <v>33.198780366810141</v>
      </c>
      <c r="Z77" s="103" t="e">
        <f t="shared" si="133"/>
        <v>#NUM!</v>
      </c>
      <c r="AA77" s="93">
        <f t="shared" si="148"/>
        <v>281.66184135209295</v>
      </c>
      <c r="AB77" s="93">
        <f t="shared" si="166"/>
        <v>331.02522940142831</v>
      </c>
      <c r="AC77" s="89" t="str">
        <f t="shared" si="83"/>
        <v>Not Ok</v>
      </c>
      <c r="AD77" s="98">
        <f t="shared" si="167"/>
        <v>3.3534121582636509E-2</v>
      </c>
      <c r="AE77" s="98">
        <f t="shared" si="149"/>
        <v>1.9281988961466403E-2</v>
      </c>
      <c r="AF77" s="104" t="str">
        <f t="shared" si="168"/>
        <v>No-Ok</v>
      </c>
      <c r="AG77" s="100">
        <v>8</v>
      </c>
      <c r="AH77" s="105">
        <v>2</v>
      </c>
      <c r="AI77" s="105">
        <v>100</v>
      </c>
      <c r="AJ77" s="104">
        <f t="shared" si="150"/>
        <v>10.048000000000002</v>
      </c>
      <c r="AK77" s="60" t="str">
        <f t="shared" si="151"/>
        <v>NOT OK</v>
      </c>
      <c r="AL77" s="109">
        <f t="shared" si="152"/>
        <v>210</v>
      </c>
      <c r="AT77" s="133" t="str">
        <f t="shared" si="153"/>
        <v>need</v>
      </c>
      <c r="AV77" s="61">
        <f t="shared" si="18"/>
        <v>388.28167707594037</v>
      </c>
      <c r="AW77" s="61" t="str">
        <f t="shared" si="19"/>
        <v>OK</v>
      </c>
      <c r="AX77" s="63">
        <f t="shared" si="20"/>
        <v>151.49510665988652</v>
      </c>
      <c r="AY77" s="63">
        <f t="shared" si="21"/>
        <v>173.03105039034776</v>
      </c>
      <c r="AZ77" s="63">
        <f t="shared" si="22"/>
        <v>333.60948616600797</v>
      </c>
      <c r="BA77" s="63">
        <f t="shared" si="76"/>
        <v>63.249999999999993</v>
      </c>
      <c r="BB77" s="63">
        <f t="shared" si="77"/>
        <v>211.00799999999998</v>
      </c>
      <c r="BC77" s="63" t="str">
        <f t="shared" si="78"/>
        <v>OK</v>
      </c>
      <c r="BD77" s="63">
        <f t="shared" si="23"/>
        <v>535.89516373663525</v>
      </c>
      <c r="BE77" s="63">
        <f t="shared" si="24"/>
        <v>273.65068256493964</v>
      </c>
      <c r="BF77" s="63">
        <f t="shared" si="25"/>
        <v>186.09697106742365</v>
      </c>
      <c r="BG77" s="63">
        <f t="shared" si="26"/>
        <v>258.28081259838319</v>
      </c>
      <c r="BH77" s="63">
        <f t="shared" si="27"/>
        <v>153.30966339105746</v>
      </c>
      <c r="BI77" s="63">
        <f t="shared" si="28"/>
        <v>153.30966339105746</v>
      </c>
      <c r="BJ77" s="63">
        <f t="shared" si="29"/>
        <v>153.30966339105746</v>
      </c>
      <c r="BK77" s="63" t="str">
        <f t="shared" si="30"/>
        <v>NOT OK</v>
      </c>
      <c r="BL77" s="63">
        <f t="shared" si="31"/>
        <v>207.63726046841731</v>
      </c>
      <c r="BM77" s="63">
        <f t="shared" si="32"/>
        <v>346.06210078069552</v>
      </c>
      <c r="BN77" s="63">
        <f t="shared" si="33"/>
        <v>692.12420156139103</v>
      </c>
      <c r="BO77" s="63">
        <f t="shared" si="34"/>
        <v>1038.1863023420865</v>
      </c>
      <c r="BP77" s="63">
        <f t="shared" si="35"/>
        <v>43.776855748757974</v>
      </c>
      <c r="BQ77" s="63">
        <f t="shared" si="79"/>
        <v>462.42312453064551</v>
      </c>
      <c r="BR77" s="63" t="str">
        <f t="shared" si="80"/>
        <v>OK</v>
      </c>
      <c r="BW77" s="70">
        <f t="shared" si="154"/>
        <v>37.02600000000001</v>
      </c>
    </row>
    <row r="78" spans="4:104">
      <c r="D78" s="180"/>
      <c r="E78" s="177"/>
      <c r="F78" s="106" t="s">
        <v>16</v>
      </c>
      <c r="G78" s="78">
        <v>220</v>
      </c>
      <c r="H78" s="78">
        <v>450</v>
      </c>
      <c r="I78" s="92">
        <f t="shared" si="144"/>
        <v>71</v>
      </c>
      <c r="J78" s="93">
        <f t="shared" si="162"/>
        <v>379</v>
      </c>
      <c r="K78" s="94">
        <v>120</v>
      </c>
      <c r="L78" s="94">
        <v>28</v>
      </c>
      <c r="M78" s="94">
        <v>28</v>
      </c>
      <c r="N78" s="95">
        <f t="shared" si="145"/>
        <v>0.24819253476318046</v>
      </c>
      <c r="O78" s="95">
        <f t="shared" si="163"/>
        <v>0.28999999999999998</v>
      </c>
      <c r="P78" s="95">
        <f t="shared" si="164"/>
        <v>0.85499999999999998</v>
      </c>
      <c r="Q78" s="96" t="str">
        <f t="shared" si="146"/>
        <v>Ok</v>
      </c>
      <c r="R78" s="97">
        <f t="shared" si="147"/>
        <v>8.5130790157390859</v>
      </c>
      <c r="S78" s="131">
        <f t="shared" si="14"/>
        <v>1.0209977231637187E-2</v>
      </c>
      <c r="T78" s="99">
        <v>3</v>
      </c>
      <c r="U78" s="100">
        <v>22</v>
      </c>
      <c r="V78" s="101" t="str">
        <f t="shared" si="131"/>
        <v>+</v>
      </c>
      <c r="W78" s="99">
        <v>0</v>
      </c>
      <c r="X78" s="100">
        <v>18</v>
      </c>
      <c r="Y78" s="102">
        <f t="shared" si="165"/>
        <v>11.40398133253095</v>
      </c>
      <c r="Z78" s="103" t="str">
        <f t="shared" si="133"/>
        <v>Ok</v>
      </c>
      <c r="AA78" s="93">
        <f t="shared" si="148"/>
        <v>20.502952055179382</v>
      </c>
      <c r="AB78" s="93">
        <f t="shared" si="166"/>
        <v>156.34238555075743</v>
      </c>
      <c r="AC78" s="89" t="str">
        <f t="shared" si="83"/>
        <v>Ok</v>
      </c>
      <c r="AD78" s="98">
        <f t="shared" si="167"/>
        <v>1.1519173063162576E-2</v>
      </c>
      <c r="AE78" s="98">
        <f t="shared" si="149"/>
        <v>1.9281988961466403E-2</v>
      </c>
      <c r="AF78" s="104" t="str">
        <f t="shared" si="168"/>
        <v>Ok</v>
      </c>
      <c r="AG78" s="100">
        <v>8</v>
      </c>
      <c r="AH78" s="105">
        <v>2</v>
      </c>
      <c r="AI78" s="105">
        <v>100</v>
      </c>
      <c r="AJ78" s="104">
        <f t="shared" si="150"/>
        <v>10.048000000000002</v>
      </c>
      <c r="AK78" s="60" t="str">
        <f t="shared" si="151"/>
        <v>OK</v>
      </c>
      <c r="AL78" s="109">
        <f t="shared" si="152"/>
        <v>210</v>
      </c>
      <c r="AT78" s="133" t="str">
        <f t="shared" si="153"/>
        <v>no need</v>
      </c>
      <c r="AV78" s="61">
        <f t="shared" si="18"/>
        <v>425.238</v>
      </c>
      <c r="AW78" s="61" t="str">
        <f t="shared" si="19"/>
        <v>OK</v>
      </c>
      <c r="AX78" s="63">
        <f t="shared" si="20"/>
        <v>1297.8990357142854</v>
      </c>
      <c r="AY78" s="63">
        <f t="shared" si="21"/>
        <v>189.5</v>
      </c>
      <c r="AZ78" s="63">
        <f t="shared" si="22"/>
        <v>333.60948616600797</v>
      </c>
      <c r="BA78" s="63">
        <f t="shared" si="76"/>
        <v>63.249999999999993</v>
      </c>
      <c r="BB78" s="63">
        <f t="shared" si="77"/>
        <v>211.00799999999998</v>
      </c>
      <c r="BC78" s="63" t="str">
        <f t="shared" si="78"/>
        <v>OK</v>
      </c>
      <c r="BD78" s="63">
        <f t="shared" si="23"/>
        <v>586.90121396707013</v>
      </c>
      <c r="BE78" s="63">
        <f t="shared" si="24"/>
        <v>299.69652400000001</v>
      </c>
      <c r="BF78" s="63">
        <f t="shared" si="25"/>
        <v>203.80952399999995</v>
      </c>
      <c r="BG78" s="63">
        <f t="shared" si="26"/>
        <v>282.86376275806208</v>
      </c>
      <c r="BH78" s="63">
        <f t="shared" si="27"/>
        <v>167.90154799999996</v>
      </c>
      <c r="BI78" s="63">
        <f t="shared" si="28"/>
        <v>167.90154799999996</v>
      </c>
      <c r="BJ78" s="63">
        <f t="shared" si="29"/>
        <v>167.90154799999996</v>
      </c>
      <c r="BK78" s="63" t="str">
        <f t="shared" si="30"/>
        <v>OK</v>
      </c>
      <c r="BL78" s="63">
        <f t="shared" si="31"/>
        <v>227.4</v>
      </c>
      <c r="BM78" s="63">
        <f t="shared" si="32"/>
        <v>379</v>
      </c>
      <c r="BN78" s="63">
        <f t="shared" si="33"/>
        <v>758</v>
      </c>
      <c r="BO78" s="63">
        <f t="shared" si="34"/>
        <v>1137</v>
      </c>
      <c r="BP78" s="63">
        <f t="shared" si="35"/>
        <v>47.943499999999993</v>
      </c>
      <c r="BQ78" s="63">
        <f t="shared" si="79"/>
        <v>462.42312453064551</v>
      </c>
      <c r="BR78" s="63" t="str">
        <f t="shared" si="80"/>
        <v>OK</v>
      </c>
      <c r="BW78" s="70">
        <f t="shared" si="154"/>
        <v>37.02600000000001</v>
      </c>
    </row>
    <row r="79" spans="4:104">
      <c r="D79" s="181"/>
      <c r="E79" s="178"/>
      <c r="F79" s="91" t="s">
        <v>15</v>
      </c>
      <c r="G79" s="78">
        <v>220</v>
      </c>
      <c r="H79" s="78">
        <v>450</v>
      </c>
      <c r="I79" s="92">
        <f t="shared" si="144"/>
        <v>72.5</v>
      </c>
      <c r="J79" s="93">
        <f t="shared" si="162"/>
        <v>377.5</v>
      </c>
      <c r="K79" s="94">
        <v>-70</v>
      </c>
      <c r="L79" s="94">
        <v>85</v>
      </c>
      <c r="M79" s="94">
        <v>85</v>
      </c>
      <c r="N79" s="95">
        <f t="shared" si="145"/>
        <v>0.145931825914902</v>
      </c>
      <c r="O79" s="95">
        <f t="shared" si="163"/>
        <v>0.158</v>
      </c>
      <c r="P79" s="95">
        <f t="shared" si="164"/>
        <v>0.92100000000000004</v>
      </c>
      <c r="Q79" s="96" t="str">
        <f t="shared" si="146"/>
        <v>Ok</v>
      </c>
      <c r="R79" s="97">
        <f t="shared" si="147"/>
        <v>4.6284139822072197</v>
      </c>
      <c r="S79" s="131">
        <f t="shared" si="14"/>
        <v>5.5730451320977958E-3</v>
      </c>
      <c r="T79" s="99">
        <v>2</v>
      </c>
      <c r="U79" s="100">
        <v>25</v>
      </c>
      <c r="V79" s="101" t="str">
        <f t="shared" si="131"/>
        <v>+</v>
      </c>
      <c r="W79" s="99">
        <v>0</v>
      </c>
      <c r="X79" s="100">
        <v>18</v>
      </c>
      <c r="Y79" s="102">
        <f t="shared" si="165"/>
        <v>9.8174770424681039</v>
      </c>
      <c r="Z79" s="103" t="str">
        <f t="shared" si="133"/>
        <v>Ok</v>
      </c>
      <c r="AA79" s="93">
        <f t="shared" si="148"/>
        <v>0</v>
      </c>
      <c r="AB79" s="93">
        <f t="shared" si="166"/>
        <v>130.25337666094555</v>
      </c>
      <c r="AC79" s="89" t="str">
        <f t="shared" si="83"/>
        <v>Ok</v>
      </c>
      <c r="AD79" s="98">
        <f t="shared" si="167"/>
        <v>9.9166434772405086E-3</v>
      </c>
      <c r="AE79" s="98">
        <f t="shared" si="149"/>
        <v>1.9281988961466403E-2</v>
      </c>
      <c r="AF79" s="104" t="str">
        <f t="shared" si="168"/>
        <v>Ok</v>
      </c>
      <c r="AG79" s="100">
        <v>8</v>
      </c>
      <c r="AH79" s="105">
        <v>2</v>
      </c>
      <c r="AI79" s="105">
        <v>100</v>
      </c>
      <c r="AJ79" s="104">
        <f t="shared" si="150"/>
        <v>10.048000000000002</v>
      </c>
      <c r="AK79" s="60" t="str">
        <f t="shared" si="151"/>
        <v>OK</v>
      </c>
      <c r="AL79" s="109">
        <f t="shared" si="152"/>
        <v>210</v>
      </c>
      <c r="AT79" s="133" t="str">
        <f t="shared" si="153"/>
        <v>need</v>
      </c>
      <c r="AV79" s="61">
        <f t="shared" si="18"/>
        <v>423.55500000000001</v>
      </c>
      <c r="AW79" s="61" t="str">
        <f t="shared" si="19"/>
        <v>OK</v>
      </c>
      <c r="AX79" s="63">
        <f t="shared" si="20"/>
        <v>424.16566176470582</v>
      </c>
      <c r="AY79" s="63">
        <f t="shared" si="21"/>
        <v>188.75</v>
      </c>
      <c r="AZ79" s="63">
        <f t="shared" si="22"/>
        <v>333.60948616600797</v>
      </c>
      <c r="BA79" s="63">
        <f t="shared" si="76"/>
        <v>63.249999999999993</v>
      </c>
      <c r="BB79" s="63">
        <f t="shared" si="77"/>
        <v>211.00799999999998</v>
      </c>
      <c r="BC79" s="63" t="str">
        <f t="shared" si="78"/>
        <v>OK</v>
      </c>
      <c r="BD79" s="63">
        <f t="shared" si="23"/>
        <v>584.57838594345367</v>
      </c>
      <c r="BE79" s="63">
        <f t="shared" si="24"/>
        <v>298.51039000000003</v>
      </c>
      <c r="BF79" s="63">
        <f t="shared" si="25"/>
        <v>203.00288999999995</v>
      </c>
      <c r="BG79" s="63">
        <f t="shared" si="26"/>
        <v>281.74424918514103</v>
      </c>
      <c r="BH79" s="63">
        <f t="shared" si="27"/>
        <v>167.23702999999998</v>
      </c>
      <c r="BI79" s="63">
        <f t="shared" si="28"/>
        <v>167.23702999999998</v>
      </c>
      <c r="BJ79" s="63">
        <f t="shared" si="29"/>
        <v>167.23702999999998</v>
      </c>
      <c r="BK79" s="63" t="str">
        <f t="shared" si="30"/>
        <v>OK</v>
      </c>
      <c r="BL79" s="63">
        <f t="shared" si="31"/>
        <v>226.5</v>
      </c>
      <c r="BM79" s="63">
        <f t="shared" si="32"/>
        <v>377.5</v>
      </c>
      <c r="BN79" s="63">
        <f t="shared" si="33"/>
        <v>755</v>
      </c>
      <c r="BO79" s="63">
        <f t="shared" si="34"/>
        <v>1132.5</v>
      </c>
      <c r="BP79" s="63">
        <f t="shared" si="35"/>
        <v>47.753749999999989</v>
      </c>
      <c r="BQ79" s="63">
        <f t="shared" si="79"/>
        <v>184.36526447889435</v>
      </c>
      <c r="BR79" s="63" t="str">
        <f t="shared" si="80"/>
        <v>OK</v>
      </c>
      <c r="BW79" s="70">
        <f t="shared" si="154"/>
        <v>37.02600000000001</v>
      </c>
    </row>
    <row r="80" spans="4:104" ht="12.75" customHeight="1">
      <c r="D80" s="176" t="s">
        <v>120</v>
      </c>
      <c r="E80" s="176" t="s">
        <v>237</v>
      </c>
      <c r="F80" s="67" t="s">
        <v>15</v>
      </c>
      <c r="G80" s="78">
        <v>220</v>
      </c>
      <c r="H80" s="78">
        <v>450</v>
      </c>
      <c r="I80" s="79">
        <f t="shared" si="144"/>
        <v>72.5</v>
      </c>
      <c r="J80" s="80">
        <f>H80-I80</f>
        <v>377.5</v>
      </c>
      <c r="K80" s="81">
        <v>-64</v>
      </c>
      <c r="L80" s="81">
        <v>50</v>
      </c>
      <c r="M80" s="81">
        <v>50</v>
      </c>
      <c r="N80" s="82">
        <f t="shared" si="145"/>
        <v>0.13342338369362469</v>
      </c>
      <c r="O80" s="82">
        <f>ROUND(1-SQRT(1-2*N80),3)</f>
        <v>0.14399999999999999</v>
      </c>
      <c r="P80" s="82">
        <f>1-0.5*O80</f>
        <v>0.92800000000000005</v>
      </c>
      <c r="Q80" s="83" t="str">
        <f t="shared" si="146"/>
        <v>Ok</v>
      </c>
      <c r="R80" s="84">
        <f t="shared" si="147"/>
        <v>4.199772687303299</v>
      </c>
      <c r="S80" s="131">
        <f t="shared" si="14"/>
        <v>5.056920755332088E-3</v>
      </c>
      <c r="T80" s="86">
        <v>2</v>
      </c>
      <c r="U80" s="77">
        <v>25</v>
      </c>
      <c r="V80" s="87" t="str">
        <f t="shared" si="131"/>
        <v>+</v>
      </c>
      <c r="W80" s="86">
        <v>0</v>
      </c>
      <c r="X80" s="77">
        <v>18</v>
      </c>
      <c r="Y80" s="88">
        <f>(T80*PI()*U80^2/4+W80*PI()*X80^2/4)/100</f>
        <v>9.8174770424681039</v>
      </c>
      <c r="Z80" s="89" t="str">
        <f t="shared" si="133"/>
        <v>Ok</v>
      </c>
      <c r="AA80" s="90">
        <f t="shared" si="148"/>
        <v>28.216934016533997</v>
      </c>
      <c r="AB80" s="80">
        <f>($J$11*$H$4*G80*ABS(AA80)*(J80-0.5*ABS(AA80))+$H$6*(T81*PI()*U81^2/4)*(J80-I81))*10^-6</f>
        <v>130.58561114615256</v>
      </c>
      <c r="AC80" s="89" t="str">
        <f t="shared" si="83"/>
        <v>Ok</v>
      </c>
      <c r="AD80" s="85">
        <f>(Y80*100)/(G80*H80)</f>
        <v>9.9166434772405086E-3</v>
      </c>
      <c r="AE80" s="85">
        <f t="shared" si="149"/>
        <v>1.9281988961466403E-2</v>
      </c>
      <c r="AF80" s="60" t="str">
        <f>IF(AND(AD80&gt;0.1%,AD80&lt;AE80),"Ok","No-Ok")</f>
        <v>Ok</v>
      </c>
      <c r="AG80" s="77">
        <v>8</v>
      </c>
      <c r="AH80" s="76">
        <v>2</v>
      </c>
      <c r="AI80" s="76">
        <v>100</v>
      </c>
      <c r="AJ80" s="60">
        <f t="shared" si="150"/>
        <v>10.048000000000002</v>
      </c>
      <c r="AK80" s="60" t="str">
        <f t="shared" si="151"/>
        <v>OK</v>
      </c>
      <c r="AL80" s="109">
        <f t="shared" si="152"/>
        <v>210</v>
      </c>
      <c r="AT80" s="133" t="str">
        <f t="shared" si="153"/>
        <v>need</v>
      </c>
      <c r="AV80" s="61">
        <f t="shared" si="18"/>
        <v>423.55500000000001</v>
      </c>
      <c r="AW80" s="61" t="str">
        <f t="shared" si="19"/>
        <v>OK</v>
      </c>
      <c r="AX80" s="63">
        <f t="shared" si="20"/>
        <v>721.0816249999998</v>
      </c>
      <c r="AY80" s="63">
        <f t="shared" si="21"/>
        <v>188.75</v>
      </c>
      <c r="AZ80" s="63">
        <f t="shared" si="22"/>
        <v>333.60948616600797</v>
      </c>
      <c r="BA80" s="63">
        <f t="shared" si="76"/>
        <v>63.249999999999993</v>
      </c>
      <c r="BB80" s="63">
        <f t="shared" si="77"/>
        <v>211.00799999999998</v>
      </c>
      <c r="BC80" s="63" t="str">
        <f t="shared" si="78"/>
        <v>OK</v>
      </c>
      <c r="BD80" s="63">
        <f t="shared" si="23"/>
        <v>584.57838594345367</v>
      </c>
      <c r="BE80" s="63">
        <f t="shared" si="24"/>
        <v>298.51039000000003</v>
      </c>
      <c r="BF80" s="63">
        <f t="shared" si="25"/>
        <v>203.00288999999995</v>
      </c>
      <c r="BG80" s="63">
        <f t="shared" si="26"/>
        <v>281.74424918514103</v>
      </c>
      <c r="BH80" s="63">
        <f t="shared" si="27"/>
        <v>167.23702999999998</v>
      </c>
      <c r="BI80" s="63">
        <f t="shared" si="28"/>
        <v>167.23702999999998</v>
      </c>
      <c r="BJ80" s="63">
        <f t="shared" si="29"/>
        <v>167.23702999999998</v>
      </c>
      <c r="BK80" s="63" t="str">
        <f t="shared" si="30"/>
        <v>OK</v>
      </c>
      <c r="BL80" s="63">
        <f t="shared" si="31"/>
        <v>226.5</v>
      </c>
      <c r="BM80" s="63">
        <f t="shared" si="32"/>
        <v>377.5</v>
      </c>
      <c r="BN80" s="63">
        <f t="shared" si="33"/>
        <v>755</v>
      </c>
      <c r="BO80" s="63">
        <f t="shared" si="34"/>
        <v>1132.5</v>
      </c>
      <c r="BP80" s="63">
        <f t="shared" si="35"/>
        <v>47.753749999999989</v>
      </c>
      <c r="BQ80" s="63">
        <f t="shared" si="79"/>
        <v>160.12869979526641</v>
      </c>
      <c r="BR80" s="63" t="str">
        <f t="shared" si="80"/>
        <v>OK</v>
      </c>
      <c r="BU80" s="70">
        <v>12</v>
      </c>
      <c r="BV80" s="70">
        <v>1</v>
      </c>
      <c r="BW80" s="70">
        <f t="shared" si="154"/>
        <v>37.02600000000001</v>
      </c>
      <c r="BX80" s="70" t="str">
        <f>IF(BW80&gt;AT80,"OK","NOT OK")</f>
        <v>NOT OK</v>
      </c>
      <c r="BY80" s="70">
        <f>G80</f>
        <v>220</v>
      </c>
      <c r="BZ80" s="70">
        <f>H80</f>
        <v>450</v>
      </c>
      <c r="CA80" s="70">
        <f>BY80/(2*BZ80+BY80)</f>
        <v>0.19642857142857142</v>
      </c>
      <c r="CB80" s="27">
        <f>O67*AJ80/10</f>
        <v>0.62398080000000011</v>
      </c>
      <c r="CE80" s="71">
        <f>CB80*CA80*BY80*BZ80/1000000</f>
        <v>1.2134198057142859E-2</v>
      </c>
      <c r="CF80" s="71"/>
      <c r="CG80" s="71"/>
      <c r="CH80" s="70">
        <f>T81*3.14*U81^2/4</f>
        <v>763.02</v>
      </c>
      <c r="CI80" s="71">
        <f>0.5*$H$6*CH80*BZ80/1000000</f>
        <v>74.6805825</v>
      </c>
      <c r="CJ80" s="70" t="str">
        <f>IF((CI80+CE80)&gt;AT80,"OK","NOT OK")</f>
        <v>NOT OK</v>
      </c>
      <c r="CK80" s="27">
        <f>BZ80</f>
        <v>450</v>
      </c>
      <c r="CL80" s="27">
        <f>BY80</f>
        <v>220</v>
      </c>
      <c r="CM80" s="74">
        <f>CK80/(2*CL80+CK80)</f>
        <v>0.5056179775280899</v>
      </c>
      <c r="CN80" s="74"/>
      <c r="CO80" s="27">
        <f>O67*AJ80/10</f>
        <v>0.62398080000000011</v>
      </c>
      <c r="CP80" s="74">
        <f>CO80*CM80*CK80*CL80/1000000</f>
        <v>3.1234095101123602E-2</v>
      </c>
      <c r="CQ80" s="27">
        <f>3.14*U81^2/4+3.14*U80^2/4+BV80*3.14*BU80^2/4</f>
        <v>858.005</v>
      </c>
      <c r="CT80" s="71">
        <f>0.5*$H$6*CQ80*CL80/1000000</f>
        <v>41.055539250000002</v>
      </c>
      <c r="CU80" s="71"/>
      <c r="CV80" s="70" t="str">
        <f>IF((CT80+CP80)&gt;U80,"OK","NOT OK")</f>
        <v>OK</v>
      </c>
      <c r="CW80" s="74">
        <f>MIN((CP80+CT80),(CE80+CI80))</f>
        <v>41.086773345101129</v>
      </c>
      <c r="CX80" s="71">
        <f>AB80</f>
        <v>130.58561114615256</v>
      </c>
      <c r="CY80" s="71">
        <f>(BG80+BO80*J80)/1000</f>
        <v>427.80049424918514</v>
      </c>
      <c r="CZ80" s="62">
        <f>CW80*SQRT(1-(K80/CX80)^1)</f>
        <v>50.154480308446963</v>
      </c>
    </row>
    <row r="81" spans="4:104">
      <c r="D81" s="177"/>
      <c r="E81" s="177"/>
      <c r="F81" s="68" t="s">
        <v>16</v>
      </c>
      <c r="G81" s="78">
        <v>220</v>
      </c>
      <c r="H81" s="78">
        <v>450</v>
      </c>
      <c r="I81" s="79">
        <f t="shared" si="144"/>
        <v>88.2</v>
      </c>
      <c r="J81" s="80">
        <f t="shared" ref="J81:J91" si="169">H81-I81</f>
        <v>361.8</v>
      </c>
      <c r="K81" s="81">
        <v>132</v>
      </c>
      <c r="L81" s="81">
        <v>175</v>
      </c>
      <c r="M81" s="81">
        <v>175</v>
      </c>
      <c r="N81" s="82">
        <f t="shared" si="145"/>
        <v>0.29958681406026344</v>
      </c>
      <c r="O81" s="82">
        <f t="shared" ref="O81:O91" si="170">ROUND(1-SQRT(1-2*N81),3)</f>
        <v>0.36699999999999999</v>
      </c>
      <c r="P81" s="82">
        <f t="shared" ref="P81:P91" si="171">1-0.5*O81</f>
        <v>0.8165</v>
      </c>
      <c r="Q81" s="83" t="str">
        <f t="shared" si="146"/>
        <v>Ok</v>
      </c>
      <c r="R81" s="84">
        <f t="shared" si="147"/>
        <v>10.27211617838104</v>
      </c>
      <c r="S81" s="131">
        <f t="shared" si="14"/>
        <v>1.2905317074201015E-2</v>
      </c>
      <c r="T81" s="86">
        <v>3</v>
      </c>
      <c r="U81" s="77">
        <v>18</v>
      </c>
      <c r="V81" s="87" t="str">
        <f t="shared" si="131"/>
        <v>+</v>
      </c>
      <c r="W81" s="86">
        <v>2</v>
      </c>
      <c r="X81" s="77">
        <v>18</v>
      </c>
      <c r="Y81" s="88">
        <f t="shared" ref="Y81:Y91" si="172">(T81*PI()*U81^2/4+W81*PI()*X81^2/4)/100</f>
        <v>12.723450247038663</v>
      </c>
      <c r="Z81" s="89" t="str">
        <f t="shared" si="133"/>
        <v>Ok</v>
      </c>
      <c r="AA81" s="80">
        <f t="shared" si="148"/>
        <v>-25.88243947559771</v>
      </c>
      <c r="AB81" s="80">
        <f t="shared" ref="AB81:AB91" si="173">($J$11*$H$4*G81*AA81*(J81-0.5*AA81)+$H$6*(T82*PI()*U82^2/4)*(J81-I82))*10^-6</f>
        <v>132.53641614229008</v>
      </c>
      <c r="AC81" s="89" t="str">
        <f t="shared" si="83"/>
        <v>Ok</v>
      </c>
      <c r="AD81" s="85">
        <f t="shared" ref="AD81:AD91" si="174">(Y81*100)/(G81*H81)</f>
        <v>1.28519699465037E-2</v>
      </c>
      <c r="AE81" s="85">
        <f t="shared" si="149"/>
        <v>1.9281988961466403E-2</v>
      </c>
      <c r="AF81" s="60" t="str">
        <f t="shared" ref="AF81:AF91" si="175">IF(AND(AD81&gt;0.1%,AD81&lt;AE81),"Ok","No-Ok")</f>
        <v>Ok</v>
      </c>
      <c r="AG81" s="77">
        <v>8</v>
      </c>
      <c r="AH81" s="76">
        <v>2</v>
      </c>
      <c r="AI81" s="76">
        <v>100</v>
      </c>
      <c r="AJ81" s="60">
        <f t="shared" si="150"/>
        <v>10.048000000000002</v>
      </c>
      <c r="AK81" s="60" t="str">
        <f t="shared" si="151"/>
        <v>NOT OK</v>
      </c>
      <c r="AL81" s="109">
        <f t="shared" si="152"/>
        <v>210</v>
      </c>
      <c r="AT81" s="133" t="str">
        <f t="shared" si="153"/>
        <v>need</v>
      </c>
      <c r="AV81" s="61">
        <f t="shared" si="18"/>
        <v>405.93960000000004</v>
      </c>
      <c r="AW81" s="61" t="str">
        <f t="shared" si="19"/>
        <v>OK</v>
      </c>
      <c r="AX81" s="63">
        <f t="shared" si="20"/>
        <v>189.24290125714285</v>
      </c>
      <c r="AY81" s="63">
        <f t="shared" si="21"/>
        <v>180.9</v>
      </c>
      <c r="AZ81" s="63">
        <f t="shared" si="22"/>
        <v>333.60948616600797</v>
      </c>
      <c r="BA81" s="63">
        <f t="shared" si="76"/>
        <v>63.249999999999993</v>
      </c>
      <c r="BB81" s="63">
        <f t="shared" si="77"/>
        <v>211.00799999999998</v>
      </c>
      <c r="BC81" s="63" t="str">
        <f t="shared" si="78"/>
        <v>OK</v>
      </c>
      <c r="BD81" s="63">
        <f t="shared" si="23"/>
        <v>560.26611929626904</v>
      </c>
      <c r="BE81" s="63">
        <f t="shared" si="24"/>
        <v>286.09552080000003</v>
      </c>
      <c r="BF81" s="63">
        <f t="shared" si="25"/>
        <v>194.56012079999996</v>
      </c>
      <c r="BG81" s="63">
        <f t="shared" si="26"/>
        <v>270.02667378856694</v>
      </c>
      <c r="BH81" s="63">
        <f t="shared" si="27"/>
        <v>160.28174159999998</v>
      </c>
      <c r="BI81" s="63">
        <f t="shared" si="28"/>
        <v>160.28174159999998</v>
      </c>
      <c r="BJ81" s="63">
        <f t="shared" si="29"/>
        <v>160.28174159999998</v>
      </c>
      <c r="BK81" s="63" t="str">
        <f t="shared" si="30"/>
        <v>NOT OK</v>
      </c>
      <c r="BL81" s="63">
        <f t="shared" si="31"/>
        <v>217.08</v>
      </c>
      <c r="BM81" s="63">
        <f t="shared" si="32"/>
        <v>361.8</v>
      </c>
      <c r="BN81" s="63">
        <f t="shared" si="33"/>
        <v>723.6</v>
      </c>
      <c r="BO81" s="63">
        <f t="shared" si="34"/>
        <v>1085.4000000000001</v>
      </c>
      <c r="BP81" s="63">
        <f t="shared" si="35"/>
        <v>45.767699999999998</v>
      </c>
      <c r="BQ81" s="63">
        <f t="shared" si="79"/>
        <v>160.12869979526641</v>
      </c>
      <c r="BR81" s="63" t="str">
        <f t="shared" si="80"/>
        <v>OK</v>
      </c>
      <c r="BW81" s="70">
        <f t="shared" si="154"/>
        <v>37.02600000000001</v>
      </c>
    </row>
    <row r="82" spans="4:104">
      <c r="D82" s="178"/>
      <c r="E82" s="177"/>
      <c r="F82" s="67" t="s">
        <v>15</v>
      </c>
      <c r="G82" s="78">
        <v>220</v>
      </c>
      <c r="H82" s="78">
        <v>450</v>
      </c>
      <c r="I82" s="79">
        <f t="shared" si="144"/>
        <v>103.93789921930448</v>
      </c>
      <c r="J82" s="80">
        <f t="shared" si="169"/>
        <v>346.06210078069552</v>
      </c>
      <c r="K82" s="81">
        <v>-525</v>
      </c>
      <c r="L82" s="81">
        <v>191</v>
      </c>
      <c r="M82" s="81">
        <v>191</v>
      </c>
      <c r="N82" s="82">
        <f t="shared" si="145"/>
        <v>1.3023781818351652</v>
      </c>
      <c r="O82" s="82" t="e">
        <f t="shared" si="170"/>
        <v>#NUM!</v>
      </c>
      <c r="P82" s="82" t="e">
        <f t="shared" si="171"/>
        <v>#NUM!</v>
      </c>
      <c r="Q82" s="83" t="e">
        <f t="shared" si="146"/>
        <v>#NUM!</v>
      </c>
      <c r="R82" s="84" t="e">
        <f t="shared" si="147"/>
        <v>#NUM!</v>
      </c>
      <c r="S82" s="131" t="e">
        <f t="shared" si="14"/>
        <v>#NUM!</v>
      </c>
      <c r="T82" s="86">
        <v>3</v>
      </c>
      <c r="U82" s="77">
        <v>25</v>
      </c>
      <c r="V82" s="87" t="str">
        <f t="shared" si="131"/>
        <v>+</v>
      </c>
      <c r="W82" s="86">
        <v>3</v>
      </c>
      <c r="X82" s="77">
        <v>28</v>
      </c>
      <c r="Y82" s="88">
        <f t="shared" si="172"/>
        <v>33.198780366810141</v>
      </c>
      <c r="Z82" s="89" t="e">
        <f t="shared" si="133"/>
        <v>#NUM!</v>
      </c>
      <c r="AA82" s="80">
        <f t="shared" si="148"/>
        <v>302.16479340727233</v>
      </c>
      <c r="AB82" s="80">
        <f t="shared" si="173"/>
        <v>308.76142768175816</v>
      </c>
      <c r="AC82" s="89" t="str">
        <f t="shared" si="83"/>
        <v>Not Ok</v>
      </c>
      <c r="AD82" s="85">
        <f t="shared" si="174"/>
        <v>3.3534121582636509E-2</v>
      </c>
      <c r="AE82" s="85">
        <f t="shared" si="149"/>
        <v>1.9281988961466403E-2</v>
      </c>
      <c r="AF82" s="60" t="str">
        <f t="shared" si="175"/>
        <v>No-Ok</v>
      </c>
      <c r="AG82" s="77">
        <v>8</v>
      </c>
      <c r="AH82" s="76">
        <v>2</v>
      </c>
      <c r="AI82" s="76">
        <v>100</v>
      </c>
      <c r="AJ82" s="60">
        <f t="shared" si="150"/>
        <v>10.048000000000002</v>
      </c>
      <c r="AK82" s="60" t="str">
        <f t="shared" si="151"/>
        <v>NOT OK</v>
      </c>
      <c r="AL82" s="109">
        <f t="shared" si="152"/>
        <v>210</v>
      </c>
      <c r="AT82" s="133" t="str">
        <f t="shared" si="153"/>
        <v>need</v>
      </c>
      <c r="AV82" s="61">
        <f t="shared" si="18"/>
        <v>388.28167707594037</v>
      </c>
      <c r="AW82" s="61" t="str">
        <f t="shared" si="19"/>
        <v>OK</v>
      </c>
      <c r="AX82" s="63">
        <f t="shared" si="20"/>
        <v>158.63361953914819</v>
      </c>
      <c r="AY82" s="63">
        <f t="shared" si="21"/>
        <v>173.03105039034776</v>
      </c>
      <c r="AZ82" s="63">
        <f t="shared" si="22"/>
        <v>333.60948616600797</v>
      </c>
      <c r="BA82" s="63">
        <f t="shared" si="76"/>
        <v>63.249999999999993</v>
      </c>
      <c r="BB82" s="63">
        <f t="shared" si="77"/>
        <v>211.00799999999998</v>
      </c>
      <c r="BC82" s="63" t="str">
        <f t="shared" si="78"/>
        <v>OK</v>
      </c>
      <c r="BD82" s="63">
        <f t="shared" si="23"/>
        <v>535.89516373663525</v>
      </c>
      <c r="BE82" s="63">
        <f t="shared" si="24"/>
        <v>273.65068256493964</v>
      </c>
      <c r="BF82" s="63">
        <f t="shared" si="25"/>
        <v>186.09697106742365</v>
      </c>
      <c r="BG82" s="63">
        <f t="shared" si="26"/>
        <v>258.28081259838319</v>
      </c>
      <c r="BH82" s="63">
        <f t="shared" si="27"/>
        <v>153.30966339105746</v>
      </c>
      <c r="BI82" s="63">
        <f t="shared" si="28"/>
        <v>153.30966339105746</v>
      </c>
      <c r="BJ82" s="63">
        <f t="shared" si="29"/>
        <v>153.30966339105746</v>
      </c>
      <c r="BK82" s="63" t="str">
        <f t="shared" si="30"/>
        <v>NOT OK</v>
      </c>
      <c r="BL82" s="63">
        <f t="shared" si="31"/>
        <v>207.63726046841731</v>
      </c>
      <c r="BM82" s="63">
        <f t="shared" si="32"/>
        <v>346.06210078069552</v>
      </c>
      <c r="BN82" s="63">
        <f t="shared" si="33"/>
        <v>692.12420156139103</v>
      </c>
      <c r="BO82" s="63">
        <f t="shared" si="34"/>
        <v>1038.1863023420865</v>
      </c>
      <c r="BP82" s="63">
        <f t="shared" si="35"/>
        <v>43.776855748757974</v>
      </c>
      <c r="BQ82" s="63">
        <f t="shared" si="79"/>
        <v>194.03132273763174</v>
      </c>
      <c r="BR82" s="63" t="str">
        <f t="shared" si="80"/>
        <v>OK</v>
      </c>
      <c r="BW82" s="70">
        <f t="shared" si="154"/>
        <v>37.02600000000001</v>
      </c>
    </row>
    <row r="83" spans="4:104">
      <c r="D83" s="179" t="s">
        <v>238</v>
      </c>
      <c r="E83" s="177"/>
      <c r="F83" s="91" t="s">
        <v>15</v>
      </c>
      <c r="G83" s="78">
        <v>220</v>
      </c>
      <c r="H83" s="78">
        <v>450</v>
      </c>
      <c r="I83" s="92">
        <f t="shared" si="144"/>
        <v>87.433102652825838</v>
      </c>
      <c r="J83" s="93">
        <f t="shared" si="169"/>
        <v>362.56689734717418</v>
      </c>
      <c r="K83" s="94">
        <v>-233</v>
      </c>
      <c r="L83" s="94">
        <v>133</v>
      </c>
      <c r="M83" s="94">
        <v>133</v>
      </c>
      <c r="N83" s="95">
        <f t="shared" si="145"/>
        <v>0.5265813931021226</v>
      </c>
      <c r="O83" s="95" t="e">
        <f t="shared" si="170"/>
        <v>#NUM!</v>
      </c>
      <c r="P83" s="95" t="e">
        <f t="shared" si="171"/>
        <v>#NUM!</v>
      </c>
      <c r="Q83" s="96" t="e">
        <f t="shared" si="146"/>
        <v>#NUM!</v>
      </c>
      <c r="R83" s="97" t="e">
        <f t="shared" si="147"/>
        <v>#NUM!</v>
      </c>
      <c r="S83" s="131" t="e">
        <f t="shared" si="14"/>
        <v>#NUM!</v>
      </c>
      <c r="T83" s="99">
        <v>2</v>
      </c>
      <c r="U83" s="100">
        <v>25</v>
      </c>
      <c r="V83" s="101" t="str">
        <f t="shared" si="131"/>
        <v>+</v>
      </c>
      <c r="W83" s="99">
        <v>1</v>
      </c>
      <c r="X83" s="100">
        <v>22</v>
      </c>
      <c r="Y83" s="102">
        <f t="shared" si="172"/>
        <v>13.618804153311753</v>
      </c>
      <c r="Z83" s="103" t="e">
        <f t="shared" si="133"/>
        <v>#NUM!</v>
      </c>
      <c r="AA83" s="93">
        <f t="shared" si="148"/>
        <v>77.342819138844987</v>
      </c>
      <c r="AB83" s="93">
        <f t="shared" si="173"/>
        <v>175.43395490161674</v>
      </c>
      <c r="AC83" s="89" t="str">
        <f t="shared" si="83"/>
        <v>Not Ok</v>
      </c>
      <c r="AD83" s="98">
        <f t="shared" si="174"/>
        <v>1.3756367831628034E-2</v>
      </c>
      <c r="AE83" s="98">
        <f t="shared" si="149"/>
        <v>1.9281988961466403E-2</v>
      </c>
      <c r="AF83" s="104" t="str">
        <f t="shared" si="175"/>
        <v>Ok</v>
      </c>
      <c r="AG83" s="100">
        <v>8</v>
      </c>
      <c r="AH83" s="105">
        <v>2</v>
      </c>
      <c r="AI83" s="105">
        <v>100</v>
      </c>
      <c r="AJ83" s="104">
        <f t="shared" si="150"/>
        <v>10.048000000000002</v>
      </c>
      <c r="AK83" s="60" t="str">
        <f t="shared" si="151"/>
        <v>OK</v>
      </c>
      <c r="AL83" s="109">
        <f t="shared" si="152"/>
        <v>210</v>
      </c>
      <c r="AT83" s="133" t="str">
        <f t="shared" si="153"/>
        <v>need</v>
      </c>
      <c r="AV83" s="61">
        <f t="shared" si="18"/>
        <v>406.80005882352941</v>
      </c>
      <c r="AW83" s="61" t="str">
        <f t="shared" si="19"/>
        <v>OK</v>
      </c>
      <c r="AX83" s="63">
        <f t="shared" si="20"/>
        <v>250.06054908379662</v>
      </c>
      <c r="AY83" s="63">
        <f t="shared" si="21"/>
        <v>181.28344867358709</v>
      </c>
      <c r="AZ83" s="63">
        <f t="shared" si="22"/>
        <v>333.60948616600797</v>
      </c>
      <c r="BA83" s="63">
        <f t="shared" si="76"/>
        <v>63.249999999999993</v>
      </c>
      <c r="BB83" s="63">
        <f t="shared" si="77"/>
        <v>211.00799999999998</v>
      </c>
      <c r="BC83" s="63" t="str">
        <f t="shared" si="78"/>
        <v>OK</v>
      </c>
      <c r="BD83" s="63">
        <f t="shared" si="23"/>
        <v>561.45369972910453</v>
      </c>
      <c r="BE83" s="63">
        <f t="shared" si="24"/>
        <v>286.70194947866207</v>
      </c>
      <c r="BF83" s="63">
        <f t="shared" si="25"/>
        <v>194.97252444982695</v>
      </c>
      <c r="BG83" s="63">
        <f t="shared" si="26"/>
        <v>270.59904178136605</v>
      </c>
      <c r="BH83" s="63">
        <f t="shared" si="27"/>
        <v>160.62148632756629</v>
      </c>
      <c r="BI83" s="63">
        <f t="shared" si="28"/>
        <v>160.62148632756629</v>
      </c>
      <c r="BJ83" s="63">
        <f t="shared" si="29"/>
        <v>160.62148632756629</v>
      </c>
      <c r="BK83" s="63" t="str">
        <f t="shared" si="30"/>
        <v>OK</v>
      </c>
      <c r="BL83" s="63">
        <f t="shared" si="31"/>
        <v>217.5401384083045</v>
      </c>
      <c r="BM83" s="63">
        <f t="shared" si="32"/>
        <v>362.56689734717418</v>
      </c>
      <c r="BN83" s="63">
        <f t="shared" si="33"/>
        <v>725.13379469434835</v>
      </c>
      <c r="BO83" s="63">
        <f t="shared" si="34"/>
        <v>1087.7006920415224</v>
      </c>
      <c r="BP83" s="63">
        <f t="shared" si="35"/>
        <v>45.864712514417526</v>
      </c>
      <c r="BQ83" s="63">
        <f t="shared" si="79"/>
        <v>462.42312453064551</v>
      </c>
      <c r="BR83" s="63" t="str">
        <f t="shared" si="80"/>
        <v>OK</v>
      </c>
      <c r="BW83" s="70">
        <f t="shared" si="154"/>
        <v>37.02600000000001</v>
      </c>
    </row>
    <row r="84" spans="4:104">
      <c r="D84" s="180"/>
      <c r="E84" s="177"/>
      <c r="F84" s="106" t="s">
        <v>16</v>
      </c>
      <c r="G84" s="78">
        <v>220</v>
      </c>
      <c r="H84" s="78">
        <v>450</v>
      </c>
      <c r="I84" s="92">
        <f t="shared" ref="I84:I115" si="176">$J$12+((T84*fi(U84)*U84/2+W84*fi(X84)*(U84+30+X84/2)))/(T84*fi(U84)+W84*fi(X84))</f>
        <v>88.2</v>
      </c>
      <c r="J84" s="93">
        <f t="shared" si="169"/>
        <v>361.8</v>
      </c>
      <c r="K84" s="94">
        <v>126</v>
      </c>
      <c r="L84" s="94">
        <v>12</v>
      </c>
      <c r="M84" s="94">
        <v>12</v>
      </c>
      <c r="N84" s="95">
        <f t="shared" ref="N84:N115" si="177">ABS(K84)*10^6/($J$11*$H$4*G84*J84^2)</f>
        <v>0.28596923160297877</v>
      </c>
      <c r="O84" s="95">
        <f t="shared" si="170"/>
        <v>0.34599999999999997</v>
      </c>
      <c r="P84" s="95">
        <f t="shared" si="171"/>
        <v>0.82699999999999996</v>
      </c>
      <c r="Q84" s="96" t="str">
        <f t="shared" ref="Q84:Q115" si="178">IF(O84&lt;$J$13,"Ok","Not Ok")</f>
        <v>Ok</v>
      </c>
      <c r="R84" s="97">
        <f t="shared" ref="R84:R115" si="179">MAX(ABS(K84)*10^6/($H$6*P84*J84),0.001*G84*J84)/100</f>
        <v>9.6807101271084157</v>
      </c>
      <c r="S84" s="131">
        <f t="shared" si="14"/>
        <v>1.2162307310805085E-2</v>
      </c>
      <c r="T84" s="99">
        <v>3</v>
      </c>
      <c r="U84" s="100">
        <v>18</v>
      </c>
      <c r="V84" s="101" t="str">
        <f t="shared" si="131"/>
        <v>+</v>
      </c>
      <c r="W84" s="99">
        <v>2</v>
      </c>
      <c r="X84" s="100">
        <v>18</v>
      </c>
      <c r="Y84" s="102">
        <f t="shared" si="172"/>
        <v>12.723450247038663</v>
      </c>
      <c r="Z84" s="103" t="str">
        <f t="shared" si="133"/>
        <v>Ok</v>
      </c>
      <c r="AA84" s="93">
        <f t="shared" ref="AA84:AA115" si="180">($H$6*Y84*100-$H$6*(T85*PI()*U85^2/4))/($J$11*$H$4*G84)</f>
        <v>37.554912180279075</v>
      </c>
      <c r="AB84" s="93">
        <f t="shared" si="173"/>
        <v>166.90995368549918</v>
      </c>
      <c r="AC84" s="89" t="str">
        <f t="shared" si="83"/>
        <v>Ok</v>
      </c>
      <c r="AD84" s="98">
        <f t="shared" si="174"/>
        <v>1.28519699465037E-2</v>
      </c>
      <c r="AE84" s="98">
        <f t="shared" ref="AE84:AE115" si="181">$J$13*$H$4/$H$6</f>
        <v>1.9281988961466403E-2</v>
      </c>
      <c r="AF84" s="104" t="str">
        <f t="shared" si="175"/>
        <v>Ok</v>
      </c>
      <c r="AG84" s="100">
        <v>8</v>
      </c>
      <c r="AH84" s="105">
        <v>2</v>
      </c>
      <c r="AI84" s="105">
        <v>100</v>
      </c>
      <c r="AJ84" s="104">
        <f t="shared" ref="AJ84:AJ115" si="182">(10/AI84)*2*(3.14*AG84^2)/4</f>
        <v>10.048000000000002</v>
      </c>
      <c r="AK84" s="60" t="str">
        <f t="shared" ref="AK84:AK115" si="183">IF(AND(AV84&gt;L84,BB84&gt;BA84,BJ84&gt;L84),"OK","NOT OK")</f>
        <v>OK</v>
      </c>
      <c r="AL84" s="109">
        <f t="shared" ref="AL84:AL115" si="184">IF(AG84&lt;10,$O$7,$O$8)</f>
        <v>210</v>
      </c>
      <c r="AT84" s="133" t="str">
        <f t="shared" ref="AT84:AT115" si="185">IF(L84&gt;BP84, "need","no need")</f>
        <v>no need</v>
      </c>
      <c r="AV84" s="61">
        <f t="shared" si="18"/>
        <v>405.93960000000004</v>
      </c>
      <c r="AW84" s="61" t="str">
        <f t="shared" si="19"/>
        <v>OK</v>
      </c>
      <c r="AX84" s="63">
        <f t="shared" si="20"/>
        <v>2759.7923099999998</v>
      </c>
      <c r="AY84" s="63">
        <f t="shared" si="21"/>
        <v>180.9</v>
      </c>
      <c r="AZ84" s="63">
        <f t="shared" si="22"/>
        <v>333.60948616600797</v>
      </c>
      <c r="BA84" s="63">
        <f t="shared" si="76"/>
        <v>63.249999999999993</v>
      </c>
      <c r="BB84" s="63">
        <f t="shared" si="77"/>
        <v>211.00799999999998</v>
      </c>
      <c r="BC84" s="63" t="str">
        <f t="shared" si="78"/>
        <v>OK</v>
      </c>
      <c r="BD84" s="63">
        <f t="shared" si="23"/>
        <v>560.26611929626904</v>
      </c>
      <c r="BE84" s="63">
        <f t="shared" si="24"/>
        <v>286.09552080000003</v>
      </c>
      <c r="BF84" s="63">
        <f t="shared" si="25"/>
        <v>194.56012079999996</v>
      </c>
      <c r="BG84" s="63">
        <f t="shared" si="26"/>
        <v>270.02667378856694</v>
      </c>
      <c r="BH84" s="63">
        <f t="shared" si="27"/>
        <v>160.28174159999998</v>
      </c>
      <c r="BI84" s="63">
        <f t="shared" si="28"/>
        <v>160.28174159999998</v>
      </c>
      <c r="BJ84" s="63">
        <f t="shared" si="29"/>
        <v>160.28174159999998</v>
      </c>
      <c r="BK84" s="63" t="str">
        <f t="shared" si="30"/>
        <v>OK</v>
      </c>
      <c r="BL84" s="63">
        <f t="shared" si="31"/>
        <v>217.08</v>
      </c>
      <c r="BM84" s="63">
        <f t="shared" si="32"/>
        <v>361.8</v>
      </c>
      <c r="BN84" s="63">
        <f t="shared" si="33"/>
        <v>723.6</v>
      </c>
      <c r="BO84" s="63">
        <f t="shared" si="34"/>
        <v>1085.4000000000001</v>
      </c>
      <c r="BP84" s="63">
        <f t="shared" si="35"/>
        <v>45.767699999999998</v>
      </c>
      <c r="BQ84" s="63">
        <f t="shared" si="79"/>
        <v>207.18103674247538</v>
      </c>
      <c r="BR84" s="63" t="str">
        <f t="shared" si="80"/>
        <v>OK</v>
      </c>
      <c r="BW84" s="70">
        <f t="shared" ref="BW84:BW115" si="186">0.1*$H$4*G84^2*H84/1000000</f>
        <v>37.02600000000001</v>
      </c>
    </row>
    <row r="85" spans="4:104">
      <c r="D85" s="181"/>
      <c r="E85" s="178"/>
      <c r="F85" s="91" t="s">
        <v>15</v>
      </c>
      <c r="G85" s="78">
        <v>220</v>
      </c>
      <c r="H85" s="78">
        <v>450</v>
      </c>
      <c r="I85" s="92">
        <f t="shared" si="176"/>
        <v>72.5</v>
      </c>
      <c r="J85" s="93">
        <f t="shared" si="169"/>
        <v>377.5</v>
      </c>
      <c r="K85" s="94">
        <v>-87</v>
      </c>
      <c r="L85" s="94">
        <v>96</v>
      </c>
      <c r="M85" s="94">
        <v>96</v>
      </c>
      <c r="N85" s="95">
        <f t="shared" si="177"/>
        <v>0.18137241220852104</v>
      </c>
      <c r="O85" s="95">
        <f t="shared" si="170"/>
        <v>0.20200000000000001</v>
      </c>
      <c r="P85" s="95">
        <f t="shared" si="171"/>
        <v>0.89900000000000002</v>
      </c>
      <c r="Q85" s="96" t="str">
        <f t="shared" si="178"/>
        <v>Ok</v>
      </c>
      <c r="R85" s="97">
        <f t="shared" si="179"/>
        <v>5.8932294160546306</v>
      </c>
      <c r="S85" s="131">
        <f t="shared" ref="S85:S148" si="187">(R85)/(G85*J85/100)</f>
        <v>7.0960017050627705E-3</v>
      </c>
      <c r="T85" s="99">
        <v>2</v>
      </c>
      <c r="U85" s="100">
        <v>25</v>
      </c>
      <c r="V85" s="101" t="str">
        <f t="shared" si="131"/>
        <v>+</v>
      </c>
      <c r="W85" s="99">
        <v>0</v>
      </c>
      <c r="X85" s="100">
        <v>18</v>
      </c>
      <c r="Y85" s="102">
        <f t="shared" si="172"/>
        <v>9.8174770424681039</v>
      </c>
      <c r="Z85" s="103" t="str">
        <f t="shared" si="133"/>
        <v>Ok</v>
      </c>
      <c r="AA85" s="93">
        <f t="shared" si="180"/>
        <v>74.906824835259314</v>
      </c>
      <c r="AB85" s="93">
        <f t="shared" si="173"/>
        <v>139.87705357408848</v>
      </c>
      <c r="AC85" s="89" t="str">
        <f t="shared" ref="AC85:AC148" si="188">IF(ABS(K85)&lt;AB85,"Ok","Not Ok")</f>
        <v>Ok</v>
      </c>
      <c r="AD85" s="98">
        <f t="shared" si="174"/>
        <v>9.9166434772405086E-3</v>
      </c>
      <c r="AE85" s="98">
        <f t="shared" si="181"/>
        <v>1.9281988961466403E-2</v>
      </c>
      <c r="AF85" s="104" t="str">
        <f t="shared" si="175"/>
        <v>Ok</v>
      </c>
      <c r="AG85" s="100">
        <v>8</v>
      </c>
      <c r="AH85" s="105">
        <v>2</v>
      </c>
      <c r="AI85" s="105">
        <v>100</v>
      </c>
      <c r="AJ85" s="104">
        <f t="shared" si="182"/>
        <v>10.048000000000002</v>
      </c>
      <c r="AK85" s="60" t="str">
        <f t="shared" si="183"/>
        <v>OK</v>
      </c>
      <c r="AL85" s="109">
        <f t="shared" si="184"/>
        <v>210</v>
      </c>
      <c r="AT85" s="133" t="str">
        <f t="shared" si="185"/>
        <v>need</v>
      </c>
      <c r="AV85" s="61">
        <f t="shared" ref="AV85:AV148" si="189">0.3*$H$4*G85*J85/1000</f>
        <v>423.55500000000001</v>
      </c>
      <c r="AW85" s="61" t="str">
        <f t="shared" ref="AW85:AW148" si="190">IF(L85&lt;AV85,"OK","Not ok")</f>
        <v>OK</v>
      </c>
      <c r="AX85" s="63">
        <f t="shared" ref="AX85:AX148" si="191">$K$4*G85*J85^2/(L85*1000)</f>
        <v>375.56334635416658</v>
      </c>
      <c r="AY85" s="63">
        <f t="shared" ref="AY85:AY148" si="192">MIN(1/2*J85,300)</f>
        <v>188.75</v>
      </c>
      <c r="AZ85" s="63">
        <f t="shared" ref="AZ85:AZ148" si="193">AL85*AJ85*10/BA85</f>
        <v>333.60948616600797</v>
      </c>
      <c r="BA85" s="63">
        <f t="shared" ref="BA85:BA148" si="194">0.25*$K$4*G85</f>
        <v>63.249999999999993</v>
      </c>
      <c r="BB85" s="63">
        <f t="shared" ref="BB85:BB148" si="195">(AL85*AH85*(3.14*AG85^2/4)/AI85)</f>
        <v>211.00799999999998</v>
      </c>
      <c r="BC85" s="63" t="str">
        <f t="shared" ref="BC85:BC148" si="196">IF(BB85&gt;BA85,"OK","NOT OK")</f>
        <v>OK</v>
      </c>
      <c r="BD85" s="63">
        <f t="shared" ref="BD85:BD148" si="197">SQRT((2*$K$4*G85*J85^2)/BB85)</f>
        <v>584.57838594345367</v>
      </c>
      <c r="BE85" s="63">
        <f t="shared" ref="BE85:BE148" si="198">2.5*$K$4*G85*J85/1000+(0.75*BB85*J85)/1000</f>
        <v>298.51039000000003</v>
      </c>
      <c r="BF85" s="63">
        <f t="shared" ref="BF85:BF148" si="199">1.5*$K$4*G85*J85/1000+(0.75*BB85*J85)/1000</f>
        <v>203.00288999999995</v>
      </c>
      <c r="BG85" s="63">
        <f t="shared" ref="BG85:BG148" si="200">IF(BD85&lt;J85,BF85,IF(BD85&lt;2*J85,(1.5*$K$4*H85*J85*J85/BD85)/1000+(0.75*BB85*BD85)/1000,(0.75*$K$4*H85*J85*J85/BD85)/1000+(1.5*BB85*BD85)/1000))</f>
        <v>281.74424918514103</v>
      </c>
      <c r="BH85" s="63">
        <f t="shared" ref="BH85:BH148" si="201">0.5*$K$4*G85*J85/1000+(1.5*BB85*J85)/1000</f>
        <v>167.23702999999998</v>
      </c>
      <c r="BI85" s="63">
        <f t="shared" ref="BI85:BI148" si="202">0.5*$K$4*G85*J85/1000+(1.5*BB85*J85)/1000</f>
        <v>167.23702999999998</v>
      </c>
      <c r="BJ85" s="63">
        <f t="shared" ref="BJ85:BJ148" si="203">MIN(BE85:BI85)</f>
        <v>167.23702999999998</v>
      </c>
      <c r="BK85" s="63" t="str">
        <f t="shared" ref="BK85:BK148" si="204">IF(BJ85&gt;L85,"OK","NOT OK")</f>
        <v>OK</v>
      </c>
      <c r="BL85" s="63">
        <f t="shared" ref="BL85:BL148" si="205">0.6*J85</f>
        <v>226.5</v>
      </c>
      <c r="BM85" s="63">
        <f t="shared" ref="BM85:BM148" si="206">J85</f>
        <v>377.5</v>
      </c>
      <c r="BN85" s="63">
        <f t="shared" ref="BN85:BN148" si="207">2*J85</f>
        <v>755</v>
      </c>
      <c r="BO85" s="63">
        <f t="shared" ref="BO85:BO148" si="208">3*J85</f>
        <v>1132.5</v>
      </c>
      <c r="BP85" s="63">
        <f t="shared" ref="BP85:BP148" si="209">0.5*$K$4*G85*J85/1000</f>
        <v>47.753749999999989</v>
      </c>
      <c r="BQ85" s="63">
        <f t="shared" si="79"/>
        <v>194.03132273763174</v>
      </c>
      <c r="BR85" s="63" t="str">
        <f t="shared" si="80"/>
        <v>OK</v>
      </c>
      <c r="BW85" s="70">
        <f t="shared" si="186"/>
        <v>37.02600000000001</v>
      </c>
    </row>
    <row r="86" spans="4:104">
      <c r="D86" s="176" t="s">
        <v>197</v>
      </c>
      <c r="E86" s="176" t="s">
        <v>239</v>
      </c>
      <c r="F86" s="67" t="s">
        <v>15</v>
      </c>
      <c r="G86" s="78">
        <v>220</v>
      </c>
      <c r="H86" s="78">
        <v>450</v>
      </c>
      <c r="I86" s="79">
        <f t="shared" si="176"/>
        <v>68</v>
      </c>
      <c r="J86" s="80">
        <f t="shared" si="169"/>
        <v>382</v>
      </c>
      <c r="K86" s="81">
        <v>-13</v>
      </c>
      <c r="L86" s="81">
        <v>21</v>
      </c>
      <c r="M86" s="81">
        <v>21</v>
      </c>
      <c r="N86" s="82">
        <f t="shared" si="177"/>
        <v>2.6466865772418864E-2</v>
      </c>
      <c r="O86" s="82">
        <f t="shared" si="170"/>
        <v>2.7E-2</v>
      </c>
      <c r="P86" s="82">
        <f t="shared" si="171"/>
        <v>0.98650000000000004</v>
      </c>
      <c r="Q86" s="83" t="str">
        <f t="shared" si="178"/>
        <v>Ok</v>
      </c>
      <c r="R86" s="84">
        <f t="shared" si="179"/>
        <v>0.84040000000000004</v>
      </c>
      <c r="S86" s="131">
        <f t="shared" si="187"/>
        <v>1E-3</v>
      </c>
      <c r="T86" s="86">
        <v>2</v>
      </c>
      <c r="U86" s="77">
        <v>16</v>
      </c>
      <c r="V86" s="87" t="str">
        <f t="shared" si="131"/>
        <v>+</v>
      </c>
      <c r="W86" s="86">
        <v>0</v>
      </c>
      <c r="X86" s="77">
        <v>16</v>
      </c>
      <c r="Y86" s="88">
        <f t="shared" si="172"/>
        <v>4.0212385965949355</v>
      </c>
      <c r="Z86" s="89" t="str">
        <f t="shared" si="133"/>
        <v>Ok</v>
      </c>
      <c r="AA86" s="80">
        <f t="shared" si="180"/>
        <v>0</v>
      </c>
      <c r="AB86" s="80">
        <f t="shared" si="173"/>
        <v>54.92609799089022</v>
      </c>
      <c r="AC86" s="89" t="str">
        <f t="shared" si="188"/>
        <v>Ok</v>
      </c>
      <c r="AD86" s="85">
        <f t="shared" si="174"/>
        <v>4.0618571682777133E-3</v>
      </c>
      <c r="AE86" s="85">
        <f t="shared" si="181"/>
        <v>1.9281988961466403E-2</v>
      </c>
      <c r="AF86" s="60" t="str">
        <f t="shared" si="175"/>
        <v>Ok</v>
      </c>
      <c r="AG86" s="77">
        <v>8</v>
      </c>
      <c r="AH86" s="76">
        <v>2</v>
      </c>
      <c r="AI86" s="76">
        <v>150</v>
      </c>
      <c r="AJ86" s="60">
        <f t="shared" si="182"/>
        <v>6.698666666666667</v>
      </c>
      <c r="AK86" s="60" t="str">
        <f t="shared" si="183"/>
        <v>OK</v>
      </c>
      <c r="AL86" s="109">
        <f t="shared" si="184"/>
        <v>210</v>
      </c>
      <c r="AT86" s="133" t="str">
        <f t="shared" si="185"/>
        <v>no need</v>
      </c>
      <c r="AV86" s="61">
        <f t="shared" si="189"/>
        <v>428.60399999999998</v>
      </c>
      <c r="AW86" s="61" t="str">
        <f t="shared" si="190"/>
        <v>OK</v>
      </c>
      <c r="AX86" s="63">
        <f t="shared" si="191"/>
        <v>1758.0367619047615</v>
      </c>
      <c r="AY86" s="63">
        <f t="shared" si="192"/>
        <v>191</v>
      </c>
      <c r="AZ86" s="63">
        <f t="shared" si="193"/>
        <v>222.40632411067196</v>
      </c>
      <c r="BA86" s="63">
        <f t="shared" si="194"/>
        <v>63.249999999999993</v>
      </c>
      <c r="BB86" s="63">
        <f t="shared" si="195"/>
        <v>140.672</v>
      </c>
      <c r="BC86" s="63" t="str">
        <f t="shared" si="196"/>
        <v>OK</v>
      </c>
      <c r="BD86" s="63">
        <f t="shared" si="197"/>
        <v>724.49399523776435</v>
      </c>
      <c r="BE86" s="63">
        <f t="shared" si="198"/>
        <v>281.917528</v>
      </c>
      <c r="BF86" s="63">
        <f t="shared" si="199"/>
        <v>185.27152799999996</v>
      </c>
      <c r="BG86" s="63">
        <f t="shared" si="200"/>
        <v>232.78545316949368</v>
      </c>
      <c r="BH86" s="63">
        <f t="shared" si="201"/>
        <v>128.92805599999997</v>
      </c>
      <c r="BI86" s="63">
        <f t="shared" si="202"/>
        <v>128.92805599999997</v>
      </c>
      <c r="BJ86" s="63">
        <f t="shared" si="203"/>
        <v>128.92805599999997</v>
      </c>
      <c r="BK86" s="63" t="str">
        <f t="shared" si="204"/>
        <v>OK</v>
      </c>
      <c r="BL86" s="63">
        <f t="shared" si="205"/>
        <v>229.2</v>
      </c>
      <c r="BM86" s="63">
        <f t="shared" si="206"/>
        <v>382</v>
      </c>
      <c r="BN86" s="63">
        <f t="shared" si="207"/>
        <v>764</v>
      </c>
      <c r="BO86" s="63">
        <f t="shared" si="208"/>
        <v>1146</v>
      </c>
      <c r="BP86" s="63">
        <f t="shared" si="209"/>
        <v>48.322999999999993</v>
      </c>
      <c r="BQ86" s="63">
        <f t="shared" ref="BQ86:BQ149" si="210">($H$6*Y85*100*0.9*J85+0.5*BB85*J85^2)/10^6</f>
        <v>160.12869979526641</v>
      </c>
      <c r="BR86" s="63" t="str">
        <f t="shared" ref="BR86:BR149" si="211">IF(K85&lt;=BQ86,"OK","NOT OK")</f>
        <v>OK</v>
      </c>
      <c r="BW86" s="70">
        <f t="shared" si="186"/>
        <v>37.02600000000001</v>
      </c>
    </row>
    <row r="87" spans="4:104">
      <c r="D87" s="177"/>
      <c r="E87" s="177"/>
      <c r="F87" s="68" t="s">
        <v>16</v>
      </c>
      <c r="G87" s="78">
        <v>220</v>
      </c>
      <c r="H87" s="78">
        <v>450</v>
      </c>
      <c r="I87" s="79">
        <f t="shared" si="176"/>
        <v>68</v>
      </c>
      <c r="J87" s="80">
        <f t="shared" si="169"/>
        <v>382</v>
      </c>
      <c r="K87" s="81">
        <v>43</v>
      </c>
      <c r="L87" s="81">
        <v>30</v>
      </c>
      <c r="M87" s="81">
        <v>30</v>
      </c>
      <c r="N87" s="82">
        <f t="shared" si="177"/>
        <v>8.7544248324154708E-2</v>
      </c>
      <c r="O87" s="82">
        <f t="shared" si="170"/>
        <v>9.1999999999999998E-2</v>
      </c>
      <c r="P87" s="82">
        <f t="shared" si="171"/>
        <v>0.95399999999999996</v>
      </c>
      <c r="Q87" s="83" t="str">
        <f t="shared" si="178"/>
        <v>Ok</v>
      </c>
      <c r="R87" s="84">
        <f t="shared" si="179"/>
        <v>2.7124857231783421</v>
      </c>
      <c r="S87" s="131">
        <f t="shared" si="187"/>
        <v>3.227612712016114E-3</v>
      </c>
      <c r="T87" s="86">
        <v>2</v>
      </c>
      <c r="U87" s="77">
        <v>16</v>
      </c>
      <c r="V87" s="87" t="str">
        <f t="shared" si="131"/>
        <v>+</v>
      </c>
      <c r="W87" s="86">
        <v>0</v>
      </c>
      <c r="X87" s="77">
        <v>16</v>
      </c>
      <c r="Y87" s="88">
        <f t="shared" si="172"/>
        <v>4.0212385965949355</v>
      </c>
      <c r="Z87" s="89" t="str">
        <f t="shared" si="133"/>
        <v>Ok</v>
      </c>
      <c r="AA87" s="80">
        <f t="shared" si="180"/>
        <v>0</v>
      </c>
      <c r="AB87" s="80">
        <f t="shared" si="173"/>
        <v>54.92609799089022</v>
      </c>
      <c r="AC87" s="89" t="str">
        <f t="shared" si="188"/>
        <v>Ok</v>
      </c>
      <c r="AD87" s="85">
        <f t="shared" si="174"/>
        <v>4.0618571682777133E-3</v>
      </c>
      <c r="AE87" s="85">
        <f t="shared" si="181"/>
        <v>1.9281988961466403E-2</v>
      </c>
      <c r="AF87" s="60" t="str">
        <f t="shared" si="175"/>
        <v>Ok</v>
      </c>
      <c r="AG87" s="77">
        <v>8</v>
      </c>
      <c r="AH87" s="76">
        <v>2</v>
      </c>
      <c r="AI87" s="76">
        <v>150</v>
      </c>
      <c r="AJ87" s="60">
        <f t="shared" si="182"/>
        <v>6.698666666666667</v>
      </c>
      <c r="AK87" s="60" t="str">
        <f t="shared" si="183"/>
        <v>OK</v>
      </c>
      <c r="AL87" s="109">
        <f t="shared" si="184"/>
        <v>210</v>
      </c>
      <c r="AT87" s="133" t="str">
        <f t="shared" si="185"/>
        <v>no need</v>
      </c>
      <c r="AV87" s="61">
        <f t="shared" si="189"/>
        <v>428.60399999999998</v>
      </c>
      <c r="AW87" s="61" t="str">
        <f t="shared" si="190"/>
        <v>OK</v>
      </c>
      <c r="AX87" s="63">
        <f t="shared" si="191"/>
        <v>1230.6257333333331</v>
      </c>
      <c r="AY87" s="63">
        <f t="shared" si="192"/>
        <v>191</v>
      </c>
      <c r="AZ87" s="63">
        <f t="shared" si="193"/>
        <v>222.40632411067196</v>
      </c>
      <c r="BA87" s="63">
        <f t="shared" si="194"/>
        <v>63.249999999999993</v>
      </c>
      <c r="BB87" s="63">
        <f t="shared" si="195"/>
        <v>140.672</v>
      </c>
      <c r="BC87" s="63" t="str">
        <f t="shared" si="196"/>
        <v>OK</v>
      </c>
      <c r="BD87" s="63">
        <f t="shared" si="197"/>
        <v>724.49399523776435</v>
      </c>
      <c r="BE87" s="63">
        <f t="shared" si="198"/>
        <v>281.917528</v>
      </c>
      <c r="BF87" s="63">
        <f t="shared" si="199"/>
        <v>185.27152799999996</v>
      </c>
      <c r="BG87" s="63">
        <f t="shared" si="200"/>
        <v>232.78545316949368</v>
      </c>
      <c r="BH87" s="63">
        <f t="shared" si="201"/>
        <v>128.92805599999997</v>
      </c>
      <c r="BI87" s="63">
        <f t="shared" si="202"/>
        <v>128.92805599999997</v>
      </c>
      <c r="BJ87" s="63">
        <f t="shared" si="203"/>
        <v>128.92805599999997</v>
      </c>
      <c r="BK87" s="63" t="str">
        <f t="shared" si="204"/>
        <v>OK</v>
      </c>
      <c r="BL87" s="63">
        <f t="shared" si="205"/>
        <v>229.2</v>
      </c>
      <c r="BM87" s="63">
        <f t="shared" si="206"/>
        <v>382</v>
      </c>
      <c r="BN87" s="63">
        <f t="shared" si="207"/>
        <v>764</v>
      </c>
      <c r="BO87" s="63">
        <f t="shared" si="208"/>
        <v>1146</v>
      </c>
      <c r="BP87" s="63">
        <f t="shared" si="209"/>
        <v>48.322999999999993</v>
      </c>
      <c r="BQ87" s="63">
        <f t="shared" si="210"/>
        <v>70.402540047656231</v>
      </c>
      <c r="BR87" s="63" t="str">
        <f t="shared" si="211"/>
        <v>OK</v>
      </c>
      <c r="BW87" s="70">
        <f t="shared" si="186"/>
        <v>37.02600000000001</v>
      </c>
    </row>
    <row r="88" spans="4:104">
      <c r="D88" s="178"/>
      <c r="E88" s="178"/>
      <c r="F88" s="67" t="s">
        <v>15</v>
      </c>
      <c r="G88" s="78">
        <v>220</v>
      </c>
      <c r="H88" s="78">
        <v>450</v>
      </c>
      <c r="I88" s="79">
        <f t="shared" si="176"/>
        <v>68</v>
      </c>
      <c r="J88" s="80">
        <f t="shared" si="169"/>
        <v>382</v>
      </c>
      <c r="K88" s="81">
        <v>-13</v>
      </c>
      <c r="L88" s="81">
        <v>35</v>
      </c>
      <c r="M88" s="81">
        <v>35</v>
      </c>
      <c r="N88" s="82">
        <f t="shared" si="177"/>
        <v>2.6466865772418864E-2</v>
      </c>
      <c r="O88" s="82">
        <f t="shared" si="170"/>
        <v>2.7E-2</v>
      </c>
      <c r="P88" s="82">
        <f t="shared" si="171"/>
        <v>0.98650000000000004</v>
      </c>
      <c r="Q88" s="83" t="str">
        <f t="shared" si="178"/>
        <v>Ok</v>
      </c>
      <c r="R88" s="84">
        <f t="shared" si="179"/>
        <v>0.84040000000000004</v>
      </c>
      <c r="S88" s="131">
        <f t="shared" si="187"/>
        <v>1E-3</v>
      </c>
      <c r="T88" s="86">
        <v>2</v>
      </c>
      <c r="U88" s="77">
        <v>16</v>
      </c>
      <c r="V88" s="87" t="str">
        <f t="shared" si="131"/>
        <v>+</v>
      </c>
      <c r="W88" s="86">
        <v>0</v>
      </c>
      <c r="X88" s="77">
        <v>16</v>
      </c>
      <c r="Y88" s="88">
        <f t="shared" si="172"/>
        <v>4.0212385965949355</v>
      </c>
      <c r="Z88" s="89" t="str">
        <f t="shared" si="133"/>
        <v>Ok</v>
      </c>
      <c r="AA88" s="80">
        <f t="shared" si="180"/>
        <v>-46.689890818725317</v>
      </c>
      <c r="AB88" s="80">
        <f t="shared" si="173"/>
        <v>40.238411252175773</v>
      </c>
      <c r="AC88" s="89" t="str">
        <f t="shared" si="188"/>
        <v>Ok</v>
      </c>
      <c r="AD88" s="85">
        <f t="shared" si="174"/>
        <v>4.0618571682777133E-3</v>
      </c>
      <c r="AE88" s="85">
        <f t="shared" si="181"/>
        <v>1.9281988961466403E-2</v>
      </c>
      <c r="AF88" s="60" t="str">
        <f t="shared" si="175"/>
        <v>Ok</v>
      </c>
      <c r="AG88" s="77">
        <v>8</v>
      </c>
      <c r="AH88" s="76">
        <v>2</v>
      </c>
      <c r="AI88" s="76">
        <v>150</v>
      </c>
      <c r="AJ88" s="60">
        <f t="shared" si="182"/>
        <v>6.698666666666667</v>
      </c>
      <c r="AK88" s="60" t="str">
        <f t="shared" si="183"/>
        <v>OK</v>
      </c>
      <c r="AL88" s="109">
        <f t="shared" si="184"/>
        <v>210</v>
      </c>
      <c r="AT88" s="133" t="str">
        <f t="shared" si="185"/>
        <v>no need</v>
      </c>
      <c r="AV88" s="61">
        <f t="shared" si="189"/>
        <v>428.60399999999998</v>
      </c>
      <c r="AW88" s="61" t="str">
        <f t="shared" si="190"/>
        <v>OK</v>
      </c>
      <c r="AX88" s="63">
        <f t="shared" si="191"/>
        <v>1054.8220571428569</v>
      </c>
      <c r="AY88" s="63">
        <f t="shared" si="192"/>
        <v>191</v>
      </c>
      <c r="AZ88" s="63">
        <f t="shared" si="193"/>
        <v>222.40632411067196</v>
      </c>
      <c r="BA88" s="63">
        <f t="shared" si="194"/>
        <v>63.249999999999993</v>
      </c>
      <c r="BB88" s="63">
        <f t="shared" si="195"/>
        <v>140.672</v>
      </c>
      <c r="BC88" s="63" t="str">
        <f t="shared" si="196"/>
        <v>OK</v>
      </c>
      <c r="BD88" s="63">
        <f t="shared" si="197"/>
        <v>724.49399523776435</v>
      </c>
      <c r="BE88" s="63">
        <f t="shared" si="198"/>
        <v>281.917528</v>
      </c>
      <c r="BF88" s="63">
        <f t="shared" si="199"/>
        <v>185.27152799999996</v>
      </c>
      <c r="BG88" s="63">
        <f t="shared" si="200"/>
        <v>232.78545316949368</v>
      </c>
      <c r="BH88" s="63">
        <f t="shared" si="201"/>
        <v>128.92805599999997</v>
      </c>
      <c r="BI88" s="63">
        <f t="shared" si="202"/>
        <v>128.92805599999997</v>
      </c>
      <c r="BJ88" s="63">
        <f t="shared" si="203"/>
        <v>128.92805599999997</v>
      </c>
      <c r="BK88" s="63" t="str">
        <f t="shared" si="204"/>
        <v>OK</v>
      </c>
      <c r="BL88" s="63">
        <f t="shared" si="205"/>
        <v>229.2</v>
      </c>
      <c r="BM88" s="63">
        <f t="shared" si="206"/>
        <v>382</v>
      </c>
      <c r="BN88" s="63">
        <f t="shared" si="207"/>
        <v>764</v>
      </c>
      <c r="BO88" s="63">
        <f t="shared" si="208"/>
        <v>1146</v>
      </c>
      <c r="BP88" s="63">
        <f t="shared" si="209"/>
        <v>48.322999999999993</v>
      </c>
      <c r="BQ88" s="63">
        <f t="shared" si="210"/>
        <v>70.402540047656231</v>
      </c>
      <c r="BR88" s="63" t="str">
        <f t="shared" si="211"/>
        <v>OK</v>
      </c>
      <c r="BW88" s="70">
        <f t="shared" si="186"/>
        <v>37.02600000000001</v>
      </c>
    </row>
    <row r="89" spans="4:104" ht="14.25" customHeight="1">
      <c r="D89" s="179" t="s">
        <v>133</v>
      </c>
      <c r="E89" s="179" t="s">
        <v>240</v>
      </c>
      <c r="F89" s="91" t="s">
        <v>15</v>
      </c>
      <c r="G89" s="78">
        <v>220</v>
      </c>
      <c r="H89" s="78">
        <v>450</v>
      </c>
      <c r="I89" s="92">
        <f t="shared" si="176"/>
        <v>69</v>
      </c>
      <c r="J89" s="93">
        <f t="shared" si="169"/>
        <v>381</v>
      </c>
      <c r="K89" s="94">
        <v>137</v>
      </c>
      <c r="L89" s="94">
        <v>41</v>
      </c>
      <c r="M89" s="94">
        <v>41</v>
      </c>
      <c r="N89" s="95">
        <f t="shared" si="177"/>
        <v>0.28038611566759014</v>
      </c>
      <c r="O89" s="95">
        <f t="shared" si="170"/>
        <v>0.33700000000000002</v>
      </c>
      <c r="P89" s="95">
        <f t="shared" si="171"/>
        <v>0.83150000000000002</v>
      </c>
      <c r="Q89" s="96" t="str">
        <f t="shared" si="178"/>
        <v>Ok</v>
      </c>
      <c r="R89" s="97">
        <f t="shared" si="179"/>
        <v>9.9413206293414706</v>
      </c>
      <c r="S89" s="131">
        <f t="shared" si="187"/>
        <v>1.1860320483585624E-2</v>
      </c>
      <c r="T89" s="99">
        <v>3</v>
      </c>
      <c r="U89" s="100">
        <v>18</v>
      </c>
      <c r="V89" s="101" t="str">
        <f t="shared" si="131"/>
        <v>+</v>
      </c>
      <c r="W89" s="99">
        <v>0</v>
      </c>
      <c r="X89" s="100">
        <v>18</v>
      </c>
      <c r="Y89" s="102">
        <f t="shared" si="172"/>
        <v>7.6340701482231976</v>
      </c>
      <c r="Z89" s="103" t="str">
        <f t="shared" si="133"/>
        <v>Not Ok</v>
      </c>
      <c r="AA89" s="93">
        <f t="shared" si="180"/>
        <v>-91.654285672410779</v>
      </c>
      <c r="AB89" s="93">
        <f t="shared" si="173"/>
        <v>65.942404165343717</v>
      </c>
      <c r="AC89" s="89" t="str">
        <f t="shared" si="188"/>
        <v>Not Ok</v>
      </c>
      <c r="AD89" s="98">
        <f t="shared" si="174"/>
        <v>7.7111819679022194E-3</v>
      </c>
      <c r="AE89" s="98">
        <f t="shared" si="181"/>
        <v>1.9281988961466403E-2</v>
      </c>
      <c r="AF89" s="104" t="str">
        <f t="shared" si="175"/>
        <v>Ok</v>
      </c>
      <c r="AG89" s="100">
        <v>8</v>
      </c>
      <c r="AH89" s="105">
        <v>2</v>
      </c>
      <c r="AI89" s="105">
        <v>100</v>
      </c>
      <c r="AJ89" s="104">
        <f t="shared" si="182"/>
        <v>10.048000000000002</v>
      </c>
      <c r="AK89" s="60" t="str">
        <f t="shared" si="183"/>
        <v>OK</v>
      </c>
      <c r="AL89" s="109">
        <f t="shared" si="184"/>
        <v>210</v>
      </c>
      <c r="AT89" s="133" t="str">
        <f t="shared" si="185"/>
        <v>no need</v>
      </c>
      <c r="AV89" s="61">
        <f t="shared" si="189"/>
        <v>427.48200000000003</v>
      </c>
      <c r="AW89" s="61" t="str">
        <f t="shared" si="190"/>
        <v>OK</v>
      </c>
      <c r="AX89" s="63">
        <f t="shared" si="191"/>
        <v>895.74958536585348</v>
      </c>
      <c r="AY89" s="63">
        <f t="shared" si="192"/>
        <v>190.5</v>
      </c>
      <c r="AZ89" s="63">
        <f t="shared" si="193"/>
        <v>333.60948616600797</v>
      </c>
      <c r="BA89" s="63">
        <f t="shared" si="194"/>
        <v>63.249999999999993</v>
      </c>
      <c r="BB89" s="63">
        <f t="shared" si="195"/>
        <v>211.00799999999998</v>
      </c>
      <c r="BC89" s="63" t="str">
        <f t="shared" si="196"/>
        <v>OK</v>
      </c>
      <c r="BD89" s="63">
        <f t="shared" si="197"/>
        <v>589.9983179985586</v>
      </c>
      <c r="BE89" s="63">
        <f t="shared" si="198"/>
        <v>301.27803599999999</v>
      </c>
      <c r="BF89" s="63">
        <f t="shared" si="199"/>
        <v>204.88503599999996</v>
      </c>
      <c r="BG89" s="63">
        <f t="shared" si="200"/>
        <v>284.35644752195691</v>
      </c>
      <c r="BH89" s="63">
        <f t="shared" si="201"/>
        <v>168.78757199999998</v>
      </c>
      <c r="BI89" s="63">
        <f t="shared" si="202"/>
        <v>168.78757199999998</v>
      </c>
      <c r="BJ89" s="63">
        <f t="shared" si="203"/>
        <v>168.78757199999998</v>
      </c>
      <c r="BK89" s="63" t="str">
        <f t="shared" si="204"/>
        <v>OK</v>
      </c>
      <c r="BL89" s="63">
        <f t="shared" si="205"/>
        <v>228.6</v>
      </c>
      <c r="BM89" s="63">
        <f t="shared" si="206"/>
        <v>381</v>
      </c>
      <c r="BN89" s="63">
        <f t="shared" si="207"/>
        <v>762</v>
      </c>
      <c r="BO89" s="63">
        <f t="shared" si="208"/>
        <v>1143</v>
      </c>
      <c r="BP89" s="63">
        <f t="shared" si="209"/>
        <v>48.196499999999993</v>
      </c>
      <c r="BQ89" s="63">
        <f t="shared" si="210"/>
        <v>70.402540047656231</v>
      </c>
      <c r="BR89" s="63" t="str">
        <f t="shared" si="211"/>
        <v>OK</v>
      </c>
      <c r="BW89" s="70">
        <f t="shared" si="186"/>
        <v>37.02600000000001</v>
      </c>
    </row>
    <row r="90" spans="4:104" ht="15" customHeight="1">
      <c r="D90" s="180"/>
      <c r="E90" s="180"/>
      <c r="F90" s="106" t="s">
        <v>16</v>
      </c>
      <c r="G90" s="78">
        <v>220</v>
      </c>
      <c r="H90" s="78">
        <v>450</v>
      </c>
      <c r="I90" s="92">
        <f t="shared" si="176"/>
        <v>72.5</v>
      </c>
      <c r="J90" s="93">
        <f t="shared" si="169"/>
        <v>377.5</v>
      </c>
      <c r="K90" s="94">
        <v>-221</v>
      </c>
      <c r="L90" s="94">
        <v>150</v>
      </c>
      <c r="M90" s="94">
        <v>150</v>
      </c>
      <c r="N90" s="95">
        <f t="shared" si="177"/>
        <v>0.46072762181704774</v>
      </c>
      <c r="O90" s="95">
        <f t="shared" si="170"/>
        <v>0.72</v>
      </c>
      <c r="P90" s="95">
        <f t="shared" si="171"/>
        <v>0.64</v>
      </c>
      <c r="Q90" s="96" t="str">
        <f t="shared" si="178"/>
        <v>Not Ok</v>
      </c>
      <c r="R90" s="97">
        <f t="shared" si="179"/>
        <v>21.028393088224096</v>
      </c>
      <c r="S90" s="131">
        <f t="shared" si="187"/>
        <v>2.5320160250721369E-2</v>
      </c>
      <c r="T90" s="99">
        <v>3</v>
      </c>
      <c r="U90" s="100">
        <v>25</v>
      </c>
      <c r="V90" s="101" t="str">
        <f t="shared" si="131"/>
        <v>+</v>
      </c>
      <c r="W90" s="99">
        <v>0</v>
      </c>
      <c r="X90" s="100">
        <v>18</v>
      </c>
      <c r="Y90" s="102">
        <f t="shared" si="172"/>
        <v>14.726215563702155</v>
      </c>
      <c r="Z90" s="103" t="str">
        <f t="shared" si="133"/>
        <v>Not Ok</v>
      </c>
      <c r="AA90" s="93">
        <f t="shared" si="180"/>
        <v>0</v>
      </c>
      <c r="AB90" s="93">
        <f t="shared" si="173"/>
        <v>177.76382962333963</v>
      </c>
      <c r="AC90" s="89" t="str">
        <f t="shared" si="188"/>
        <v>Not Ok</v>
      </c>
      <c r="AD90" s="98">
        <f t="shared" si="174"/>
        <v>1.4874965215860764E-2</v>
      </c>
      <c r="AE90" s="98">
        <f t="shared" si="181"/>
        <v>1.9281988961466403E-2</v>
      </c>
      <c r="AF90" s="104" t="str">
        <f t="shared" si="175"/>
        <v>Ok</v>
      </c>
      <c r="AG90" s="100">
        <v>8</v>
      </c>
      <c r="AH90" s="105">
        <v>2</v>
      </c>
      <c r="AI90" s="105">
        <v>100</v>
      </c>
      <c r="AJ90" s="104">
        <f t="shared" si="182"/>
        <v>10.048000000000002</v>
      </c>
      <c r="AK90" s="60" t="str">
        <f t="shared" si="183"/>
        <v>OK</v>
      </c>
      <c r="AL90" s="109">
        <f t="shared" si="184"/>
        <v>210</v>
      </c>
      <c r="AT90" s="133" t="str">
        <f t="shared" si="185"/>
        <v>need</v>
      </c>
      <c r="AV90" s="61">
        <f t="shared" si="189"/>
        <v>423.55500000000001</v>
      </c>
      <c r="AW90" s="61" t="str">
        <f t="shared" si="190"/>
        <v>OK</v>
      </c>
      <c r="AX90" s="63">
        <f t="shared" si="191"/>
        <v>240.36054166666662</v>
      </c>
      <c r="AY90" s="63">
        <f t="shared" si="192"/>
        <v>188.75</v>
      </c>
      <c r="AZ90" s="63">
        <f t="shared" si="193"/>
        <v>333.60948616600797</v>
      </c>
      <c r="BA90" s="63">
        <f t="shared" si="194"/>
        <v>63.249999999999993</v>
      </c>
      <c r="BB90" s="63">
        <f t="shared" si="195"/>
        <v>211.00799999999998</v>
      </c>
      <c r="BC90" s="63" t="str">
        <f t="shared" si="196"/>
        <v>OK</v>
      </c>
      <c r="BD90" s="63">
        <f t="shared" si="197"/>
        <v>584.57838594345367</v>
      </c>
      <c r="BE90" s="63">
        <f t="shared" si="198"/>
        <v>298.51039000000003</v>
      </c>
      <c r="BF90" s="63">
        <f t="shared" si="199"/>
        <v>203.00288999999995</v>
      </c>
      <c r="BG90" s="63">
        <f t="shared" si="200"/>
        <v>281.74424918514103</v>
      </c>
      <c r="BH90" s="63">
        <f t="shared" si="201"/>
        <v>167.23702999999998</v>
      </c>
      <c r="BI90" s="63">
        <f t="shared" si="202"/>
        <v>167.23702999999998</v>
      </c>
      <c r="BJ90" s="63">
        <f t="shared" si="203"/>
        <v>167.23702999999998</v>
      </c>
      <c r="BK90" s="63" t="str">
        <f t="shared" si="204"/>
        <v>OK</v>
      </c>
      <c r="BL90" s="63">
        <f t="shared" si="205"/>
        <v>226.5</v>
      </c>
      <c r="BM90" s="63">
        <f t="shared" si="206"/>
        <v>377.5</v>
      </c>
      <c r="BN90" s="63">
        <f t="shared" si="207"/>
        <v>755</v>
      </c>
      <c r="BO90" s="63">
        <f t="shared" si="208"/>
        <v>1132.5</v>
      </c>
      <c r="BP90" s="63">
        <f t="shared" si="209"/>
        <v>47.753749999999989</v>
      </c>
      <c r="BQ90" s="63">
        <f t="shared" si="210"/>
        <v>129.18600158541943</v>
      </c>
      <c r="BR90" s="63" t="str">
        <f t="shared" si="211"/>
        <v>NOT OK</v>
      </c>
      <c r="BW90" s="70">
        <f t="shared" si="186"/>
        <v>37.02600000000001</v>
      </c>
    </row>
    <row r="91" spans="4:104">
      <c r="D91" s="181"/>
      <c r="E91" s="181"/>
      <c r="F91" s="91" t="s">
        <v>15</v>
      </c>
      <c r="G91" s="78">
        <v>220</v>
      </c>
      <c r="H91" s="78">
        <v>450</v>
      </c>
      <c r="I91" s="92">
        <f t="shared" si="176"/>
        <v>100</v>
      </c>
      <c r="J91" s="93">
        <f t="shared" si="169"/>
        <v>350</v>
      </c>
      <c r="K91" s="94">
        <v>-436</v>
      </c>
      <c r="L91" s="94">
        <v>177</v>
      </c>
      <c r="M91" s="94">
        <v>177</v>
      </c>
      <c r="N91" s="95">
        <f t="shared" si="177"/>
        <v>1.0573926540313094</v>
      </c>
      <c r="O91" s="95" t="e">
        <f t="shared" si="170"/>
        <v>#NUM!</v>
      </c>
      <c r="P91" s="95" t="e">
        <f t="shared" si="171"/>
        <v>#NUM!</v>
      </c>
      <c r="Q91" s="96" t="e">
        <f t="shared" si="178"/>
        <v>#NUM!</v>
      </c>
      <c r="R91" s="97" t="e">
        <f t="shared" si="179"/>
        <v>#NUM!</v>
      </c>
      <c r="S91" s="131" t="e">
        <f t="shared" si="187"/>
        <v>#NUM!</v>
      </c>
      <c r="T91" s="99">
        <v>3</v>
      </c>
      <c r="U91" s="100">
        <v>25</v>
      </c>
      <c r="V91" s="101" t="str">
        <f t="shared" si="131"/>
        <v>+</v>
      </c>
      <c r="W91" s="99">
        <v>3</v>
      </c>
      <c r="X91" s="100">
        <v>25</v>
      </c>
      <c r="Y91" s="102">
        <f t="shared" si="172"/>
        <v>29.45243112740431</v>
      </c>
      <c r="Z91" s="103" t="e">
        <f t="shared" si="133"/>
        <v>#NUM!</v>
      </c>
      <c r="AA91" s="93">
        <f t="shared" si="180"/>
        <v>190.31205496763036</v>
      </c>
      <c r="AB91" s="93">
        <f t="shared" si="173"/>
        <v>323.39819069094432</v>
      </c>
      <c r="AC91" s="89" t="str">
        <f t="shared" si="188"/>
        <v>Not Ok</v>
      </c>
      <c r="AD91" s="98">
        <f t="shared" si="174"/>
        <v>2.9749930431721527E-2</v>
      </c>
      <c r="AE91" s="98">
        <f t="shared" si="181"/>
        <v>1.9281988961466403E-2</v>
      </c>
      <c r="AF91" s="104" t="str">
        <f t="shared" si="175"/>
        <v>No-Ok</v>
      </c>
      <c r="AG91" s="100">
        <v>8</v>
      </c>
      <c r="AH91" s="105">
        <v>2</v>
      </c>
      <c r="AI91" s="105">
        <v>100</v>
      </c>
      <c r="AJ91" s="104">
        <f t="shared" si="182"/>
        <v>10.048000000000002</v>
      </c>
      <c r="AK91" s="60" t="str">
        <f t="shared" si="183"/>
        <v>NOT OK</v>
      </c>
      <c r="AL91" s="109">
        <f t="shared" si="184"/>
        <v>210</v>
      </c>
      <c r="AT91" s="133" t="str">
        <f t="shared" si="185"/>
        <v>need</v>
      </c>
      <c r="AV91" s="61">
        <f t="shared" si="189"/>
        <v>392.7</v>
      </c>
      <c r="AW91" s="61" t="str">
        <f t="shared" si="190"/>
        <v>OK</v>
      </c>
      <c r="AX91" s="63">
        <f t="shared" si="191"/>
        <v>175.09887005649716</v>
      </c>
      <c r="AY91" s="63">
        <f t="shared" si="192"/>
        <v>175</v>
      </c>
      <c r="AZ91" s="63">
        <f t="shared" si="193"/>
        <v>333.60948616600797</v>
      </c>
      <c r="BA91" s="63">
        <f t="shared" si="194"/>
        <v>63.249999999999993</v>
      </c>
      <c r="BB91" s="63">
        <f t="shared" si="195"/>
        <v>211.00799999999998</v>
      </c>
      <c r="BC91" s="63" t="str">
        <f t="shared" si="196"/>
        <v>OK</v>
      </c>
      <c r="BD91" s="63">
        <f t="shared" si="197"/>
        <v>541.99320551048697</v>
      </c>
      <c r="BE91" s="63">
        <f t="shared" si="198"/>
        <v>276.76459999999997</v>
      </c>
      <c r="BF91" s="63">
        <f t="shared" si="199"/>
        <v>188.21459999999996</v>
      </c>
      <c r="BG91" s="63">
        <f t="shared" si="200"/>
        <v>261.21983368158772</v>
      </c>
      <c r="BH91" s="63">
        <f t="shared" si="201"/>
        <v>155.05419999999998</v>
      </c>
      <c r="BI91" s="63">
        <f t="shared" si="202"/>
        <v>155.05419999999998</v>
      </c>
      <c r="BJ91" s="63">
        <f t="shared" si="203"/>
        <v>155.05419999999998</v>
      </c>
      <c r="BK91" s="63" t="str">
        <f t="shared" si="204"/>
        <v>NOT OK</v>
      </c>
      <c r="BL91" s="63">
        <f t="shared" si="205"/>
        <v>210</v>
      </c>
      <c r="BM91" s="63">
        <f t="shared" si="206"/>
        <v>350</v>
      </c>
      <c r="BN91" s="63">
        <f t="shared" si="207"/>
        <v>700</v>
      </c>
      <c r="BO91" s="63">
        <f t="shared" si="208"/>
        <v>1050</v>
      </c>
      <c r="BP91" s="63">
        <f t="shared" si="209"/>
        <v>44.274999999999991</v>
      </c>
      <c r="BQ91" s="63">
        <f t="shared" si="210"/>
        <v>232.67555999289965</v>
      </c>
      <c r="BR91" s="63" t="str">
        <f t="shared" si="211"/>
        <v>OK</v>
      </c>
      <c r="BW91" s="70">
        <f t="shared" si="186"/>
        <v>37.02600000000001</v>
      </c>
    </row>
    <row r="92" spans="4:104" ht="12.75" customHeight="1">
      <c r="D92" s="176" t="s">
        <v>140</v>
      </c>
      <c r="E92" s="176" t="s">
        <v>241</v>
      </c>
      <c r="F92" s="67" t="s">
        <v>15</v>
      </c>
      <c r="G92" s="78">
        <v>220</v>
      </c>
      <c r="H92" s="78">
        <v>450</v>
      </c>
      <c r="I92" s="79">
        <f t="shared" si="176"/>
        <v>100</v>
      </c>
      <c r="J92" s="80">
        <f>H92-I92</f>
        <v>350</v>
      </c>
      <c r="K92" s="81">
        <v>-411</v>
      </c>
      <c r="L92" s="81">
        <v>180</v>
      </c>
      <c r="M92" s="81">
        <v>180</v>
      </c>
      <c r="N92" s="82">
        <f t="shared" si="177"/>
        <v>0.9967623413001564</v>
      </c>
      <c r="O92" s="82" t="e">
        <f>ROUND(1-SQRT(1-2*N92),3)</f>
        <v>#NUM!</v>
      </c>
      <c r="P92" s="82" t="e">
        <f>1-0.5*O92</f>
        <v>#NUM!</v>
      </c>
      <c r="Q92" s="83" t="e">
        <f t="shared" si="178"/>
        <v>#NUM!</v>
      </c>
      <c r="R92" s="84" t="e">
        <f t="shared" si="179"/>
        <v>#NUM!</v>
      </c>
      <c r="S92" s="131" t="e">
        <f t="shared" si="187"/>
        <v>#NUM!</v>
      </c>
      <c r="T92" s="86">
        <v>3</v>
      </c>
      <c r="U92" s="77">
        <v>25</v>
      </c>
      <c r="V92" s="87" t="str">
        <f t="shared" si="131"/>
        <v>+</v>
      </c>
      <c r="W92" s="86">
        <v>3</v>
      </c>
      <c r="X92" s="77">
        <v>25</v>
      </c>
      <c r="Y92" s="88">
        <f>(T92*PI()*U92^2/4+W92*PI()*X92^2/4)/100</f>
        <v>29.45243112740431</v>
      </c>
      <c r="Z92" s="89" t="e">
        <f t="shared" si="133"/>
        <v>#NUM!</v>
      </c>
      <c r="AA92" s="90">
        <f t="shared" si="180"/>
        <v>190.31205496763036</v>
      </c>
      <c r="AB92" s="80">
        <f>($J$11*$H$4*G92*ABS(AA92)*(J92-0.5*ABS(AA92))+$H$6*(T93*PI()*U93^2/4)*(J92-I93))*10^-6</f>
        <v>341.01442605902298</v>
      </c>
      <c r="AC92" s="89" t="str">
        <f t="shared" si="188"/>
        <v>Not Ok</v>
      </c>
      <c r="AD92" s="85">
        <f>(Y92*100)/(G92*H92)</f>
        <v>2.9749930431721527E-2</v>
      </c>
      <c r="AE92" s="85">
        <f t="shared" si="181"/>
        <v>1.9281988961466403E-2</v>
      </c>
      <c r="AF92" s="60" t="str">
        <f>IF(AND(AD92&gt;0.1%,AD92&lt;AE92),"Ok","No-Ok")</f>
        <v>No-Ok</v>
      </c>
      <c r="AG92" s="77">
        <v>8</v>
      </c>
      <c r="AH92" s="76">
        <v>2</v>
      </c>
      <c r="AI92" s="76">
        <v>100</v>
      </c>
      <c r="AJ92" s="60">
        <f t="shared" si="182"/>
        <v>10.048000000000002</v>
      </c>
      <c r="AK92" s="60" t="str">
        <f t="shared" si="183"/>
        <v>NOT OK</v>
      </c>
      <c r="AL92" s="109">
        <f t="shared" si="184"/>
        <v>210</v>
      </c>
      <c r="AT92" s="133" t="str">
        <f t="shared" si="185"/>
        <v>need</v>
      </c>
      <c r="AV92" s="61">
        <f t="shared" si="189"/>
        <v>392.7</v>
      </c>
      <c r="AW92" s="61" t="str">
        <f t="shared" si="190"/>
        <v>OK</v>
      </c>
      <c r="AX92" s="63">
        <f t="shared" si="191"/>
        <v>172.18055555555554</v>
      </c>
      <c r="AY92" s="63">
        <f t="shared" si="192"/>
        <v>175</v>
      </c>
      <c r="AZ92" s="63">
        <f t="shared" si="193"/>
        <v>333.60948616600797</v>
      </c>
      <c r="BA92" s="63">
        <f t="shared" si="194"/>
        <v>63.249999999999993</v>
      </c>
      <c r="BB92" s="63">
        <f t="shared" si="195"/>
        <v>211.00799999999998</v>
      </c>
      <c r="BC92" s="63" t="str">
        <f t="shared" si="196"/>
        <v>OK</v>
      </c>
      <c r="BD92" s="63">
        <f t="shared" si="197"/>
        <v>541.99320551048697</v>
      </c>
      <c r="BE92" s="63">
        <f t="shared" si="198"/>
        <v>276.76459999999997</v>
      </c>
      <c r="BF92" s="63">
        <f t="shared" si="199"/>
        <v>188.21459999999996</v>
      </c>
      <c r="BG92" s="63">
        <f t="shared" si="200"/>
        <v>261.21983368158772</v>
      </c>
      <c r="BH92" s="63">
        <f t="shared" si="201"/>
        <v>155.05419999999998</v>
      </c>
      <c r="BI92" s="63">
        <f t="shared" si="202"/>
        <v>155.05419999999998</v>
      </c>
      <c r="BJ92" s="63">
        <f t="shared" si="203"/>
        <v>155.05419999999998</v>
      </c>
      <c r="BK92" s="63" t="str">
        <f t="shared" si="204"/>
        <v>NOT OK</v>
      </c>
      <c r="BL92" s="63">
        <f t="shared" si="205"/>
        <v>210</v>
      </c>
      <c r="BM92" s="63">
        <f t="shared" si="206"/>
        <v>350</v>
      </c>
      <c r="BN92" s="63">
        <f t="shared" si="207"/>
        <v>700</v>
      </c>
      <c r="BO92" s="63">
        <f t="shared" si="208"/>
        <v>1050</v>
      </c>
      <c r="BP92" s="63">
        <f t="shared" si="209"/>
        <v>44.274999999999991</v>
      </c>
      <c r="BQ92" s="63">
        <f t="shared" si="210"/>
        <v>416.49617752325759</v>
      </c>
      <c r="BR92" s="63" t="str">
        <f t="shared" si="211"/>
        <v>OK</v>
      </c>
      <c r="BU92" s="70">
        <v>12</v>
      </c>
      <c r="BV92" s="70">
        <v>1</v>
      </c>
      <c r="BW92" s="70">
        <f t="shared" si="186"/>
        <v>37.02600000000001</v>
      </c>
      <c r="BX92" s="70" t="str">
        <f>IF(BW92&gt;AT92,"OK","NOT OK")</f>
        <v>NOT OK</v>
      </c>
      <c r="BY92" s="70">
        <f>G92</f>
        <v>220</v>
      </c>
      <c r="BZ92" s="70">
        <f>H92</f>
        <v>450</v>
      </c>
      <c r="CA92" s="70">
        <f>BY92/(2*BZ92+BY92)</f>
        <v>0.19642857142857142</v>
      </c>
      <c r="CB92" s="27">
        <f>O79*AJ92/10</f>
        <v>0.15875840000000002</v>
      </c>
      <c r="CE92" s="71">
        <f>CB92*CA92*BY92*BZ92/1000000</f>
        <v>3.0872838857142859E-3</v>
      </c>
      <c r="CF92" s="71"/>
      <c r="CG92" s="71"/>
      <c r="CH92" s="70">
        <f>T93*3.14*U93^2/4</f>
        <v>1471.875</v>
      </c>
      <c r="CI92" s="71">
        <f>0.5*$H$6*CH92*BZ92/1000000</f>
        <v>144.05976562500001</v>
      </c>
      <c r="CJ92" s="70" t="str">
        <f>IF((CI92+CE92)&gt;AT92,"OK","NOT OK")</f>
        <v>NOT OK</v>
      </c>
      <c r="CK92" s="27">
        <f>BZ92</f>
        <v>450</v>
      </c>
      <c r="CL92" s="27">
        <f>BY92</f>
        <v>220</v>
      </c>
      <c r="CM92" s="74">
        <f>CK92/(2*CL92+CK92)</f>
        <v>0.5056179775280899</v>
      </c>
      <c r="CN92" s="74"/>
      <c r="CO92" s="27">
        <f>O79*AJ92/10</f>
        <v>0.15875840000000002</v>
      </c>
      <c r="CP92" s="74">
        <f>CO92*CM92*CK92*CL92/1000000</f>
        <v>7.9468390112359556E-3</v>
      </c>
      <c r="CQ92" s="27">
        <f>3.14*U93^2/4+3.14*U92^2/4+BV92*3.14*BU92^2/4</f>
        <v>1094.29</v>
      </c>
      <c r="CT92" s="71">
        <f>0.5*$H$6*CQ92*CL92/1000000</f>
        <v>52.361776499999991</v>
      </c>
      <c r="CU92" s="71"/>
      <c r="CV92" s="70" t="str">
        <f>IF((CT92+CP92)&gt;U92,"OK","NOT OK")</f>
        <v>OK</v>
      </c>
      <c r="CW92" s="74">
        <f>MIN((CP92+CT92),(CE92+CI92))</f>
        <v>52.369723339011223</v>
      </c>
      <c r="CX92" s="71">
        <f>AB92</f>
        <v>341.01442605902298</v>
      </c>
      <c r="CY92" s="71">
        <f>(BG92+BO92*J92)/1000</f>
        <v>367.76121983368159</v>
      </c>
      <c r="CZ92" s="62">
        <f>CW92*SQRT(1-(K92/CX92)^1)</f>
        <v>77.76908509267119</v>
      </c>
    </row>
    <row r="93" spans="4:104">
      <c r="D93" s="177"/>
      <c r="E93" s="177"/>
      <c r="F93" s="68" t="s">
        <v>16</v>
      </c>
      <c r="G93" s="78">
        <v>220</v>
      </c>
      <c r="H93" s="78">
        <v>450</v>
      </c>
      <c r="I93" s="79">
        <f t="shared" si="176"/>
        <v>72.5</v>
      </c>
      <c r="J93" s="80">
        <f t="shared" ref="J93:J103" si="212">H93-I93</f>
        <v>377.5</v>
      </c>
      <c r="K93" s="81">
        <v>-166</v>
      </c>
      <c r="L93" s="81">
        <v>148</v>
      </c>
      <c r="M93" s="81">
        <v>148</v>
      </c>
      <c r="N93" s="82">
        <f t="shared" si="177"/>
        <v>0.34606690145533903</v>
      </c>
      <c r="O93" s="82">
        <f t="shared" ref="O93:O103" si="213">ROUND(1-SQRT(1-2*N93),3)</f>
        <v>0.44500000000000001</v>
      </c>
      <c r="P93" s="82">
        <f t="shared" ref="P93:P103" si="214">1-0.5*O93</f>
        <v>0.77749999999999997</v>
      </c>
      <c r="Q93" s="83" t="str">
        <f t="shared" si="178"/>
        <v>Ok</v>
      </c>
      <c r="R93" s="84">
        <f t="shared" si="179"/>
        <v>13.001740010725458</v>
      </c>
      <c r="S93" s="131">
        <f t="shared" si="187"/>
        <v>1.5655316087568281E-2</v>
      </c>
      <c r="T93" s="86">
        <v>3</v>
      </c>
      <c r="U93" s="77">
        <v>25</v>
      </c>
      <c r="V93" s="87" t="str">
        <f t="shared" si="131"/>
        <v>+</v>
      </c>
      <c r="W93" s="86">
        <v>0</v>
      </c>
      <c r="X93" s="77">
        <v>18</v>
      </c>
      <c r="Y93" s="88">
        <f t="shared" ref="Y93:Y103" si="215">(T93*PI()*U93^2/4+W93*PI()*X93^2/4)/100</f>
        <v>14.726215563702155</v>
      </c>
      <c r="Z93" s="89" t="str">
        <f t="shared" si="133"/>
        <v>Ok</v>
      </c>
      <c r="AA93" s="80">
        <f t="shared" si="180"/>
        <v>91.654285672410779</v>
      </c>
      <c r="AB93" s="80">
        <f t="shared" ref="AB93:AB103" si="216">($J$11*$H$4*G93*AA93*(J93-0.5*AA93)+$H$6*(T94*PI()*U94^2/4)*(J93-I94))*10^-6</f>
        <v>204.77115067334432</v>
      </c>
      <c r="AC93" s="89" t="str">
        <f t="shared" si="188"/>
        <v>Ok</v>
      </c>
      <c r="AD93" s="85">
        <f t="shared" ref="AD93:AD103" si="217">(Y93*100)/(G93*H93)</f>
        <v>1.4874965215860764E-2</v>
      </c>
      <c r="AE93" s="85">
        <f t="shared" si="181"/>
        <v>1.9281988961466403E-2</v>
      </c>
      <c r="AF93" s="60" t="str">
        <f t="shared" ref="AF93:AF103" si="218">IF(AND(AD93&gt;0.1%,AD93&lt;AE93),"Ok","No-Ok")</f>
        <v>Ok</v>
      </c>
      <c r="AG93" s="77">
        <v>8</v>
      </c>
      <c r="AH93" s="76">
        <v>2</v>
      </c>
      <c r="AI93" s="76">
        <v>100</v>
      </c>
      <c r="AJ93" s="60">
        <f t="shared" si="182"/>
        <v>10.048000000000002</v>
      </c>
      <c r="AK93" s="60" t="str">
        <f t="shared" si="183"/>
        <v>OK</v>
      </c>
      <c r="AL93" s="109">
        <f t="shared" si="184"/>
        <v>210</v>
      </c>
      <c r="AT93" s="133" t="str">
        <f t="shared" si="185"/>
        <v>need</v>
      </c>
      <c r="AV93" s="61">
        <f t="shared" si="189"/>
        <v>423.55500000000001</v>
      </c>
      <c r="AW93" s="61" t="str">
        <f t="shared" si="190"/>
        <v>OK</v>
      </c>
      <c r="AX93" s="63">
        <f t="shared" si="191"/>
        <v>243.60865709459455</v>
      </c>
      <c r="AY93" s="63">
        <f t="shared" si="192"/>
        <v>188.75</v>
      </c>
      <c r="AZ93" s="63">
        <f t="shared" si="193"/>
        <v>333.60948616600797</v>
      </c>
      <c r="BA93" s="63">
        <f t="shared" si="194"/>
        <v>63.249999999999993</v>
      </c>
      <c r="BB93" s="63">
        <f t="shared" si="195"/>
        <v>211.00799999999998</v>
      </c>
      <c r="BC93" s="63" t="str">
        <f t="shared" si="196"/>
        <v>OK</v>
      </c>
      <c r="BD93" s="63">
        <f t="shared" si="197"/>
        <v>584.57838594345367</v>
      </c>
      <c r="BE93" s="63">
        <f t="shared" si="198"/>
        <v>298.51039000000003</v>
      </c>
      <c r="BF93" s="63">
        <f t="shared" si="199"/>
        <v>203.00288999999995</v>
      </c>
      <c r="BG93" s="63">
        <f t="shared" si="200"/>
        <v>281.74424918514103</v>
      </c>
      <c r="BH93" s="63">
        <f t="shared" si="201"/>
        <v>167.23702999999998</v>
      </c>
      <c r="BI93" s="63">
        <f t="shared" si="202"/>
        <v>167.23702999999998</v>
      </c>
      <c r="BJ93" s="63">
        <f t="shared" si="203"/>
        <v>167.23702999999998</v>
      </c>
      <c r="BK93" s="63" t="str">
        <f t="shared" si="204"/>
        <v>OK</v>
      </c>
      <c r="BL93" s="63">
        <f t="shared" si="205"/>
        <v>226.5</v>
      </c>
      <c r="BM93" s="63">
        <f t="shared" si="206"/>
        <v>377.5</v>
      </c>
      <c r="BN93" s="63">
        <f t="shared" si="207"/>
        <v>755</v>
      </c>
      <c r="BO93" s="63">
        <f t="shared" si="208"/>
        <v>1132.5</v>
      </c>
      <c r="BP93" s="63">
        <f t="shared" si="209"/>
        <v>47.753749999999989</v>
      </c>
      <c r="BQ93" s="63">
        <f t="shared" si="210"/>
        <v>416.49617752325759</v>
      </c>
      <c r="BR93" s="63" t="str">
        <f t="shared" si="211"/>
        <v>OK</v>
      </c>
      <c r="BW93" s="70">
        <f t="shared" si="186"/>
        <v>37.02600000000001</v>
      </c>
    </row>
    <row r="94" spans="4:104">
      <c r="D94" s="178"/>
      <c r="E94" s="178"/>
      <c r="F94" s="67" t="s">
        <v>15</v>
      </c>
      <c r="G94" s="78">
        <v>220</v>
      </c>
      <c r="H94" s="78">
        <v>450</v>
      </c>
      <c r="I94" s="79">
        <f t="shared" si="176"/>
        <v>69</v>
      </c>
      <c r="J94" s="80">
        <f t="shared" si="212"/>
        <v>381</v>
      </c>
      <c r="K94" s="81">
        <v>127</v>
      </c>
      <c r="L94" s="81">
        <v>57</v>
      </c>
      <c r="M94" s="81">
        <v>57</v>
      </c>
      <c r="N94" s="82">
        <f t="shared" si="177"/>
        <v>0.25991997583783905</v>
      </c>
      <c r="O94" s="82">
        <f t="shared" si="213"/>
        <v>0.307</v>
      </c>
      <c r="P94" s="82">
        <f t="shared" si="214"/>
        <v>0.84650000000000003</v>
      </c>
      <c r="Q94" s="83" t="str">
        <f t="shared" si="178"/>
        <v>Ok</v>
      </c>
      <c r="R94" s="84">
        <f t="shared" si="179"/>
        <v>9.052374777368156</v>
      </c>
      <c r="S94" s="131">
        <f t="shared" si="187"/>
        <v>1.079977902334545E-2</v>
      </c>
      <c r="T94" s="86">
        <v>3</v>
      </c>
      <c r="U94" s="77">
        <v>18</v>
      </c>
      <c r="V94" s="87" t="str">
        <f t="shared" si="131"/>
        <v>+</v>
      </c>
      <c r="W94" s="86">
        <v>0</v>
      </c>
      <c r="X94" s="77">
        <v>18</v>
      </c>
      <c r="Y94" s="88">
        <f t="shared" si="215"/>
        <v>7.6340701482231976</v>
      </c>
      <c r="Z94" s="89" t="str">
        <f t="shared" si="133"/>
        <v>Not Ok</v>
      </c>
      <c r="AA94" s="80">
        <f t="shared" si="180"/>
        <v>-48.719886071713375</v>
      </c>
      <c r="AB94" s="80">
        <f t="shared" si="216"/>
        <v>76.988928202432362</v>
      </c>
      <c r="AC94" s="89" t="str">
        <f t="shared" si="188"/>
        <v>Not Ok</v>
      </c>
      <c r="AD94" s="85">
        <f t="shared" si="217"/>
        <v>7.7111819679022194E-3</v>
      </c>
      <c r="AE94" s="85">
        <f t="shared" si="181"/>
        <v>1.9281988961466403E-2</v>
      </c>
      <c r="AF94" s="60" t="str">
        <f t="shared" si="218"/>
        <v>Ok</v>
      </c>
      <c r="AG94" s="77">
        <v>8</v>
      </c>
      <c r="AH94" s="76">
        <v>2</v>
      </c>
      <c r="AI94" s="76">
        <v>100</v>
      </c>
      <c r="AJ94" s="60">
        <f t="shared" si="182"/>
        <v>10.048000000000002</v>
      </c>
      <c r="AK94" s="60" t="str">
        <f t="shared" si="183"/>
        <v>OK</v>
      </c>
      <c r="AL94" s="109">
        <f t="shared" si="184"/>
        <v>210</v>
      </c>
      <c r="AT94" s="133" t="str">
        <f t="shared" si="185"/>
        <v>need</v>
      </c>
      <c r="AV94" s="61">
        <f t="shared" si="189"/>
        <v>427.48200000000003</v>
      </c>
      <c r="AW94" s="61" t="str">
        <f t="shared" si="190"/>
        <v>OK</v>
      </c>
      <c r="AX94" s="63">
        <f t="shared" si="191"/>
        <v>644.31110526315774</v>
      </c>
      <c r="AY94" s="63">
        <f t="shared" si="192"/>
        <v>190.5</v>
      </c>
      <c r="AZ94" s="63">
        <f t="shared" si="193"/>
        <v>333.60948616600797</v>
      </c>
      <c r="BA94" s="63">
        <f t="shared" si="194"/>
        <v>63.249999999999993</v>
      </c>
      <c r="BB94" s="63">
        <f t="shared" si="195"/>
        <v>211.00799999999998</v>
      </c>
      <c r="BC94" s="63" t="str">
        <f t="shared" si="196"/>
        <v>OK</v>
      </c>
      <c r="BD94" s="63">
        <f t="shared" si="197"/>
        <v>589.9983179985586</v>
      </c>
      <c r="BE94" s="63">
        <f t="shared" si="198"/>
        <v>301.27803599999999</v>
      </c>
      <c r="BF94" s="63">
        <f t="shared" si="199"/>
        <v>204.88503599999996</v>
      </c>
      <c r="BG94" s="63">
        <f t="shared" si="200"/>
        <v>284.35644752195691</v>
      </c>
      <c r="BH94" s="63">
        <f t="shared" si="201"/>
        <v>168.78757199999998</v>
      </c>
      <c r="BI94" s="63">
        <f t="shared" si="202"/>
        <v>168.78757199999998</v>
      </c>
      <c r="BJ94" s="63">
        <f t="shared" si="203"/>
        <v>168.78757199999998</v>
      </c>
      <c r="BK94" s="63" t="str">
        <f t="shared" si="204"/>
        <v>OK</v>
      </c>
      <c r="BL94" s="63">
        <f t="shared" si="205"/>
        <v>228.6</v>
      </c>
      <c r="BM94" s="63">
        <f t="shared" si="206"/>
        <v>381</v>
      </c>
      <c r="BN94" s="63">
        <f t="shared" si="207"/>
        <v>762</v>
      </c>
      <c r="BO94" s="63">
        <f t="shared" si="208"/>
        <v>1143</v>
      </c>
      <c r="BP94" s="63">
        <f t="shared" si="209"/>
        <v>48.196499999999993</v>
      </c>
      <c r="BQ94" s="63">
        <f t="shared" si="210"/>
        <v>232.67555999289965</v>
      </c>
      <c r="BR94" s="63" t="str">
        <f t="shared" si="211"/>
        <v>OK</v>
      </c>
      <c r="BW94" s="70">
        <f t="shared" si="186"/>
        <v>37.02600000000001</v>
      </c>
    </row>
    <row r="95" spans="4:104" ht="14.25" customHeight="1">
      <c r="D95" s="179" t="s">
        <v>136</v>
      </c>
      <c r="E95" s="179" t="s">
        <v>242</v>
      </c>
      <c r="F95" s="91" t="s">
        <v>15</v>
      </c>
      <c r="G95" s="78">
        <v>220</v>
      </c>
      <c r="H95" s="78">
        <v>450</v>
      </c>
      <c r="I95" s="92">
        <f t="shared" si="176"/>
        <v>91.8</v>
      </c>
      <c r="J95" s="93">
        <f t="shared" si="212"/>
        <v>358.2</v>
      </c>
      <c r="K95" s="94">
        <v>333</v>
      </c>
      <c r="L95" s="94">
        <v>91</v>
      </c>
      <c r="M95" s="94">
        <v>91</v>
      </c>
      <c r="N95" s="95">
        <f t="shared" si="177"/>
        <v>0.77104363934118192</v>
      </c>
      <c r="O95" s="95" t="e">
        <f t="shared" si="213"/>
        <v>#NUM!</v>
      </c>
      <c r="P95" s="95" t="e">
        <f t="shared" si="214"/>
        <v>#NUM!</v>
      </c>
      <c r="Q95" s="96" t="e">
        <f t="shared" si="178"/>
        <v>#NUM!</v>
      </c>
      <c r="R95" s="97" t="e">
        <f t="shared" si="179"/>
        <v>#NUM!</v>
      </c>
      <c r="S95" s="131" t="e">
        <f t="shared" si="187"/>
        <v>#NUM!</v>
      </c>
      <c r="T95" s="99">
        <v>3</v>
      </c>
      <c r="U95" s="100">
        <v>22</v>
      </c>
      <c r="V95" s="101" t="str">
        <f t="shared" si="131"/>
        <v>+</v>
      </c>
      <c r="W95" s="99">
        <v>2</v>
      </c>
      <c r="X95" s="100">
        <v>22</v>
      </c>
      <c r="Y95" s="102">
        <f t="shared" si="215"/>
        <v>19.006635554218249</v>
      </c>
      <c r="Z95" s="103" t="e">
        <f t="shared" si="133"/>
        <v>#NUM!</v>
      </c>
      <c r="AA95" s="93">
        <f t="shared" si="180"/>
        <v>6.9019838601593717</v>
      </c>
      <c r="AB95" s="93">
        <f t="shared" si="216"/>
        <v>236.61233340138833</v>
      </c>
      <c r="AC95" s="89" t="str">
        <f t="shared" si="188"/>
        <v>Not Ok</v>
      </c>
      <c r="AD95" s="98">
        <f t="shared" si="217"/>
        <v>1.9198621771937624E-2</v>
      </c>
      <c r="AE95" s="98">
        <f t="shared" si="181"/>
        <v>1.9281988961466403E-2</v>
      </c>
      <c r="AF95" s="104" t="str">
        <f t="shared" si="218"/>
        <v>Ok</v>
      </c>
      <c r="AG95" s="100">
        <v>8</v>
      </c>
      <c r="AH95" s="105">
        <v>2</v>
      </c>
      <c r="AI95" s="105">
        <v>100</v>
      </c>
      <c r="AJ95" s="104">
        <f t="shared" si="182"/>
        <v>10.048000000000002</v>
      </c>
      <c r="AK95" s="60" t="str">
        <f t="shared" si="183"/>
        <v>OK</v>
      </c>
      <c r="AL95" s="109">
        <f t="shared" si="184"/>
        <v>210</v>
      </c>
      <c r="AT95" s="133" t="str">
        <f t="shared" si="185"/>
        <v>need</v>
      </c>
      <c r="AV95" s="61">
        <f t="shared" si="189"/>
        <v>401.90039999999999</v>
      </c>
      <c r="AW95" s="61" t="str">
        <f t="shared" si="190"/>
        <v>OK</v>
      </c>
      <c r="AX95" s="63">
        <f t="shared" si="191"/>
        <v>356.72232659340654</v>
      </c>
      <c r="AY95" s="63">
        <f t="shared" si="192"/>
        <v>179.1</v>
      </c>
      <c r="AZ95" s="63">
        <f t="shared" si="193"/>
        <v>333.60948616600797</v>
      </c>
      <c r="BA95" s="63">
        <f t="shared" si="194"/>
        <v>63.249999999999993</v>
      </c>
      <c r="BB95" s="63">
        <f t="shared" si="195"/>
        <v>211.00799999999998</v>
      </c>
      <c r="BC95" s="63" t="str">
        <f t="shared" si="196"/>
        <v>OK</v>
      </c>
      <c r="BD95" s="63">
        <f t="shared" si="197"/>
        <v>554.69133203958972</v>
      </c>
      <c r="BE95" s="63">
        <f t="shared" si="198"/>
        <v>283.24879920000001</v>
      </c>
      <c r="BF95" s="63">
        <f t="shared" si="199"/>
        <v>192.62419919999994</v>
      </c>
      <c r="BG95" s="63">
        <f t="shared" si="200"/>
        <v>267.33984121355633</v>
      </c>
      <c r="BH95" s="63">
        <f t="shared" si="201"/>
        <v>158.68689839999996</v>
      </c>
      <c r="BI95" s="63">
        <f t="shared" si="202"/>
        <v>158.68689839999996</v>
      </c>
      <c r="BJ95" s="63">
        <f t="shared" si="203"/>
        <v>158.68689839999996</v>
      </c>
      <c r="BK95" s="63" t="str">
        <f t="shared" si="204"/>
        <v>OK</v>
      </c>
      <c r="BL95" s="63">
        <f t="shared" si="205"/>
        <v>214.92</v>
      </c>
      <c r="BM95" s="63">
        <f t="shared" si="206"/>
        <v>358.2</v>
      </c>
      <c r="BN95" s="63">
        <f t="shared" si="207"/>
        <v>716.4</v>
      </c>
      <c r="BO95" s="63">
        <f t="shared" si="208"/>
        <v>1074.5999999999999</v>
      </c>
      <c r="BP95" s="63">
        <f t="shared" si="209"/>
        <v>45.312299999999993</v>
      </c>
      <c r="BQ95" s="63">
        <f t="shared" si="210"/>
        <v>129.18600158541943</v>
      </c>
      <c r="BR95" s="63" t="str">
        <f t="shared" si="211"/>
        <v>OK</v>
      </c>
      <c r="BW95" s="70">
        <f t="shared" si="186"/>
        <v>37.02600000000001</v>
      </c>
    </row>
    <row r="96" spans="4:104" ht="14.25" customHeight="1">
      <c r="D96" s="180"/>
      <c r="E96" s="180"/>
      <c r="F96" s="106" t="s">
        <v>16</v>
      </c>
      <c r="G96" s="78">
        <v>220</v>
      </c>
      <c r="H96" s="78">
        <v>450</v>
      </c>
      <c r="I96" s="92">
        <f t="shared" si="176"/>
        <v>74</v>
      </c>
      <c r="J96" s="93">
        <f t="shared" si="212"/>
        <v>376</v>
      </c>
      <c r="K96" s="94">
        <v>-217</v>
      </c>
      <c r="L96" s="94">
        <v>174</v>
      </c>
      <c r="M96" s="94">
        <v>174</v>
      </c>
      <c r="N96" s="95">
        <f t="shared" si="177"/>
        <v>0.45600534409684146</v>
      </c>
      <c r="O96" s="95">
        <f t="shared" si="213"/>
        <v>0.70299999999999996</v>
      </c>
      <c r="P96" s="95">
        <f t="shared" si="214"/>
        <v>0.64850000000000008</v>
      </c>
      <c r="Q96" s="96" t="str">
        <f t="shared" si="178"/>
        <v>Not Ok</v>
      </c>
      <c r="R96" s="97">
        <f t="shared" si="179"/>
        <v>20.458446444029743</v>
      </c>
      <c r="S96" s="131">
        <f t="shared" si="187"/>
        <v>2.473216446328547E-2</v>
      </c>
      <c r="T96" s="99">
        <v>3</v>
      </c>
      <c r="U96" s="100">
        <v>28</v>
      </c>
      <c r="V96" s="101" t="str">
        <f t="shared" ref="V96:V159" si="219">IF(X96="","","+")</f>
        <v>+</v>
      </c>
      <c r="W96" s="99">
        <v>0</v>
      </c>
      <c r="X96" s="100">
        <v>18</v>
      </c>
      <c r="Y96" s="102">
        <f t="shared" si="215"/>
        <v>18.472564803107986</v>
      </c>
      <c r="Z96" s="103" t="str">
        <f t="shared" ref="Z96:Z159" si="220">IF(Y96&gt;R96,"Ok","Not Ok")</f>
        <v>Not Ok</v>
      </c>
      <c r="AA96" s="93">
        <f t="shared" si="180"/>
        <v>0</v>
      </c>
      <c r="AB96" s="93">
        <f t="shared" si="216"/>
        <v>219.37094331930888</v>
      </c>
      <c r="AC96" s="89" t="str">
        <f t="shared" si="188"/>
        <v>Ok</v>
      </c>
      <c r="AD96" s="98">
        <f t="shared" si="217"/>
        <v>1.8659156366775741E-2</v>
      </c>
      <c r="AE96" s="98">
        <f t="shared" si="181"/>
        <v>1.9281988961466403E-2</v>
      </c>
      <c r="AF96" s="104" t="str">
        <f t="shared" si="218"/>
        <v>Ok</v>
      </c>
      <c r="AG96" s="100">
        <v>8</v>
      </c>
      <c r="AH96" s="105">
        <v>2</v>
      </c>
      <c r="AI96" s="105">
        <v>100</v>
      </c>
      <c r="AJ96" s="104">
        <f t="shared" si="182"/>
        <v>10.048000000000002</v>
      </c>
      <c r="AK96" s="60" t="str">
        <f t="shared" si="183"/>
        <v>NOT OK</v>
      </c>
      <c r="AL96" s="109">
        <f t="shared" si="184"/>
        <v>210</v>
      </c>
      <c r="AT96" s="133" t="str">
        <f t="shared" si="185"/>
        <v>need</v>
      </c>
      <c r="AV96" s="61">
        <f t="shared" si="189"/>
        <v>421.87200000000001</v>
      </c>
      <c r="AW96" s="61" t="str">
        <f t="shared" si="190"/>
        <v>OK</v>
      </c>
      <c r="AX96" s="63">
        <f t="shared" si="191"/>
        <v>205.56395402298847</v>
      </c>
      <c r="AY96" s="63">
        <f t="shared" si="192"/>
        <v>188</v>
      </c>
      <c r="AZ96" s="63">
        <f t="shared" si="193"/>
        <v>333.60948616600797</v>
      </c>
      <c r="BA96" s="63">
        <f t="shared" si="194"/>
        <v>63.249999999999993</v>
      </c>
      <c r="BB96" s="63">
        <f t="shared" si="195"/>
        <v>211.00799999999998</v>
      </c>
      <c r="BC96" s="63" t="str">
        <f t="shared" si="196"/>
        <v>OK</v>
      </c>
      <c r="BD96" s="63">
        <f t="shared" si="197"/>
        <v>582.25555791983732</v>
      </c>
      <c r="BE96" s="63">
        <f t="shared" si="198"/>
        <v>297.32425599999999</v>
      </c>
      <c r="BF96" s="63">
        <f t="shared" si="199"/>
        <v>202.19625599999995</v>
      </c>
      <c r="BG96" s="63">
        <f t="shared" si="200"/>
        <v>280.62473561221998</v>
      </c>
      <c r="BH96" s="63">
        <f t="shared" si="201"/>
        <v>166.57251199999996</v>
      </c>
      <c r="BI96" s="63">
        <f t="shared" si="202"/>
        <v>166.57251199999996</v>
      </c>
      <c r="BJ96" s="63">
        <f t="shared" si="203"/>
        <v>166.57251199999996</v>
      </c>
      <c r="BK96" s="63" t="str">
        <f t="shared" si="204"/>
        <v>NOT OK</v>
      </c>
      <c r="BL96" s="63">
        <f t="shared" si="205"/>
        <v>225.6</v>
      </c>
      <c r="BM96" s="63">
        <f t="shared" si="206"/>
        <v>376</v>
      </c>
      <c r="BN96" s="63">
        <f t="shared" si="207"/>
        <v>752</v>
      </c>
      <c r="BO96" s="63">
        <f t="shared" si="208"/>
        <v>1128</v>
      </c>
      <c r="BP96" s="63">
        <f t="shared" si="209"/>
        <v>47.563999999999993</v>
      </c>
      <c r="BQ96" s="63">
        <f t="shared" si="210"/>
        <v>280.07705094260621</v>
      </c>
      <c r="BR96" s="63" t="str">
        <f t="shared" si="211"/>
        <v>NOT OK</v>
      </c>
      <c r="BW96" s="70">
        <f t="shared" si="186"/>
        <v>37.02600000000001</v>
      </c>
    </row>
    <row r="97" spans="4:104">
      <c r="D97" s="181"/>
      <c r="E97" s="181"/>
      <c r="F97" s="91" t="s">
        <v>15</v>
      </c>
      <c r="G97" s="78">
        <v>220</v>
      </c>
      <c r="H97" s="78">
        <v>450</v>
      </c>
      <c r="I97" s="92">
        <f t="shared" si="176"/>
        <v>103</v>
      </c>
      <c r="J97" s="93">
        <f t="shared" si="212"/>
        <v>347</v>
      </c>
      <c r="K97" s="94">
        <v>-557</v>
      </c>
      <c r="L97" s="94">
        <v>303</v>
      </c>
      <c r="M97" s="94">
        <v>303</v>
      </c>
      <c r="N97" s="95">
        <f t="shared" si="177"/>
        <v>1.3743018589734659</v>
      </c>
      <c r="O97" s="95" t="e">
        <f t="shared" si="213"/>
        <v>#NUM!</v>
      </c>
      <c r="P97" s="95" t="e">
        <f t="shared" si="214"/>
        <v>#NUM!</v>
      </c>
      <c r="Q97" s="96" t="e">
        <f t="shared" si="178"/>
        <v>#NUM!</v>
      </c>
      <c r="R97" s="97" t="e">
        <f t="shared" si="179"/>
        <v>#NUM!</v>
      </c>
      <c r="S97" s="131" t="e">
        <f t="shared" si="187"/>
        <v>#NUM!</v>
      </c>
      <c r="T97" s="99">
        <v>3</v>
      </c>
      <c r="U97" s="100">
        <v>28</v>
      </c>
      <c r="V97" s="101" t="str">
        <f t="shared" si="219"/>
        <v>+</v>
      </c>
      <c r="W97" s="99">
        <v>3</v>
      </c>
      <c r="X97" s="100">
        <v>28</v>
      </c>
      <c r="Y97" s="102">
        <f t="shared" si="215"/>
        <v>36.945129606215971</v>
      </c>
      <c r="Z97" s="103" t="e">
        <f t="shared" si="220"/>
        <v>#NUM!</v>
      </c>
      <c r="AA97" s="93">
        <f t="shared" si="180"/>
        <v>238.72744175139553</v>
      </c>
      <c r="AB97" s="93">
        <f t="shared" si="216"/>
        <v>378.98643023848734</v>
      </c>
      <c r="AC97" s="89" t="str">
        <f t="shared" si="188"/>
        <v>Not Ok</v>
      </c>
      <c r="AD97" s="98">
        <f t="shared" si="217"/>
        <v>3.7318312733551483E-2</v>
      </c>
      <c r="AE97" s="98">
        <f t="shared" si="181"/>
        <v>1.9281988961466403E-2</v>
      </c>
      <c r="AF97" s="104" t="str">
        <f t="shared" si="218"/>
        <v>No-Ok</v>
      </c>
      <c r="AG97" s="100">
        <v>8</v>
      </c>
      <c r="AH97" s="105">
        <v>2</v>
      </c>
      <c r="AI97" s="105">
        <v>100</v>
      </c>
      <c r="AJ97" s="104">
        <f t="shared" si="182"/>
        <v>10.048000000000002</v>
      </c>
      <c r="AK97" s="60" t="str">
        <f t="shared" si="183"/>
        <v>NOT OK</v>
      </c>
      <c r="AL97" s="109">
        <f t="shared" si="184"/>
        <v>210</v>
      </c>
      <c r="AT97" s="133" t="str">
        <f t="shared" si="185"/>
        <v>need</v>
      </c>
      <c r="AV97" s="61">
        <f t="shared" si="189"/>
        <v>389.334</v>
      </c>
      <c r="AW97" s="61" t="str">
        <f t="shared" si="190"/>
        <v>OK</v>
      </c>
      <c r="AX97" s="63">
        <f t="shared" si="191"/>
        <v>100.53952805280527</v>
      </c>
      <c r="AY97" s="63">
        <f t="shared" si="192"/>
        <v>173.5</v>
      </c>
      <c r="AZ97" s="63">
        <f t="shared" si="193"/>
        <v>333.60948616600797</v>
      </c>
      <c r="BA97" s="63">
        <f t="shared" si="194"/>
        <v>63.249999999999993</v>
      </c>
      <c r="BB97" s="63">
        <f t="shared" si="195"/>
        <v>211.00799999999998</v>
      </c>
      <c r="BC97" s="63" t="str">
        <f t="shared" si="196"/>
        <v>OK</v>
      </c>
      <c r="BD97" s="63">
        <f t="shared" si="197"/>
        <v>537.34754946325415</v>
      </c>
      <c r="BE97" s="63">
        <f t="shared" si="198"/>
        <v>274.39233200000001</v>
      </c>
      <c r="BF97" s="63">
        <f t="shared" si="199"/>
        <v>186.60133199999996</v>
      </c>
      <c r="BG97" s="63">
        <f t="shared" si="200"/>
        <v>258.9808065357455</v>
      </c>
      <c r="BH97" s="63">
        <f t="shared" si="201"/>
        <v>153.72516399999998</v>
      </c>
      <c r="BI97" s="63">
        <f t="shared" si="202"/>
        <v>153.72516399999998</v>
      </c>
      <c r="BJ97" s="63">
        <f t="shared" si="203"/>
        <v>153.72516399999998</v>
      </c>
      <c r="BK97" s="63" t="str">
        <f t="shared" si="204"/>
        <v>NOT OK</v>
      </c>
      <c r="BL97" s="63">
        <f t="shared" si="205"/>
        <v>208.2</v>
      </c>
      <c r="BM97" s="63">
        <f t="shared" si="206"/>
        <v>347</v>
      </c>
      <c r="BN97" s="63">
        <f t="shared" si="207"/>
        <v>694</v>
      </c>
      <c r="BO97" s="63">
        <f t="shared" si="208"/>
        <v>1041</v>
      </c>
      <c r="BP97" s="63">
        <f t="shared" si="209"/>
        <v>43.895499999999991</v>
      </c>
      <c r="BQ97" s="63">
        <f t="shared" si="210"/>
        <v>286.83927643167078</v>
      </c>
      <c r="BR97" s="63" t="str">
        <f t="shared" si="211"/>
        <v>OK</v>
      </c>
      <c r="BW97" s="70">
        <f t="shared" si="186"/>
        <v>37.02600000000001</v>
      </c>
    </row>
    <row r="98" spans="4:104" ht="15.75" customHeight="1">
      <c r="D98" s="176" t="s">
        <v>138</v>
      </c>
      <c r="E98" s="176" t="s">
        <v>243</v>
      </c>
      <c r="F98" s="67" t="s">
        <v>15</v>
      </c>
      <c r="G98" s="78">
        <v>220</v>
      </c>
      <c r="H98" s="78">
        <v>450</v>
      </c>
      <c r="I98" s="79">
        <f t="shared" si="176"/>
        <v>103</v>
      </c>
      <c r="J98" s="80">
        <f t="shared" si="212"/>
        <v>347</v>
      </c>
      <c r="K98" s="81">
        <v>-555</v>
      </c>
      <c r="L98" s="81">
        <v>253</v>
      </c>
      <c r="M98" s="81">
        <v>253</v>
      </c>
      <c r="N98" s="82">
        <f t="shared" si="177"/>
        <v>1.369367202388283</v>
      </c>
      <c r="O98" s="82" t="e">
        <f t="shared" si="213"/>
        <v>#NUM!</v>
      </c>
      <c r="P98" s="82" t="e">
        <f t="shared" si="214"/>
        <v>#NUM!</v>
      </c>
      <c r="Q98" s="83" t="e">
        <f t="shared" si="178"/>
        <v>#NUM!</v>
      </c>
      <c r="R98" s="84" t="e">
        <f t="shared" si="179"/>
        <v>#NUM!</v>
      </c>
      <c r="S98" s="131" t="e">
        <f t="shared" si="187"/>
        <v>#NUM!</v>
      </c>
      <c r="T98" s="86">
        <v>3</v>
      </c>
      <c r="U98" s="77">
        <v>28</v>
      </c>
      <c r="V98" s="87" t="str">
        <f t="shared" si="219"/>
        <v>+</v>
      </c>
      <c r="W98" s="86">
        <v>3</v>
      </c>
      <c r="X98" s="77">
        <v>28</v>
      </c>
      <c r="Y98" s="88">
        <f t="shared" si="215"/>
        <v>36.945129606215971</v>
      </c>
      <c r="Z98" s="89" t="e">
        <f t="shared" si="220"/>
        <v>#NUM!</v>
      </c>
      <c r="AA98" s="80">
        <f t="shared" si="180"/>
        <v>238.72744175139553</v>
      </c>
      <c r="AB98" s="80">
        <f t="shared" si="216"/>
        <v>378.98643023848734</v>
      </c>
      <c r="AC98" s="89" t="str">
        <f t="shared" si="188"/>
        <v>Not Ok</v>
      </c>
      <c r="AD98" s="85">
        <f t="shared" si="217"/>
        <v>3.7318312733551483E-2</v>
      </c>
      <c r="AE98" s="85">
        <f t="shared" si="181"/>
        <v>1.9281988961466403E-2</v>
      </c>
      <c r="AF98" s="60" t="str">
        <f t="shared" si="218"/>
        <v>No-Ok</v>
      </c>
      <c r="AG98" s="77">
        <v>8</v>
      </c>
      <c r="AH98" s="76">
        <v>2</v>
      </c>
      <c r="AI98" s="76">
        <v>100</v>
      </c>
      <c r="AJ98" s="60">
        <f t="shared" si="182"/>
        <v>10.048000000000002</v>
      </c>
      <c r="AK98" s="60" t="str">
        <f t="shared" si="183"/>
        <v>NOT OK</v>
      </c>
      <c r="AL98" s="109">
        <f t="shared" si="184"/>
        <v>210</v>
      </c>
      <c r="AT98" s="133" t="str">
        <f t="shared" si="185"/>
        <v>need</v>
      </c>
      <c r="AV98" s="61">
        <f t="shared" si="189"/>
        <v>389.334</v>
      </c>
      <c r="AW98" s="61" t="str">
        <f t="shared" si="190"/>
        <v>OK</v>
      </c>
      <c r="AX98" s="63">
        <f t="shared" si="191"/>
        <v>120.40899999999999</v>
      </c>
      <c r="AY98" s="63">
        <f t="shared" si="192"/>
        <v>173.5</v>
      </c>
      <c r="AZ98" s="63">
        <f t="shared" si="193"/>
        <v>333.60948616600797</v>
      </c>
      <c r="BA98" s="63">
        <f t="shared" si="194"/>
        <v>63.249999999999993</v>
      </c>
      <c r="BB98" s="63">
        <f t="shared" si="195"/>
        <v>211.00799999999998</v>
      </c>
      <c r="BC98" s="63" t="str">
        <f t="shared" si="196"/>
        <v>OK</v>
      </c>
      <c r="BD98" s="63">
        <f t="shared" si="197"/>
        <v>537.34754946325415</v>
      </c>
      <c r="BE98" s="63">
        <f t="shared" si="198"/>
        <v>274.39233200000001</v>
      </c>
      <c r="BF98" s="63">
        <f t="shared" si="199"/>
        <v>186.60133199999996</v>
      </c>
      <c r="BG98" s="63">
        <f t="shared" si="200"/>
        <v>258.9808065357455</v>
      </c>
      <c r="BH98" s="63">
        <f t="shared" si="201"/>
        <v>153.72516399999998</v>
      </c>
      <c r="BI98" s="63">
        <f t="shared" si="202"/>
        <v>153.72516399999998</v>
      </c>
      <c r="BJ98" s="63">
        <f t="shared" si="203"/>
        <v>153.72516399999998</v>
      </c>
      <c r="BK98" s="63" t="str">
        <f t="shared" si="204"/>
        <v>NOT OK</v>
      </c>
      <c r="BL98" s="63">
        <f t="shared" si="205"/>
        <v>208.2</v>
      </c>
      <c r="BM98" s="63">
        <f t="shared" si="206"/>
        <v>347</v>
      </c>
      <c r="BN98" s="63">
        <f t="shared" si="207"/>
        <v>694</v>
      </c>
      <c r="BO98" s="63">
        <f t="shared" si="208"/>
        <v>1041</v>
      </c>
      <c r="BP98" s="63">
        <f t="shared" si="209"/>
        <v>43.895499999999991</v>
      </c>
      <c r="BQ98" s="63">
        <f t="shared" si="210"/>
        <v>514.60506409292418</v>
      </c>
      <c r="BR98" s="63" t="str">
        <f t="shared" si="211"/>
        <v>OK</v>
      </c>
      <c r="BW98" s="70">
        <f t="shared" si="186"/>
        <v>37.02600000000001</v>
      </c>
    </row>
    <row r="99" spans="4:104" ht="15.75" customHeight="1">
      <c r="D99" s="177"/>
      <c r="E99" s="177"/>
      <c r="F99" s="68" t="s">
        <v>16</v>
      </c>
      <c r="G99" s="78">
        <v>220</v>
      </c>
      <c r="H99" s="78">
        <v>450</v>
      </c>
      <c r="I99" s="79">
        <f t="shared" si="176"/>
        <v>103</v>
      </c>
      <c r="J99" s="80">
        <f t="shared" si="212"/>
        <v>347</v>
      </c>
      <c r="K99" s="81">
        <v>-200</v>
      </c>
      <c r="L99" s="81">
        <v>190</v>
      </c>
      <c r="M99" s="81">
        <v>190</v>
      </c>
      <c r="N99" s="82">
        <f t="shared" si="177"/>
        <v>0.49346565851830015</v>
      </c>
      <c r="O99" s="82">
        <f t="shared" si="213"/>
        <v>0.88600000000000001</v>
      </c>
      <c r="P99" s="82">
        <f t="shared" si="214"/>
        <v>0.55699999999999994</v>
      </c>
      <c r="Q99" s="83" t="str">
        <f t="shared" si="178"/>
        <v>Not Ok</v>
      </c>
      <c r="R99" s="84">
        <f t="shared" si="179"/>
        <v>23.787898061482561</v>
      </c>
      <c r="S99" s="131">
        <f t="shared" si="187"/>
        <v>3.1160463795497199E-2</v>
      </c>
      <c r="T99" s="86">
        <v>3</v>
      </c>
      <c r="U99" s="77">
        <v>28</v>
      </c>
      <c r="V99" s="87" t="str">
        <f t="shared" si="219"/>
        <v>+</v>
      </c>
      <c r="W99" s="86">
        <v>3</v>
      </c>
      <c r="X99" s="77">
        <v>28</v>
      </c>
      <c r="Y99" s="88">
        <f t="shared" si="215"/>
        <v>36.945129606215971</v>
      </c>
      <c r="Z99" s="89" t="str">
        <f t="shared" si="220"/>
        <v>Ok</v>
      </c>
      <c r="AA99" s="80">
        <f t="shared" si="180"/>
        <v>238.72744175139553</v>
      </c>
      <c r="AB99" s="80">
        <f t="shared" si="216"/>
        <v>378.98643023848734</v>
      </c>
      <c r="AC99" s="89" t="str">
        <f t="shared" si="188"/>
        <v>Ok</v>
      </c>
      <c r="AD99" s="85">
        <f t="shared" si="217"/>
        <v>3.7318312733551483E-2</v>
      </c>
      <c r="AE99" s="85">
        <f t="shared" si="181"/>
        <v>1.9281988961466403E-2</v>
      </c>
      <c r="AF99" s="60" t="str">
        <f t="shared" si="218"/>
        <v>No-Ok</v>
      </c>
      <c r="AG99" s="77">
        <v>8</v>
      </c>
      <c r="AH99" s="76">
        <v>2</v>
      </c>
      <c r="AI99" s="76">
        <v>100</v>
      </c>
      <c r="AJ99" s="60">
        <f t="shared" si="182"/>
        <v>10.048000000000002</v>
      </c>
      <c r="AK99" s="60" t="str">
        <f t="shared" si="183"/>
        <v>NOT OK</v>
      </c>
      <c r="AL99" s="109">
        <f t="shared" si="184"/>
        <v>210</v>
      </c>
      <c r="AT99" s="133" t="str">
        <f t="shared" si="185"/>
        <v>need</v>
      </c>
      <c r="AV99" s="61">
        <f t="shared" si="189"/>
        <v>389.334</v>
      </c>
      <c r="AW99" s="61" t="str">
        <f t="shared" si="190"/>
        <v>OK</v>
      </c>
      <c r="AX99" s="63">
        <f t="shared" si="191"/>
        <v>160.3340894736842</v>
      </c>
      <c r="AY99" s="63">
        <f t="shared" si="192"/>
        <v>173.5</v>
      </c>
      <c r="AZ99" s="63">
        <f t="shared" si="193"/>
        <v>333.60948616600797</v>
      </c>
      <c r="BA99" s="63">
        <f t="shared" si="194"/>
        <v>63.249999999999993</v>
      </c>
      <c r="BB99" s="63">
        <f t="shared" si="195"/>
        <v>211.00799999999998</v>
      </c>
      <c r="BC99" s="63" t="str">
        <f t="shared" si="196"/>
        <v>OK</v>
      </c>
      <c r="BD99" s="63">
        <f t="shared" si="197"/>
        <v>537.34754946325415</v>
      </c>
      <c r="BE99" s="63">
        <f t="shared" si="198"/>
        <v>274.39233200000001</v>
      </c>
      <c r="BF99" s="63">
        <f t="shared" si="199"/>
        <v>186.60133199999996</v>
      </c>
      <c r="BG99" s="63">
        <f t="shared" si="200"/>
        <v>258.9808065357455</v>
      </c>
      <c r="BH99" s="63">
        <f t="shared" si="201"/>
        <v>153.72516399999998</v>
      </c>
      <c r="BI99" s="63">
        <f t="shared" si="202"/>
        <v>153.72516399999998</v>
      </c>
      <c r="BJ99" s="63">
        <f t="shared" si="203"/>
        <v>153.72516399999998</v>
      </c>
      <c r="BK99" s="63" t="str">
        <f t="shared" si="204"/>
        <v>NOT OK</v>
      </c>
      <c r="BL99" s="63">
        <f t="shared" si="205"/>
        <v>208.2</v>
      </c>
      <c r="BM99" s="63">
        <f t="shared" si="206"/>
        <v>347</v>
      </c>
      <c r="BN99" s="63">
        <f t="shared" si="207"/>
        <v>694</v>
      </c>
      <c r="BO99" s="63">
        <f t="shared" si="208"/>
        <v>1041</v>
      </c>
      <c r="BP99" s="63">
        <f t="shared" si="209"/>
        <v>43.895499999999991</v>
      </c>
      <c r="BQ99" s="63">
        <f t="shared" si="210"/>
        <v>514.60506409292418</v>
      </c>
      <c r="BR99" s="63" t="str">
        <f t="shared" si="211"/>
        <v>OK</v>
      </c>
      <c r="BW99" s="70">
        <f t="shared" si="186"/>
        <v>37.02600000000001</v>
      </c>
    </row>
    <row r="100" spans="4:104" ht="12.75" customHeight="1">
      <c r="D100" s="178"/>
      <c r="E100" s="178"/>
      <c r="F100" s="67" t="s">
        <v>15</v>
      </c>
      <c r="G100" s="78">
        <v>220</v>
      </c>
      <c r="H100" s="78">
        <v>450</v>
      </c>
      <c r="I100" s="79">
        <f t="shared" si="176"/>
        <v>103</v>
      </c>
      <c r="J100" s="80">
        <f t="shared" si="212"/>
        <v>347</v>
      </c>
      <c r="K100" s="81">
        <v>353</v>
      </c>
      <c r="L100" s="81">
        <v>150</v>
      </c>
      <c r="M100" s="81">
        <v>150</v>
      </c>
      <c r="N100" s="82">
        <f t="shared" si="177"/>
        <v>0.87096688728479976</v>
      </c>
      <c r="O100" s="82" t="e">
        <f t="shared" si="213"/>
        <v>#NUM!</v>
      </c>
      <c r="P100" s="82" t="e">
        <f t="shared" si="214"/>
        <v>#NUM!</v>
      </c>
      <c r="Q100" s="83" t="e">
        <f t="shared" si="178"/>
        <v>#NUM!</v>
      </c>
      <c r="R100" s="84" t="e">
        <f t="shared" si="179"/>
        <v>#NUM!</v>
      </c>
      <c r="S100" s="131" t="e">
        <f t="shared" si="187"/>
        <v>#NUM!</v>
      </c>
      <c r="T100" s="86">
        <v>3</v>
      </c>
      <c r="U100" s="77">
        <v>28</v>
      </c>
      <c r="V100" s="87" t="str">
        <f t="shared" si="219"/>
        <v>+</v>
      </c>
      <c r="W100" s="86">
        <v>3</v>
      </c>
      <c r="X100" s="77">
        <v>28</v>
      </c>
      <c r="Y100" s="88">
        <f t="shared" si="215"/>
        <v>36.945129606215971</v>
      </c>
      <c r="Z100" s="89" t="e">
        <f t="shared" si="220"/>
        <v>#NUM!</v>
      </c>
      <c r="AA100" s="80">
        <f t="shared" si="180"/>
        <v>411.68303730597796</v>
      </c>
      <c r="AB100" s="80">
        <f t="shared" si="216"/>
        <v>257.15272471961742</v>
      </c>
      <c r="AC100" s="89" t="str">
        <f t="shared" si="188"/>
        <v>Not Ok</v>
      </c>
      <c r="AD100" s="85">
        <f t="shared" si="217"/>
        <v>3.7318312733551483E-2</v>
      </c>
      <c r="AE100" s="85">
        <f t="shared" si="181"/>
        <v>1.9281988961466403E-2</v>
      </c>
      <c r="AF100" s="60" t="str">
        <f t="shared" si="218"/>
        <v>No-Ok</v>
      </c>
      <c r="AG100" s="77">
        <v>8</v>
      </c>
      <c r="AH100" s="76">
        <v>2</v>
      </c>
      <c r="AI100" s="76">
        <v>100</v>
      </c>
      <c r="AJ100" s="60">
        <f t="shared" si="182"/>
        <v>10.048000000000002</v>
      </c>
      <c r="AK100" s="60" t="str">
        <f t="shared" si="183"/>
        <v>OK</v>
      </c>
      <c r="AL100" s="109">
        <f t="shared" si="184"/>
        <v>210</v>
      </c>
      <c r="AT100" s="133" t="str">
        <f t="shared" si="185"/>
        <v>need</v>
      </c>
      <c r="AV100" s="61">
        <f t="shared" si="189"/>
        <v>389.334</v>
      </c>
      <c r="AW100" s="61" t="str">
        <f t="shared" si="190"/>
        <v>OK</v>
      </c>
      <c r="AX100" s="63">
        <f t="shared" si="191"/>
        <v>203.08984666666663</v>
      </c>
      <c r="AY100" s="63">
        <f t="shared" si="192"/>
        <v>173.5</v>
      </c>
      <c r="AZ100" s="63">
        <f t="shared" si="193"/>
        <v>333.60948616600797</v>
      </c>
      <c r="BA100" s="63">
        <f t="shared" si="194"/>
        <v>63.249999999999993</v>
      </c>
      <c r="BB100" s="63">
        <f t="shared" si="195"/>
        <v>211.00799999999998</v>
      </c>
      <c r="BC100" s="63" t="str">
        <f t="shared" si="196"/>
        <v>OK</v>
      </c>
      <c r="BD100" s="63">
        <f t="shared" si="197"/>
        <v>537.34754946325415</v>
      </c>
      <c r="BE100" s="63">
        <f t="shared" si="198"/>
        <v>274.39233200000001</v>
      </c>
      <c r="BF100" s="63">
        <f t="shared" si="199"/>
        <v>186.60133199999996</v>
      </c>
      <c r="BG100" s="63">
        <f t="shared" si="200"/>
        <v>258.9808065357455</v>
      </c>
      <c r="BH100" s="63">
        <f t="shared" si="201"/>
        <v>153.72516399999998</v>
      </c>
      <c r="BI100" s="63">
        <f t="shared" si="202"/>
        <v>153.72516399999998</v>
      </c>
      <c r="BJ100" s="63">
        <f t="shared" si="203"/>
        <v>153.72516399999998</v>
      </c>
      <c r="BK100" s="63" t="str">
        <f t="shared" si="204"/>
        <v>OK</v>
      </c>
      <c r="BL100" s="63">
        <f t="shared" si="205"/>
        <v>208.2</v>
      </c>
      <c r="BM100" s="63">
        <f t="shared" si="206"/>
        <v>347</v>
      </c>
      <c r="BN100" s="63">
        <f t="shared" si="207"/>
        <v>694</v>
      </c>
      <c r="BO100" s="63">
        <f t="shared" si="208"/>
        <v>1041</v>
      </c>
      <c r="BP100" s="63">
        <f t="shared" si="209"/>
        <v>43.895499999999991</v>
      </c>
      <c r="BQ100" s="63">
        <f t="shared" si="210"/>
        <v>514.60506409292418</v>
      </c>
      <c r="BR100" s="63" t="str">
        <f t="shared" si="211"/>
        <v>OK</v>
      </c>
      <c r="BW100" s="70">
        <f t="shared" si="186"/>
        <v>37.02600000000001</v>
      </c>
    </row>
    <row r="101" spans="4:104">
      <c r="D101" s="179" t="s">
        <v>211</v>
      </c>
      <c r="E101" s="179" t="s">
        <v>244</v>
      </c>
      <c r="F101" s="91" t="s">
        <v>15</v>
      </c>
      <c r="G101" s="78">
        <v>220</v>
      </c>
      <c r="H101" s="78">
        <v>450</v>
      </c>
      <c r="I101" s="92">
        <f t="shared" si="176"/>
        <v>69</v>
      </c>
      <c r="J101" s="93">
        <f t="shared" si="212"/>
        <v>381</v>
      </c>
      <c r="K101" s="94">
        <v>80</v>
      </c>
      <c r="L101" s="94">
        <v>8</v>
      </c>
      <c r="M101" s="94">
        <v>8</v>
      </c>
      <c r="N101" s="95">
        <f t="shared" si="177"/>
        <v>0.16372911863800885</v>
      </c>
      <c r="O101" s="95">
        <f t="shared" si="213"/>
        <v>0.18</v>
      </c>
      <c r="P101" s="95">
        <f t="shared" si="214"/>
        <v>0.91</v>
      </c>
      <c r="Q101" s="96" t="str">
        <f t="shared" si="178"/>
        <v>Ok</v>
      </c>
      <c r="R101" s="97">
        <f t="shared" si="179"/>
        <v>5.3043767407058207</v>
      </c>
      <c r="S101" s="131">
        <f t="shared" si="187"/>
        <v>6.3282948469408499E-3</v>
      </c>
      <c r="T101" s="99">
        <v>2</v>
      </c>
      <c r="U101" s="100">
        <v>18</v>
      </c>
      <c r="V101" s="101" t="str">
        <f t="shared" si="219"/>
        <v>+</v>
      </c>
      <c r="W101" s="99">
        <v>0</v>
      </c>
      <c r="X101" s="100">
        <v>18</v>
      </c>
      <c r="Y101" s="102">
        <f t="shared" si="215"/>
        <v>5.0893800988154645</v>
      </c>
      <c r="Z101" s="103" t="str">
        <f t="shared" si="220"/>
        <v>Not Ok</v>
      </c>
      <c r="AA101" s="93">
        <f t="shared" si="180"/>
        <v>0</v>
      </c>
      <c r="AB101" s="93">
        <f t="shared" si="216"/>
        <v>69.073066701123494</v>
      </c>
      <c r="AC101" s="89" t="str">
        <f t="shared" si="188"/>
        <v>Not Ok</v>
      </c>
      <c r="AD101" s="98">
        <f t="shared" si="217"/>
        <v>5.1407879786014793E-3</v>
      </c>
      <c r="AE101" s="98">
        <f t="shared" si="181"/>
        <v>1.9281988961466403E-2</v>
      </c>
      <c r="AF101" s="104" t="str">
        <f t="shared" si="218"/>
        <v>Ok</v>
      </c>
      <c r="AG101" s="100">
        <v>8</v>
      </c>
      <c r="AH101" s="105">
        <v>2</v>
      </c>
      <c r="AI101" s="105">
        <v>150</v>
      </c>
      <c r="AJ101" s="104">
        <f t="shared" si="182"/>
        <v>6.698666666666667</v>
      </c>
      <c r="AK101" s="60" t="str">
        <f t="shared" si="183"/>
        <v>OK</v>
      </c>
      <c r="AL101" s="109">
        <f t="shared" si="184"/>
        <v>210</v>
      </c>
      <c r="AT101" s="133" t="str">
        <f t="shared" si="185"/>
        <v>no need</v>
      </c>
      <c r="AV101" s="61">
        <f t="shared" si="189"/>
        <v>427.48200000000003</v>
      </c>
      <c r="AW101" s="61" t="str">
        <f t="shared" si="190"/>
        <v>OK</v>
      </c>
      <c r="AX101" s="63">
        <f t="shared" si="191"/>
        <v>4590.7166249999991</v>
      </c>
      <c r="AY101" s="63">
        <f t="shared" si="192"/>
        <v>190.5</v>
      </c>
      <c r="AZ101" s="63">
        <f t="shared" si="193"/>
        <v>222.40632411067196</v>
      </c>
      <c r="BA101" s="63">
        <f t="shared" si="194"/>
        <v>63.249999999999993</v>
      </c>
      <c r="BB101" s="63">
        <f t="shared" si="195"/>
        <v>140.672</v>
      </c>
      <c r="BC101" s="63" t="str">
        <f t="shared" si="196"/>
        <v>OK</v>
      </c>
      <c r="BD101" s="63">
        <f t="shared" si="197"/>
        <v>722.59741409839842</v>
      </c>
      <c r="BE101" s="63">
        <f t="shared" si="198"/>
        <v>281.17952400000001</v>
      </c>
      <c r="BF101" s="63">
        <f t="shared" si="199"/>
        <v>184.78652399999996</v>
      </c>
      <c r="BG101" s="63">
        <f t="shared" si="200"/>
        <v>232.17606716643218</v>
      </c>
      <c r="BH101" s="63">
        <f t="shared" si="201"/>
        <v>128.59054799999998</v>
      </c>
      <c r="BI101" s="63">
        <f t="shared" si="202"/>
        <v>128.59054799999998</v>
      </c>
      <c r="BJ101" s="63">
        <f t="shared" si="203"/>
        <v>128.59054799999998</v>
      </c>
      <c r="BK101" s="63" t="str">
        <f t="shared" si="204"/>
        <v>OK</v>
      </c>
      <c r="BL101" s="63">
        <f t="shared" si="205"/>
        <v>228.6</v>
      </c>
      <c r="BM101" s="63">
        <f t="shared" si="206"/>
        <v>381</v>
      </c>
      <c r="BN101" s="63">
        <f t="shared" si="207"/>
        <v>762</v>
      </c>
      <c r="BO101" s="63">
        <f t="shared" si="208"/>
        <v>1143</v>
      </c>
      <c r="BP101" s="63">
        <f t="shared" si="209"/>
        <v>48.196499999999993</v>
      </c>
      <c r="BQ101" s="63">
        <f t="shared" si="210"/>
        <v>514.60506409292418</v>
      </c>
      <c r="BR101" s="63" t="str">
        <f t="shared" si="211"/>
        <v>OK</v>
      </c>
      <c r="BW101" s="70">
        <f t="shared" si="186"/>
        <v>37.02600000000001</v>
      </c>
    </row>
    <row r="102" spans="4:104">
      <c r="D102" s="180"/>
      <c r="E102" s="180"/>
      <c r="F102" s="106" t="s">
        <v>16</v>
      </c>
      <c r="G102" s="78">
        <v>220</v>
      </c>
      <c r="H102" s="78">
        <v>450</v>
      </c>
      <c r="I102" s="92">
        <f t="shared" si="176"/>
        <v>69</v>
      </c>
      <c r="J102" s="93">
        <f t="shared" si="212"/>
        <v>381</v>
      </c>
      <c r="K102" s="94">
        <v>79</v>
      </c>
      <c r="L102" s="94">
        <v>24</v>
      </c>
      <c r="M102" s="94">
        <v>24</v>
      </c>
      <c r="N102" s="95">
        <f t="shared" si="177"/>
        <v>0.16168250465503373</v>
      </c>
      <c r="O102" s="95">
        <f t="shared" si="213"/>
        <v>0.17699999999999999</v>
      </c>
      <c r="P102" s="95">
        <f t="shared" si="214"/>
        <v>0.91149999999999998</v>
      </c>
      <c r="Q102" s="96" t="str">
        <f t="shared" si="178"/>
        <v>Ok</v>
      </c>
      <c r="R102" s="97">
        <f t="shared" si="179"/>
        <v>5.2294520555312873</v>
      </c>
      <c r="S102" s="131">
        <f t="shared" si="187"/>
        <v>6.2389072483074294E-3</v>
      </c>
      <c r="T102" s="99">
        <v>2</v>
      </c>
      <c r="U102" s="100">
        <v>18</v>
      </c>
      <c r="V102" s="101" t="str">
        <f t="shared" si="219"/>
        <v>+</v>
      </c>
      <c r="W102" s="99">
        <v>0</v>
      </c>
      <c r="X102" s="100">
        <v>18</v>
      </c>
      <c r="Y102" s="102">
        <f t="shared" si="215"/>
        <v>5.0893800988154645</v>
      </c>
      <c r="Z102" s="103" t="str">
        <f t="shared" si="220"/>
        <v>Not Ok</v>
      </c>
      <c r="AA102" s="93">
        <f t="shared" si="180"/>
        <v>0</v>
      </c>
      <c r="AB102" s="93">
        <f t="shared" si="216"/>
        <v>69.073066701123494</v>
      </c>
      <c r="AC102" s="89" t="str">
        <f t="shared" si="188"/>
        <v>Not Ok</v>
      </c>
      <c r="AD102" s="98">
        <f t="shared" si="217"/>
        <v>5.1407879786014793E-3</v>
      </c>
      <c r="AE102" s="98">
        <f t="shared" si="181"/>
        <v>1.9281988961466403E-2</v>
      </c>
      <c r="AF102" s="104" t="str">
        <f t="shared" si="218"/>
        <v>Ok</v>
      </c>
      <c r="AG102" s="100">
        <v>8</v>
      </c>
      <c r="AH102" s="105">
        <v>2</v>
      </c>
      <c r="AI102" s="105">
        <v>150</v>
      </c>
      <c r="AJ102" s="104">
        <f t="shared" si="182"/>
        <v>6.698666666666667</v>
      </c>
      <c r="AK102" s="60" t="str">
        <f t="shared" si="183"/>
        <v>OK</v>
      </c>
      <c r="AL102" s="109">
        <f t="shared" si="184"/>
        <v>210</v>
      </c>
      <c r="AT102" s="133" t="str">
        <f t="shared" si="185"/>
        <v>no need</v>
      </c>
      <c r="AV102" s="61">
        <f t="shared" si="189"/>
        <v>427.48200000000003</v>
      </c>
      <c r="AW102" s="61" t="str">
        <f t="shared" si="190"/>
        <v>OK</v>
      </c>
      <c r="AX102" s="63">
        <f t="shared" si="191"/>
        <v>1530.2388749999998</v>
      </c>
      <c r="AY102" s="63">
        <f t="shared" si="192"/>
        <v>190.5</v>
      </c>
      <c r="AZ102" s="63">
        <f t="shared" si="193"/>
        <v>222.40632411067196</v>
      </c>
      <c r="BA102" s="63">
        <f t="shared" si="194"/>
        <v>63.249999999999993</v>
      </c>
      <c r="BB102" s="63">
        <f t="shared" si="195"/>
        <v>140.672</v>
      </c>
      <c r="BC102" s="63" t="str">
        <f t="shared" si="196"/>
        <v>OK</v>
      </c>
      <c r="BD102" s="63">
        <f t="shared" si="197"/>
        <v>722.59741409839842</v>
      </c>
      <c r="BE102" s="63">
        <f t="shared" si="198"/>
        <v>281.17952400000001</v>
      </c>
      <c r="BF102" s="63">
        <f t="shared" si="199"/>
        <v>184.78652399999996</v>
      </c>
      <c r="BG102" s="63">
        <f t="shared" si="200"/>
        <v>232.17606716643218</v>
      </c>
      <c r="BH102" s="63">
        <f t="shared" si="201"/>
        <v>128.59054799999998</v>
      </c>
      <c r="BI102" s="63">
        <f t="shared" si="202"/>
        <v>128.59054799999998</v>
      </c>
      <c r="BJ102" s="63">
        <f t="shared" si="203"/>
        <v>128.59054799999998</v>
      </c>
      <c r="BK102" s="63" t="str">
        <f t="shared" si="204"/>
        <v>OK</v>
      </c>
      <c r="BL102" s="63">
        <f t="shared" si="205"/>
        <v>228.6</v>
      </c>
      <c r="BM102" s="63">
        <f t="shared" si="206"/>
        <v>381</v>
      </c>
      <c r="BN102" s="63">
        <f t="shared" si="207"/>
        <v>762</v>
      </c>
      <c r="BO102" s="63">
        <f t="shared" si="208"/>
        <v>1143</v>
      </c>
      <c r="BP102" s="63">
        <f t="shared" si="209"/>
        <v>48.196499999999993</v>
      </c>
      <c r="BQ102" s="63">
        <f t="shared" si="210"/>
        <v>86.124001056946298</v>
      </c>
      <c r="BR102" s="63" t="str">
        <f t="shared" si="211"/>
        <v>OK</v>
      </c>
      <c r="BW102" s="70">
        <f t="shared" si="186"/>
        <v>37.02600000000001</v>
      </c>
    </row>
    <row r="103" spans="4:104">
      <c r="D103" s="181"/>
      <c r="E103" s="181"/>
      <c r="F103" s="91" t="s">
        <v>15</v>
      </c>
      <c r="G103" s="78">
        <v>220</v>
      </c>
      <c r="H103" s="78">
        <v>450</v>
      </c>
      <c r="I103" s="92">
        <f t="shared" si="176"/>
        <v>69</v>
      </c>
      <c r="J103" s="93">
        <f t="shared" si="212"/>
        <v>381</v>
      </c>
      <c r="K103" s="94">
        <v>43</v>
      </c>
      <c r="L103" s="94">
        <v>34</v>
      </c>
      <c r="M103" s="94">
        <v>34</v>
      </c>
      <c r="N103" s="95">
        <f t="shared" si="177"/>
        <v>8.8004401267929758E-2</v>
      </c>
      <c r="O103" s="95">
        <f t="shared" si="213"/>
        <v>9.1999999999999998E-2</v>
      </c>
      <c r="P103" s="95">
        <f t="shared" si="214"/>
        <v>0.95399999999999996</v>
      </c>
      <c r="Q103" s="96" t="str">
        <f t="shared" si="178"/>
        <v>Ok</v>
      </c>
      <c r="R103" s="97">
        <f t="shared" si="179"/>
        <v>2.7196051082785475</v>
      </c>
      <c r="S103" s="131">
        <f t="shared" si="187"/>
        <v>3.2445777956079066E-3</v>
      </c>
      <c r="T103" s="99">
        <v>2</v>
      </c>
      <c r="U103" s="100">
        <v>18</v>
      </c>
      <c r="V103" s="101" t="str">
        <f t="shared" si="219"/>
        <v>+</v>
      </c>
      <c r="W103" s="99">
        <v>0</v>
      </c>
      <c r="X103" s="100">
        <v>18</v>
      </c>
      <c r="Y103" s="102">
        <f t="shared" si="215"/>
        <v>5.0893800988154645</v>
      </c>
      <c r="Z103" s="103" t="str">
        <f t="shared" si="220"/>
        <v>Ok</v>
      </c>
      <c r="AA103" s="93">
        <f t="shared" si="180"/>
        <v>0</v>
      </c>
      <c r="AB103" s="93">
        <f t="shared" si="216"/>
        <v>69.073066701123494</v>
      </c>
      <c r="AC103" s="89" t="str">
        <f t="shared" si="188"/>
        <v>Ok</v>
      </c>
      <c r="AD103" s="98">
        <f t="shared" si="217"/>
        <v>5.1407879786014793E-3</v>
      </c>
      <c r="AE103" s="98">
        <f t="shared" si="181"/>
        <v>1.9281988961466403E-2</v>
      </c>
      <c r="AF103" s="104" t="str">
        <f t="shared" si="218"/>
        <v>Ok</v>
      </c>
      <c r="AG103" s="100">
        <v>8</v>
      </c>
      <c r="AH103" s="105">
        <v>2</v>
      </c>
      <c r="AI103" s="105">
        <v>150</v>
      </c>
      <c r="AJ103" s="104">
        <f t="shared" si="182"/>
        <v>6.698666666666667</v>
      </c>
      <c r="AK103" s="60" t="str">
        <f t="shared" si="183"/>
        <v>OK</v>
      </c>
      <c r="AL103" s="109">
        <f t="shared" si="184"/>
        <v>210</v>
      </c>
      <c r="AT103" s="133" t="str">
        <f t="shared" si="185"/>
        <v>no need</v>
      </c>
      <c r="AV103" s="61">
        <f t="shared" si="189"/>
        <v>427.48200000000003</v>
      </c>
      <c r="AW103" s="61" t="str">
        <f t="shared" si="190"/>
        <v>OK</v>
      </c>
      <c r="AX103" s="63">
        <f t="shared" si="191"/>
        <v>1080.1686176470587</v>
      </c>
      <c r="AY103" s="63">
        <f t="shared" si="192"/>
        <v>190.5</v>
      </c>
      <c r="AZ103" s="63">
        <f t="shared" si="193"/>
        <v>222.40632411067196</v>
      </c>
      <c r="BA103" s="63">
        <f t="shared" si="194"/>
        <v>63.249999999999993</v>
      </c>
      <c r="BB103" s="63">
        <f t="shared" si="195"/>
        <v>140.672</v>
      </c>
      <c r="BC103" s="63" t="str">
        <f t="shared" si="196"/>
        <v>OK</v>
      </c>
      <c r="BD103" s="63">
        <f t="shared" si="197"/>
        <v>722.59741409839842</v>
      </c>
      <c r="BE103" s="63">
        <f t="shared" si="198"/>
        <v>281.17952400000001</v>
      </c>
      <c r="BF103" s="63">
        <f t="shared" si="199"/>
        <v>184.78652399999996</v>
      </c>
      <c r="BG103" s="63">
        <f t="shared" si="200"/>
        <v>232.17606716643218</v>
      </c>
      <c r="BH103" s="63">
        <f t="shared" si="201"/>
        <v>128.59054799999998</v>
      </c>
      <c r="BI103" s="63">
        <f t="shared" si="202"/>
        <v>128.59054799999998</v>
      </c>
      <c r="BJ103" s="63">
        <f t="shared" si="203"/>
        <v>128.59054799999998</v>
      </c>
      <c r="BK103" s="63" t="str">
        <f t="shared" si="204"/>
        <v>OK</v>
      </c>
      <c r="BL103" s="63">
        <f t="shared" si="205"/>
        <v>228.6</v>
      </c>
      <c r="BM103" s="63">
        <f t="shared" si="206"/>
        <v>381</v>
      </c>
      <c r="BN103" s="63">
        <f t="shared" si="207"/>
        <v>762</v>
      </c>
      <c r="BO103" s="63">
        <f t="shared" si="208"/>
        <v>1143</v>
      </c>
      <c r="BP103" s="63">
        <f t="shared" si="209"/>
        <v>48.196499999999993</v>
      </c>
      <c r="BQ103" s="63">
        <f t="shared" si="210"/>
        <v>86.124001056946298</v>
      </c>
      <c r="BR103" s="63" t="str">
        <f t="shared" si="211"/>
        <v>OK</v>
      </c>
      <c r="BW103" s="70">
        <f t="shared" si="186"/>
        <v>37.02600000000001</v>
      </c>
    </row>
    <row r="104" spans="4:104" ht="12.75" customHeight="1">
      <c r="D104" s="176" t="s">
        <v>216</v>
      </c>
      <c r="E104" s="176" t="s">
        <v>245</v>
      </c>
      <c r="F104" s="67" t="s">
        <v>15</v>
      </c>
      <c r="G104" s="78">
        <v>220</v>
      </c>
      <c r="H104" s="78">
        <v>450</v>
      </c>
      <c r="I104" s="79">
        <f t="shared" si="176"/>
        <v>69</v>
      </c>
      <c r="J104" s="80">
        <f>H104-I104</f>
        <v>381</v>
      </c>
      <c r="K104" s="81">
        <v>-53</v>
      </c>
      <c r="L104" s="81">
        <v>32</v>
      </c>
      <c r="M104" s="81">
        <v>32</v>
      </c>
      <c r="N104" s="82">
        <f t="shared" si="177"/>
        <v>0.10847054109768087</v>
      </c>
      <c r="O104" s="82">
        <f>ROUND(1-SQRT(1-2*N104),3)</f>
        <v>0.115</v>
      </c>
      <c r="P104" s="82">
        <f>1-0.5*O104</f>
        <v>0.9425</v>
      </c>
      <c r="Q104" s="83" t="str">
        <f t="shared" si="178"/>
        <v>Ok</v>
      </c>
      <c r="R104" s="84">
        <f t="shared" si="179"/>
        <v>3.3929720186238952</v>
      </c>
      <c r="S104" s="131">
        <f t="shared" si="187"/>
        <v>4.0479265314052673E-3</v>
      </c>
      <c r="T104" s="86">
        <v>2</v>
      </c>
      <c r="U104" s="77">
        <v>18</v>
      </c>
      <c r="V104" s="87" t="str">
        <f t="shared" si="219"/>
        <v>+</v>
      </c>
      <c r="W104" s="86">
        <v>0</v>
      </c>
      <c r="X104" s="77">
        <v>18</v>
      </c>
      <c r="Y104" s="88">
        <f>(T104*PI()*U104^2/4+W104*PI()*X104^2/4)/100</f>
        <v>5.0893800988154645</v>
      </c>
      <c r="Z104" s="89" t="str">
        <f t="shared" si="220"/>
        <v>Ok</v>
      </c>
      <c r="AA104" s="90">
        <f t="shared" si="180"/>
        <v>0</v>
      </c>
      <c r="AB104" s="80">
        <f>($J$11*$H$4*G104*ABS(AA104)*(J104-0.5*ABS(AA104))+$H$6*(T105*PI()*U105^2/4)*(J104-I105))*10^-6</f>
        <v>69.073066701123494</v>
      </c>
      <c r="AC104" s="89" t="str">
        <f t="shared" si="188"/>
        <v>Ok</v>
      </c>
      <c r="AD104" s="85">
        <f>(Y104*100)/(G104*H104)</f>
        <v>5.1407879786014793E-3</v>
      </c>
      <c r="AE104" s="85">
        <f t="shared" si="181"/>
        <v>1.9281988961466403E-2</v>
      </c>
      <c r="AF104" s="60" t="str">
        <f>IF(AND(AD104&gt;0.1%,AD104&lt;AE104),"Ok","No-Ok")</f>
        <v>Ok</v>
      </c>
      <c r="AG104" s="77">
        <v>8</v>
      </c>
      <c r="AH104" s="76">
        <v>2</v>
      </c>
      <c r="AI104" s="76">
        <v>150</v>
      </c>
      <c r="AJ104" s="60">
        <f t="shared" si="182"/>
        <v>6.698666666666667</v>
      </c>
      <c r="AK104" s="60" t="str">
        <f t="shared" si="183"/>
        <v>OK</v>
      </c>
      <c r="AL104" s="109">
        <f t="shared" si="184"/>
        <v>210</v>
      </c>
      <c r="AT104" s="133" t="str">
        <f t="shared" si="185"/>
        <v>no need</v>
      </c>
      <c r="AV104" s="61">
        <f t="shared" si="189"/>
        <v>427.48200000000003</v>
      </c>
      <c r="AW104" s="61" t="str">
        <f t="shared" si="190"/>
        <v>OK</v>
      </c>
      <c r="AX104" s="63">
        <f t="shared" si="191"/>
        <v>1147.6791562499998</v>
      </c>
      <c r="AY104" s="63">
        <f t="shared" si="192"/>
        <v>190.5</v>
      </c>
      <c r="AZ104" s="63">
        <f t="shared" si="193"/>
        <v>222.40632411067196</v>
      </c>
      <c r="BA104" s="63">
        <f t="shared" si="194"/>
        <v>63.249999999999993</v>
      </c>
      <c r="BB104" s="63">
        <f t="shared" si="195"/>
        <v>140.672</v>
      </c>
      <c r="BC104" s="63" t="str">
        <f t="shared" si="196"/>
        <v>OK</v>
      </c>
      <c r="BD104" s="63">
        <f t="shared" si="197"/>
        <v>722.59741409839842</v>
      </c>
      <c r="BE104" s="63">
        <f t="shared" si="198"/>
        <v>281.17952400000001</v>
      </c>
      <c r="BF104" s="63">
        <f t="shared" si="199"/>
        <v>184.78652399999996</v>
      </c>
      <c r="BG104" s="63">
        <f t="shared" si="200"/>
        <v>232.17606716643218</v>
      </c>
      <c r="BH104" s="63">
        <f t="shared" si="201"/>
        <v>128.59054799999998</v>
      </c>
      <c r="BI104" s="63">
        <f t="shared" si="202"/>
        <v>128.59054799999998</v>
      </c>
      <c r="BJ104" s="63">
        <f t="shared" si="203"/>
        <v>128.59054799999998</v>
      </c>
      <c r="BK104" s="63" t="str">
        <f t="shared" si="204"/>
        <v>OK</v>
      </c>
      <c r="BL104" s="63">
        <f t="shared" si="205"/>
        <v>228.6</v>
      </c>
      <c r="BM104" s="63">
        <f t="shared" si="206"/>
        <v>381</v>
      </c>
      <c r="BN104" s="63">
        <f t="shared" si="207"/>
        <v>762</v>
      </c>
      <c r="BO104" s="63">
        <f t="shared" si="208"/>
        <v>1143</v>
      </c>
      <c r="BP104" s="63">
        <f t="shared" si="209"/>
        <v>48.196499999999993</v>
      </c>
      <c r="BQ104" s="63">
        <f t="shared" si="210"/>
        <v>86.124001056946298</v>
      </c>
      <c r="BR104" s="63" t="str">
        <f t="shared" si="211"/>
        <v>OK</v>
      </c>
      <c r="BU104" s="70">
        <v>12</v>
      </c>
      <c r="BV104" s="70">
        <v>1</v>
      </c>
      <c r="BW104" s="70">
        <f t="shared" si="186"/>
        <v>37.02600000000001</v>
      </c>
      <c r="BX104" s="70" t="str">
        <f>IF(BW104&gt;AT104,"OK","NOT OK")</f>
        <v>NOT OK</v>
      </c>
      <c r="BY104" s="70">
        <f>G104</f>
        <v>220</v>
      </c>
      <c r="BZ104" s="70">
        <f>H104</f>
        <v>450</v>
      </c>
      <c r="CA104" s="70">
        <f>BY104/(2*BZ104+BY104)</f>
        <v>0.19642857142857142</v>
      </c>
      <c r="CB104" s="27" t="e">
        <f>O91*AJ104/10</f>
        <v>#NUM!</v>
      </c>
      <c r="CE104" s="71" t="e">
        <f>CB104*CA104*BY104*BZ104/1000000</f>
        <v>#NUM!</v>
      </c>
      <c r="CF104" s="71"/>
      <c r="CG104" s="71"/>
      <c r="CH104" s="70">
        <f>T105*3.14*U105^2/4</f>
        <v>508.68</v>
      </c>
      <c r="CI104" s="71">
        <f>0.5*$H$6*CH104*BZ104/1000000</f>
        <v>49.787055000000009</v>
      </c>
      <c r="CJ104" s="70" t="e">
        <f>IF((CI104+CE104)&gt;AT104,"OK","NOT OK")</f>
        <v>#NUM!</v>
      </c>
      <c r="CK104" s="27">
        <f>BZ104</f>
        <v>450</v>
      </c>
      <c r="CL104" s="27">
        <f>BY104</f>
        <v>220</v>
      </c>
      <c r="CM104" s="74">
        <f>CK104/(2*CL104+CK104)</f>
        <v>0.5056179775280899</v>
      </c>
      <c r="CN104" s="74"/>
      <c r="CO104" s="27" t="e">
        <f>O91*AJ104/10</f>
        <v>#NUM!</v>
      </c>
      <c r="CP104" s="74" t="e">
        <f>CO104*CM104*CK104*CL104/1000000</f>
        <v>#NUM!</v>
      </c>
      <c r="CQ104" s="27">
        <f>3.14*U105^2/4+3.14*U104^2/4+BV104*3.14*BU104^2/4</f>
        <v>621.72</v>
      </c>
      <c r="CT104" s="71">
        <f>0.5*$H$6*CQ104*CL104/1000000</f>
        <v>29.749302</v>
      </c>
      <c r="CU104" s="71"/>
      <c r="CV104" s="70" t="e">
        <f>IF((CT104+CP104)&gt;U104,"OK","NOT OK")</f>
        <v>#NUM!</v>
      </c>
      <c r="CW104" s="74" t="e">
        <f>MIN((CP104+CT104),(CE104+CI104))</f>
        <v>#NUM!</v>
      </c>
      <c r="CX104" s="71">
        <f>AB104</f>
        <v>69.073066701123494</v>
      </c>
      <c r="CY104" s="71">
        <f>(BG104+BO104*J104)/1000</f>
        <v>435.71517606716645</v>
      </c>
      <c r="CZ104" s="62" t="e">
        <f>CW104*SQRT(1-(K104/CX104)^1)</f>
        <v>#NUM!</v>
      </c>
    </row>
    <row r="105" spans="4:104">
      <c r="D105" s="177"/>
      <c r="E105" s="177"/>
      <c r="F105" s="68" t="s">
        <v>16</v>
      </c>
      <c r="G105" s="78">
        <v>220</v>
      </c>
      <c r="H105" s="78">
        <v>450</v>
      </c>
      <c r="I105" s="79">
        <f t="shared" si="176"/>
        <v>69</v>
      </c>
      <c r="J105" s="80">
        <f t="shared" ref="J105:J115" si="221">H105-I105</f>
        <v>381</v>
      </c>
      <c r="K105" s="81">
        <v>52</v>
      </c>
      <c r="L105" s="81">
        <v>10</v>
      </c>
      <c r="M105" s="81">
        <v>10</v>
      </c>
      <c r="N105" s="82">
        <f t="shared" si="177"/>
        <v>0.10642392711470575</v>
      </c>
      <c r="O105" s="82">
        <f t="shared" ref="O105:O115" si="222">ROUND(1-SQRT(1-2*N105),3)</f>
        <v>0.113</v>
      </c>
      <c r="P105" s="82">
        <f t="shared" ref="P105:P115" si="223">1-0.5*O105</f>
        <v>0.94350000000000001</v>
      </c>
      <c r="Q105" s="83" t="str">
        <f t="shared" si="178"/>
        <v>Ok</v>
      </c>
      <c r="R105" s="84">
        <f t="shared" si="179"/>
        <v>3.3254253758637971</v>
      </c>
      <c r="S105" s="131">
        <f t="shared" si="187"/>
        <v>3.967341178553802E-3</v>
      </c>
      <c r="T105" s="86">
        <v>2</v>
      </c>
      <c r="U105" s="77">
        <v>18</v>
      </c>
      <c r="V105" s="87" t="str">
        <f t="shared" si="219"/>
        <v>+</v>
      </c>
      <c r="W105" s="86">
        <v>0</v>
      </c>
      <c r="X105" s="77">
        <v>18</v>
      </c>
      <c r="Y105" s="88">
        <f t="shared" ref="Y105:Y115" si="224">(T105*PI()*U105^2/4+W105*PI()*X105^2/4)/100</f>
        <v>5.0893800988154645</v>
      </c>
      <c r="Z105" s="89" t="str">
        <f t="shared" si="220"/>
        <v>Ok</v>
      </c>
      <c r="AA105" s="80">
        <f t="shared" si="180"/>
        <v>0</v>
      </c>
      <c r="AB105" s="80">
        <f t="shared" ref="AB105:AB115" si="225">($J$11*$H$4*G105*AA105*(J105-0.5*AA105)+$H$6*(T106*PI()*U106^2/4)*(J105-I106))*10^-6</f>
        <v>69.073066701123494</v>
      </c>
      <c r="AC105" s="89" t="str">
        <f t="shared" si="188"/>
        <v>Ok</v>
      </c>
      <c r="AD105" s="85">
        <f t="shared" ref="AD105:AD115" si="226">(Y105*100)/(G105*H105)</f>
        <v>5.1407879786014793E-3</v>
      </c>
      <c r="AE105" s="85">
        <f t="shared" si="181"/>
        <v>1.9281988961466403E-2</v>
      </c>
      <c r="AF105" s="60" t="str">
        <f t="shared" ref="AF105:AF115" si="227">IF(AND(AD105&gt;0.1%,AD105&lt;AE105),"Ok","No-Ok")</f>
        <v>Ok</v>
      </c>
      <c r="AG105" s="77">
        <v>8</v>
      </c>
      <c r="AH105" s="76">
        <v>2</v>
      </c>
      <c r="AI105" s="76">
        <v>150</v>
      </c>
      <c r="AJ105" s="60">
        <f t="shared" si="182"/>
        <v>6.698666666666667</v>
      </c>
      <c r="AK105" s="60" t="str">
        <f t="shared" si="183"/>
        <v>OK</v>
      </c>
      <c r="AL105" s="109">
        <f t="shared" si="184"/>
        <v>210</v>
      </c>
      <c r="AT105" s="133" t="str">
        <f t="shared" si="185"/>
        <v>no need</v>
      </c>
      <c r="AV105" s="61">
        <f t="shared" si="189"/>
        <v>427.48200000000003</v>
      </c>
      <c r="AW105" s="61" t="str">
        <f t="shared" si="190"/>
        <v>OK</v>
      </c>
      <c r="AX105" s="63">
        <f t="shared" si="191"/>
        <v>3672.5732999999991</v>
      </c>
      <c r="AY105" s="63">
        <f t="shared" si="192"/>
        <v>190.5</v>
      </c>
      <c r="AZ105" s="63">
        <f t="shared" si="193"/>
        <v>222.40632411067196</v>
      </c>
      <c r="BA105" s="63">
        <f t="shared" si="194"/>
        <v>63.249999999999993</v>
      </c>
      <c r="BB105" s="63">
        <f t="shared" si="195"/>
        <v>140.672</v>
      </c>
      <c r="BC105" s="63" t="str">
        <f t="shared" si="196"/>
        <v>OK</v>
      </c>
      <c r="BD105" s="63">
        <f t="shared" si="197"/>
        <v>722.59741409839842</v>
      </c>
      <c r="BE105" s="63">
        <f t="shared" si="198"/>
        <v>281.17952400000001</v>
      </c>
      <c r="BF105" s="63">
        <f t="shared" si="199"/>
        <v>184.78652399999996</v>
      </c>
      <c r="BG105" s="63">
        <f t="shared" si="200"/>
        <v>232.17606716643218</v>
      </c>
      <c r="BH105" s="63">
        <f t="shared" si="201"/>
        <v>128.59054799999998</v>
      </c>
      <c r="BI105" s="63">
        <f t="shared" si="202"/>
        <v>128.59054799999998</v>
      </c>
      <c r="BJ105" s="63">
        <f t="shared" si="203"/>
        <v>128.59054799999998</v>
      </c>
      <c r="BK105" s="63" t="str">
        <f t="shared" si="204"/>
        <v>OK</v>
      </c>
      <c r="BL105" s="63">
        <f t="shared" si="205"/>
        <v>228.6</v>
      </c>
      <c r="BM105" s="63">
        <f t="shared" si="206"/>
        <v>381</v>
      </c>
      <c r="BN105" s="63">
        <f t="shared" si="207"/>
        <v>762</v>
      </c>
      <c r="BO105" s="63">
        <f t="shared" si="208"/>
        <v>1143</v>
      </c>
      <c r="BP105" s="63">
        <f t="shared" si="209"/>
        <v>48.196499999999993</v>
      </c>
      <c r="BQ105" s="63">
        <f t="shared" si="210"/>
        <v>86.124001056946298</v>
      </c>
      <c r="BR105" s="63" t="str">
        <f t="shared" si="211"/>
        <v>OK</v>
      </c>
      <c r="BW105" s="70">
        <f t="shared" si="186"/>
        <v>37.02600000000001</v>
      </c>
    </row>
    <row r="106" spans="4:104">
      <c r="D106" s="178"/>
      <c r="E106" s="178"/>
      <c r="F106" s="67" t="s">
        <v>15</v>
      </c>
      <c r="G106" s="78">
        <v>220</v>
      </c>
      <c r="H106" s="78">
        <v>450</v>
      </c>
      <c r="I106" s="79">
        <f t="shared" si="176"/>
        <v>69</v>
      </c>
      <c r="J106" s="80">
        <f t="shared" si="221"/>
        <v>381</v>
      </c>
      <c r="K106" s="81">
        <v>55</v>
      </c>
      <c r="L106" s="81">
        <v>14</v>
      </c>
      <c r="M106" s="81">
        <v>14</v>
      </c>
      <c r="N106" s="82">
        <f t="shared" si="177"/>
        <v>0.11256376906363108</v>
      </c>
      <c r="O106" s="82">
        <f t="shared" si="222"/>
        <v>0.12</v>
      </c>
      <c r="P106" s="82">
        <f t="shared" si="223"/>
        <v>0.94</v>
      </c>
      <c r="Q106" s="83" t="str">
        <f t="shared" si="178"/>
        <v>Ok</v>
      </c>
      <c r="R106" s="84">
        <f t="shared" si="179"/>
        <v>3.5303730834085947</v>
      </c>
      <c r="S106" s="131">
        <f t="shared" si="187"/>
        <v>4.2118504932099673E-3</v>
      </c>
      <c r="T106" s="86">
        <v>2</v>
      </c>
      <c r="U106" s="77">
        <v>18</v>
      </c>
      <c r="V106" s="87" t="str">
        <f t="shared" si="219"/>
        <v>+</v>
      </c>
      <c r="W106" s="86">
        <v>0</v>
      </c>
      <c r="X106" s="77">
        <v>18</v>
      </c>
      <c r="Y106" s="88">
        <f t="shared" si="224"/>
        <v>5.0893800988154645</v>
      </c>
      <c r="Z106" s="89" t="str">
        <f t="shared" si="220"/>
        <v>Ok</v>
      </c>
      <c r="AA106" s="80">
        <f t="shared" si="180"/>
        <v>-172.95559555458249</v>
      </c>
      <c r="AB106" s="80">
        <f t="shared" si="225"/>
        <v>-48.762138343223839</v>
      </c>
      <c r="AC106" s="89" t="str">
        <f t="shared" si="188"/>
        <v>Not Ok</v>
      </c>
      <c r="AD106" s="85">
        <f t="shared" si="226"/>
        <v>5.1407879786014793E-3</v>
      </c>
      <c r="AE106" s="85">
        <f t="shared" si="181"/>
        <v>1.9281988961466403E-2</v>
      </c>
      <c r="AF106" s="60" t="str">
        <f t="shared" si="227"/>
        <v>Ok</v>
      </c>
      <c r="AG106" s="77">
        <v>8</v>
      </c>
      <c r="AH106" s="76">
        <v>2</v>
      </c>
      <c r="AI106" s="76">
        <v>150</v>
      </c>
      <c r="AJ106" s="60">
        <f t="shared" si="182"/>
        <v>6.698666666666667</v>
      </c>
      <c r="AK106" s="60" t="str">
        <f t="shared" si="183"/>
        <v>OK</v>
      </c>
      <c r="AL106" s="109">
        <f t="shared" si="184"/>
        <v>210</v>
      </c>
      <c r="AT106" s="133" t="str">
        <f t="shared" si="185"/>
        <v>no need</v>
      </c>
      <c r="AV106" s="61">
        <f t="shared" si="189"/>
        <v>427.48200000000003</v>
      </c>
      <c r="AW106" s="61" t="str">
        <f t="shared" si="190"/>
        <v>OK</v>
      </c>
      <c r="AX106" s="63">
        <f t="shared" si="191"/>
        <v>2623.2666428571424</v>
      </c>
      <c r="AY106" s="63">
        <f t="shared" si="192"/>
        <v>190.5</v>
      </c>
      <c r="AZ106" s="63">
        <f t="shared" si="193"/>
        <v>222.40632411067196</v>
      </c>
      <c r="BA106" s="63">
        <f t="shared" si="194"/>
        <v>63.249999999999993</v>
      </c>
      <c r="BB106" s="63">
        <f t="shared" si="195"/>
        <v>140.672</v>
      </c>
      <c r="BC106" s="63" t="str">
        <f t="shared" si="196"/>
        <v>OK</v>
      </c>
      <c r="BD106" s="63">
        <f t="shared" si="197"/>
        <v>722.59741409839842</v>
      </c>
      <c r="BE106" s="63">
        <f t="shared" si="198"/>
        <v>281.17952400000001</v>
      </c>
      <c r="BF106" s="63">
        <f t="shared" si="199"/>
        <v>184.78652399999996</v>
      </c>
      <c r="BG106" s="63">
        <f t="shared" si="200"/>
        <v>232.17606716643218</v>
      </c>
      <c r="BH106" s="63">
        <f t="shared" si="201"/>
        <v>128.59054799999998</v>
      </c>
      <c r="BI106" s="63">
        <f t="shared" si="202"/>
        <v>128.59054799999998</v>
      </c>
      <c r="BJ106" s="63">
        <f t="shared" si="203"/>
        <v>128.59054799999998</v>
      </c>
      <c r="BK106" s="63" t="str">
        <f t="shared" si="204"/>
        <v>OK</v>
      </c>
      <c r="BL106" s="63">
        <f t="shared" si="205"/>
        <v>228.6</v>
      </c>
      <c r="BM106" s="63">
        <f t="shared" si="206"/>
        <v>381</v>
      </c>
      <c r="BN106" s="63">
        <f t="shared" si="207"/>
        <v>762</v>
      </c>
      <c r="BO106" s="63">
        <f t="shared" si="208"/>
        <v>1143</v>
      </c>
      <c r="BP106" s="63">
        <f t="shared" si="209"/>
        <v>48.196499999999993</v>
      </c>
      <c r="BQ106" s="63">
        <f t="shared" si="210"/>
        <v>86.124001056946298</v>
      </c>
      <c r="BR106" s="63" t="str">
        <f t="shared" si="211"/>
        <v>OK</v>
      </c>
      <c r="BW106" s="70">
        <f t="shared" si="186"/>
        <v>37.02600000000001</v>
      </c>
    </row>
    <row r="107" spans="4:104">
      <c r="D107" s="179" t="s">
        <v>90</v>
      </c>
      <c r="E107" s="179" t="s">
        <v>246</v>
      </c>
      <c r="F107" s="91" t="s">
        <v>15</v>
      </c>
      <c r="G107" s="78">
        <v>220</v>
      </c>
      <c r="H107" s="78">
        <v>450</v>
      </c>
      <c r="I107" s="92">
        <f t="shared" si="176"/>
        <v>103</v>
      </c>
      <c r="J107" s="93">
        <f t="shared" si="221"/>
        <v>347</v>
      </c>
      <c r="K107" s="94"/>
      <c r="L107" s="94"/>
      <c r="M107" s="94"/>
      <c r="N107" s="95">
        <f t="shared" si="177"/>
        <v>0</v>
      </c>
      <c r="O107" s="95">
        <f t="shared" si="222"/>
        <v>0</v>
      </c>
      <c r="P107" s="95">
        <f t="shared" si="223"/>
        <v>1</v>
      </c>
      <c r="Q107" s="96" t="str">
        <f t="shared" si="178"/>
        <v>Ok</v>
      </c>
      <c r="R107" s="97">
        <f t="shared" si="179"/>
        <v>0.76340000000000008</v>
      </c>
      <c r="S107" s="131">
        <f t="shared" si="187"/>
        <v>1.0000000000000002E-3</v>
      </c>
      <c r="T107" s="99">
        <v>3</v>
      </c>
      <c r="U107" s="100">
        <v>28</v>
      </c>
      <c r="V107" s="101" t="str">
        <f t="shared" si="219"/>
        <v>+</v>
      </c>
      <c r="W107" s="99">
        <v>3</v>
      </c>
      <c r="X107" s="100">
        <v>28</v>
      </c>
      <c r="Y107" s="102">
        <f t="shared" si="224"/>
        <v>36.945129606215971</v>
      </c>
      <c r="Z107" s="103" t="str">
        <f t="shared" si="220"/>
        <v>Ok</v>
      </c>
      <c r="AA107" s="93">
        <f t="shared" si="180"/>
        <v>330.07722813585804</v>
      </c>
      <c r="AB107" s="93">
        <f t="shared" si="225"/>
        <v>326.18466610194088</v>
      </c>
      <c r="AC107" s="89" t="str">
        <f t="shared" si="188"/>
        <v>Ok</v>
      </c>
      <c r="AD107" s="98">
        <f t="shared" si="226"/>
        <v>3.7318312733551483E-2</v>
      </c>
      <c r="AE107" s="98">
        <f t="shared" si="181"/>
        <v>1.9281988961466403E-2</v>
      </c>
      <c r="AF107" s="104" t="str">
        <f t="shared" si="227"/>
        <v>No-Ok</v>
      </c>
      <c r="AG107" s="100">
        <v>10</v>
      </c>
      <c r="AH107" s="105">
        <v>2</v>
      </c>
      <c r="AI107" s="105">
        <v>200</v>
      </c>
      <c r="AJ107" s="104">
        <f t="shared" si="182"/>
        <v>7.8500000000000005</v>
      </c>
      <c r="AK107" s="60" t="str">
        <f t="shared" si="183"/>
        <v>OK</v>
      </c>
      <c r="AL107" s="109">
        <f t="shared" si="184"/>
        <v>300</v>
      </c>
      <c r="AT107" s="133" t="str">
        <f t="shared" si="185"/>
        <v>no need</v>
      </c>
      <c r="AV107" s="61">
        <f t="shared" si="189"/>
        <v>389.334</v>
      </c>
      <c r="AW107" s="61" t="str">
        <f t="shared" si="190"/>
        <v>OK</v>
      </c>
      <c r="AX107" s="63" t="e">
        <f t="shared" si="191"/>
        <v>#DIV/0!</v>
      </c>
      <c r="AY107" s="63">
        <f t="shared" si="192"/>
        <v>173.5</v>
      </c>
      <c r="AZ107" s="63">
        <f t="shared" si="193"/>
        <v>372.33201581027674</v>
      </c>
      <c r="BA107" s="63">
        <f t="shared" si="194"/>
        <v>63.249999999999993</v>
      </c>
      <c r="BB107" s="63">
        <f t="shared" si="195"/>
        <v>235.5</v>
      </c>
      <c r="BC107" s="63" t="str">
        <f t="shared" si="196"/>
        <v>OK</v>
      </c>
      <c r="BD107" s="63">
        <f t="shared" si="197"/>
        <v>508.63855582042862</v>
      </c>
      <c r="BE107" s="63">
        <f t="shared" si="198"/>
        <v>280.76637499999998</v>
      </c>
      <c r="BF107" s="63">
        <f t="shared" si="199"/>
        <v>192.97537499999996</v>
      </c>
      <c r="BG107" s="63">
        <f t="shared" si="200"/>
        <v>273.59841317088518</v>
      </c>
      <c r="BH107" s="63">
        <f t="shared" si="201"/>
        <v>166.47324999999998</v>
      </c>
      <c r="BI107" s="63">
        <f t="shared" si="202"/>
        <v>166.47324999999998</v>
      </c>
      <c r="BJ107" s="63">
        <f t="shared" si="203"/>
        <v>166.47324999999998</v>
      </c>
      <c r="BK107" s="63" t="str">
        <f t="shared" si="204"/>
        <v>OK</v>
      </c>
      <c r="BL107" s="63">
        <f t="shared" si="205"/>
        <v>208.2</v>
      </c>
      <c r="BM107" s="63">
        <f t="shared" si="206"/>
        <v>347</v>
      </c>
      <c r="BN107" s="63">
        <f t="shared" si="207"/>
        <v>694</v>
      </c>
      <c r="BO107" s="63">
        <f t="shared" si="208"/>
        <v>1041</v>
      </c>
      <c r="BP107" s="63">
        <f t="shared" si="209"/>
        <v>43.895499999999991</v>
      </c>
      <c r="BQ107" s="63">
        <f t="shared" si="210"/>
        <v>86.124001056946298</v>
      </c>
      <c r="BR107" s="63" t="str">
        <f t="shared" si="211"/>
        <v>OK</v>
      </c>
      <c r="BW107" s="70">
        <f t="shared" si="186"/>
        <v>37.02600000000001</v>
      </c>
    </row>
    <row r="108" spans="4:104">
      <c r="D108" s="180"/>
      <c r="E108" s="180"/>
      <c r="F108" s="106" t="s">
        <v>16</v>
      </c>
      <c r="G108" s="78">
        <v>220</v>
      </c>
      <c r="H108" s="78">
        <v>450</v>
      </c>
      <c r="I108" s="92">
        <f t="shared" si="176"/>
        <v>97</v>
      </c>
      <c r="J108" s="93">
        <f t="shared" si="221"/>
        <v>353</v>
      </c>
      <c r="K108" s="94"/>
      <c r="L108" s="94"/>
      <c r="M108" s="94"/>
      <c r="N108" s="95">
        <f t="shared" si="177"/>
        <v>0</v>
      </c>
      <c r="O108" s="95">
        <f t="shared" si="222"/>
        <v>0</v>
      </c>
      <c r="P108" s="95">
        <f t="shared" si="223"/>
        <v>1</v>
      </c>
      <c r="Q108" s="96" t="str">
        <f t="shared" si="178"/>
        <v>Ok</v>
      </c>
      <c r="R108" s="97">
        <f t="shared" si="179"/>
        <v>0.77659999999999996</v>
      </c>
      <c r="S108" s="131">
        <f t="shared" si="187"/>
        <v>1E-3</v>
      </c>
      <c r="T108" s="99">
        <v>3</v>
      </c>
      <c r="U108" s="100">
        <v>22</v>
      </c>
      <c r="V108" s="101" t="str">
        <f t="shared" si="219"/>
        <v>+</v>
      </c>
      <c r="W108" s="99">
        <v>3</v>
      </c>
      <c r="X108" s="100">
        <v>22</v>
      </c>
      <c r="Y108" s="102">
        <f t="shared" si="224"/>
        <v>22.807962665061901</v>
      </c>
      <c r="Z108" s="103" t="str">
        <f t="shared" si="220"/>
        <v>Ok</v>
      </c>
      <c r="AA108" s="93">
        <f t="shared" si="180"/>
        <v>147.37765536693294</v>
      </c>
      <c r="AB108" s="93">
        <f t="shared" si="225"/>
        <v>265.55351980439576</v>
      </c>
      <c r="AC108" s="89" t="str">
        <f t="shared" si="188"/>
        <v>Ok</v>
      </c>
      <c r="AD108" s="98">
        <f t="shared" si="226"/>
        <v>2.3038346126325153E-2</v>
      </c>
      <c r="AE108" s="98">
        <f t="shared" si="181"/>
        <v>1.9281988961466403E-2</v>
      </c>
      <c r="AF108" s="104" t="str">
        <f t="shared" si="227"/>
        <v>No-Ok</v>
      </c>
      <c r="AG108" s="100">
        <v>10</v>
      </c>
      <c r="AH108" s="105">
        <v>2</v>
      </c>
      <c r="AI108" s="105">
        <v>200</v>
      </c>
      <c r="AJ108" s="104">
        <f t="shared" si="182"/>
        <v>7.8500000000000005</v>
      </c>
      <c r="AK108" s="60" t="str">
        <f t="shared" si="183"/>
        <v>OK</v>
      </c>
      <c r="AL108" s="109">
        <f t="shared" si="184"/>
        <v>300</v>
      </c>
      <c r="AT108" s="133" t="str">
        <f t="shared" si="185"/>
        <v>no need</v>
      </c>
      <c r="AV108" s="61">
        <f t="shared" si="189"/>
        <v>396.06599999999997</v>
      </c>
      <c r="AW108" s="61" t="str">
        <f t="shared" si="190"/>
        <v>OK</v>
      </c>
      <c r="AX108" s="63" t="e">
        <f t="shared" si="191"/>
        <v>#DIV/0!</v>
      </c>
      <c r="AY108" s="63">
        <f t="shared" si="192"/>
        <v>176.5</v>
      </c>
      <c r="AZ108" s="63">
        <f t="shared" si="193"/>
        <v>372.33201581027674</v>
      </c>
      <c r="BA108" s="63">
        <f t="shared" si="194"/>
        <v>63.249999999999993</v>
      </c>
      <c r="BB108" s="63">
        <f t="shared" si="195"/>
        <v>235.5</v>
      </c>
      <c r="BC108" s="63" t="str">
        <f t="shared" si="196"/>
        <v>OK</v>
      </c>
      <c r="BD108" s="63">
        <f t="shared" si="197"/>
        <v>517.4334588029144</v>
      </c>
      <c r="BE108" s="63">
        <f t="shared" si="198"/>
        <v>285.62112500000001</v>
      </c>
      <c r="BF108" s="63">
        <f t="shared" si="199"/>
        <v>196.31212499999998</v>
      </c>
      <c r="BG108" s="63">
        <f t="shared" si="200"/>
        <v>278.3292214677881</v>
      </c>
      <c r="BH108" s="63">
        <f t="shared" si="201"/>
        <v>169.35174999999998</v>
      </c>
      <c r="BI108" s="63">
        <f t="shared" si="202"/>
        <v>169.35174999999998</v>
      </c>
      <c r="BJ108" s="63">
        <f t="shared" si="203"/>
        <v>169.35174999999998</v>
      </c>
      <c r="BK108" s="63" t="str">
        <f t="shared" si="204"/>
        <v>OK</v>
      </c>
      <c r="BL108" s="63">
        <f t="shared" si="205"/>
        <v>211.79999999999998</v>
      </c>
      <c r="BM108" s="63">
        <f t="shared" si="206"/>
        <v>353</v>
      </c>
      <c r="BN108" s="63">
        <f t="shared" si="207"/>
        <v>706</v>
      </c>
      <c r="BO108" s="63">
        <f t="shared" si="208"/>
        <v>1059</v>
      </c>
      <c r="BP108" s="63">
        <f t="shared" si="209"/>
        <v>44.654499999999992</v>
      </c>
      <c r="BQ108" s="63">
        <f t="shared" si="210"/>
        <v>516.07959270692425</v>
      </c>
      <c r="BR108" s="63" t="str">
        <f t="shared" si="211"/>
        <v>OK</v>
      </c>
      <c r="BW108" s="70">
        <f t="shared" si="186"/>
        <v>37.02600000000001</v>
      </c>
    </row>
    <row r="109" spans="4:104">
      <c r="D109" s="181"/>
      <c r="E109" s="181"/>
      <c r="F109" s="91" t="s">
        <v>15</v>
      </c>
      <c r="G109" s="78">
        <v>220</v>
      </c>
      <c r="H109" s="78">
        <v>450</v>
      </c>
      <c r="I109" s="92">
        <f t="shared" si="176"/>
        <v>97</v>
      </c>
      <c r="J109" s="93">
        <f t="shared" si="221"/>
        <v>353</v>
      </c>
      <c r="K109" s="94"/>
      <c r="L109" s="94"/>
      <c r="M109" s="94"/>
      <c r="N109" s="95">
        <f t="shared" si="177"/>
        <v>0</v>
      </c>
      <c r="O109" s="95">
        <f t="shared" si="222"/>
        <v>0</v>
      </c>
      <c r="P109" s="95">
        <f t="shared" si="223"/>
        <v>1</v>
      </c>
      <c r="Q109" s="96" t="str">
        <f t="shared" si="178"/>
        <v>Ok</v>
      </c>
      <c r="R109" s="97">
        <f t="shared" si="179"/>
        <v>0.77659999999999996</v>
      </c>
      <c r="S109" s="131">
        <f t="shared" si="187"/>
        <v>1E-3</v>
      </c>
      <c r="T109" s="99">
        <v>3</v>
      </c>
      <c r="U109" s="100">
        <v>22</v>
      </c>
      <c r="V109" s="101" t="str">
        <f t="shared" si="219"/>
        <v>+</v>
      </c>
      <c r="W109" s="99">
        <v>3</v>
      </c>
      <c r="X109" s="100">
        <v>22</v>
      </c>
      <c r="Y109" s="102">
        <f t="shared" si="224"/>
        <v>22.807962665061901</v>
      </c>
      <c r="Z109" s="103" t="str">
        <f t="shared" si="220"/>
        <v>Ok</v>
      </c>
      <c r="AA109" s="93">
        <f t="shared" si="180"/>
        <v>147.37765536693294</v>
      </c>
      <c r="AB109" s="93">
        <f t="shared" si="225"/>
        <v>265.55351980439576</v>
      </c>
      <c r="AC109" s="89" t="str">
        <f t="shared" si="188"/>
        <v>Ok</v>
      </c>
      <c r="AD109" s="98">
        <f t="shared" si="226"/>
        <v>2.3038346126325153E-2</v>
      </c>
      <c r="AE109" s="98">
        <f t="shared" si="181"/>
        <v>1.9281988961466403E-2</v>
      </c>
      <c r="AF109" s="104" t="str">
        <f t="shared" si="227"/>
        <v>No-Ok</v>
      </c>
      <c r="AG109" s="100">
        <v>10</v>
      </c>
      <c r="AH109" s="105">
        <v>2</v>
      </c>
      <c r="AI109" s="105">
        <v>200</v>
      </c>
      <c r="AJ109" s="104">
        <f t="shared" si="182"/>
        <v>7.8500000000000005</v>
      </c>
      <c r="AK109" s="60" t="str">
        <f t="shared" si="183"/>
        <v>OK</v>
      </c>
      <c r="AL109" s="109">
        <f t="shared" si="184"/>
        <v>300</v>
      </c>
      <c r="AT109" s="133" t="str">
        <f t="shared" si="185"/>
        <v>no need</v>
      </c>
      <c r="AV109" s="61">
        <f t="shared" si="189"/>
        <v>396.06599999999997</v>
      </c>
      <c r="AW109" s="61" t="str">
        <f t="shared" si="190"/>
        <v>OK</v>
      </c>
      <c r="AX109" s="63" t="e">
        <f t="shared" si="191"/>
        <v>#DIV/0!</v>
      </c>
      <c r="AY109" s="63">
        <f t="shared" si="192"/>
        <v>176.5</v>
      </c>
      <c r="AZ109" s="63">
        <f t="shared" si="193"/>
        <v>372.33201581027674</v>
      </c>
      <c r="BA109" s="63">
        <f t="shared" si="194"/>
        <v>63.249999999999993</v>
      </c>
      <c r="BB109" s="63">
        <f t="shared" si="195"/>
        <v>235.5</v>
      </c>
      <c r="BC109" s="63" t="str">
        <f t="shared" si="196"/>
        <v>OK</v>
      </c>
      <c r="BD109" s="63">
        <f t="shared" si="197"/>
        <v>517.4334588029144</v>
      </c>
      <c r="BE109" s="63">
        <f t="shared" si="198"/>
        <v>285.62112500000001</v>
      </c>
      <c r="BF109" s="63">
        <f t="shared" si="199"/>
        <v>196.31212499999998</v>
      </c>
      <c r="BG109" s="63">
        <f t="shared" si="200"/>
        <v>278.3292214677881</v>
      </c>
      <c r="BH109" s="63">
        <f t="shared" si="201"/>
        <v>169.35174999999998</v>
      </c>
      <c r="BI109" s="63">
        <f t="shared" si="202"/>
        <v>169.35174999999998</v>
      </c>
      <c r="BJ109" s="63">
        <f t="shared" si="203"/>
        <v>169.35174999999998</v>
      </c>
      <c r="BK109" s="63" t="str">
        <f t="shared" si="204"/>
        <v>OK</v>
      </c>
      <c r="BL109" s="63">
        <f t="shared" si="205"/>
        <v>211.79999999999998</v>
      </c>
      <c r="BM109" s="63">
        <f t="shared" si="206"/>
        <v>353</v>
      </c>
      <c r="BN109" s="63">
        <f t="shared" si="207"/>
        <v>706</v>
      </c>
      <c r="BO109" s="63">
        <f t="shared" si="208"/>
        <v>1059</v>
      </c>
      <c r="BP109" s="63">
        <f t="shared" si="209"/>
        <v>44.654499999999992</v>
      </c>
      <c r="BQ109" s="63">
        <f t="shared" si="210"/>
        <v>329.87761338302221</v>
      </c>
      <c r="BR109" s="63" t="str">
        <f t="shared" si="211"/>
        <v>OK</v>
      </c>
      <c r="BW109" s="70">
        <f t="shared" si="186"/>
        <v>37.02600000000001</v>
      </c>
    </row>
    <row r="110" spans="4:104">
      <c r="D110" s="176" t="s">
        <v>90</v>
      </c>
      <c r="E110" s="176" t="s">
        <v>90</v>
      </c>
      <c r="F110" s="67" t="s">
        <v>15</v>
      </c>
      <c r="G110" s="78">
        <v>220</v>
      </c>
      <c r="H110" s="78">
        <v>450</v>
      </c>
      <c r="I110" s="79">
        <f t="shared" si="176"/>
        <v>97</v>
      </c>
      <c r="J110" s="80">
        <f t="shared" si="221"/>
        <v>353</v>
      </c>
      <c r="K110" s="81"/>
      <c r="L110" s="81"/>
      <c r="M110" s="81"/>
      <c r="N110" s="82">
        <f t="shared" si="177"/>
        <v>0</v>
      </c>
      <c r="O110" s="82">
        <f t="shared" si="222"/>
        <v>0</v>
      </c>
      <c r="P110" s="82">
        <f t="shared" si="223"/>
        <v>1</v>
      </c>
      <c r="Q110" s="83" t="str">
        <f t="shared" si="178"/>
        <v>Ok</v>
      </c>
      <c r="R110" s="84">
        <f t="shared" si="179"/>
        <v>0.77659999999999996</v>
      </c>
      <c r="S110" s="131">
        <f t="shared" si="187"/>
        <v>1E-3</v>
      </c>
      <c r="T110" s="86">
        <v>3</v>
      </c>
      <c r="U110" s="77">
        <v>22</v>
      </c>
      <c r="V110" s="87" t="str">
        <f t="shared" si="219"/>
        <v>+</v>
      </c>
      <c r="W110" s="86">
        <v>3</v>
      </c>
      <c r="X110" s="77">
        <v>22</v>
      </c>
      <c r="Y110" s="88">
        <f t="shared" si="224"/>
        <v>22.807962665061901</v>
      </c>
      <c r="Z110" s="89" t="str">
        <f t="shared" si="220"/>
        <v>Ok</v>
      </c>
      <c r="AA110" s="80">
        <f t="shared" si="180"/>
        <v>104.44325576623555</v>
      </c>
      <c r="AB110" s="80">
        <f t="shared" si="225"/>
        <v>267.80980644614226</v>
      </c>
      <c r="AC110" s="89" t="str">
        <f t="shared" si="188"/>
        <v>Ok</v>
      </c>
      <c r="AD110" s="85">
        <f t="shared" si="226"/>
        <v>2.3038346126325153E-2</v>
      </c>
      <c r="AE110" s="85">
        <f t="shared" si="181"/>
        <v>1.9281988961466403E-2</v>
      </c>
      <c r="AF110" s="60" t="str">
        <f t="shared" si="227"/>
        <v>No-Ok</v>
      </c>
      <c r="AG110" s="77">
        <v>10</v>
      </c>
      <c r="AH110" s="76">
        <v>2</v>
      </c>
      <c r="AI110" s="76">
        <v>200</v>
      </c>
      <c r="AJ110" s="60">
        <f t="shared" si="182"/>
        <v>7.8500000000000005</v>
      </c>
      <c r="AK110" s="60" t="str">
        <f t="shared" si="183"/>
        <v>OK</v>
      </c>
      <c r="AL110" s="109">
        <f t="shared" si="184"/>
        <v>300</v>
      </c>
      <c r="AT110" s="133" t="str">
        <f t="shared" si="185"/>
        <v>no need</v>
      </c>
      <c r="AV110" s="61">
        <f t="shared" si="189"/>
        <v>396.06599999999997</v>
      </c>
      <c r="AW110" s="61" t="str">
        <f t="shared" si="190"/>
        <v>OK</v>
      </c>
      <c r="AX110" s="63" t="e">
        <f t="shared" si="191"/>
        <v>#DIV/0!</v>
      </c>
      <c r="AY110" s="63">
        <f t="shared" si="192"/>
        <v>176.5</v>
      </c>
      <c r="AZ110" s="63">
        <f t="shared" si="193"/>
        <v>372.33201581027674</v>
      </c>
      <c r="BA110" s="63">
        <f t="shared" si="194"/>
        <v>63.249999999999993</v>
      </c>
      <c r="BB110" s="63">
        <f t="shared" si="195"/>
        <v>235.5</v>
      </c>
      <c r="BC110" s="63" t="str">
        <f t="shared" si="196"/>
        <v>OK</v>
      </c>
      <c r="BD110" s="63">
        <f t="shared" si="197"/>
        <v>517.4334588029144</v>
      </c>
      <c r="BE110" s="63">
        <f t="shared" si="198"/>
        <v>285.62112500000001</v>
      </c>
      <c r="BF110" s="63">
        <f t="shared" si="199"/>
        <v>196.31212499999998</v>
      </c>
      <c r="BG110" s="63">
        <f t="shared" si="200"/>
        <v>278.3292214677881</v>
      </c>
      <c r="BH110" s="63">
        <f t="shared" si="201"/>
        <v>169.35174999999998</v>
      </c>
      <c r="BI110" s="63">
        <f t="shared" si="202"/>
        <v>169.35174999999998</v>
      </c>
      <c r="BJ110" s="63">
        <f t="shared" si="203"/>
        <v>169.35174999999998</v>
      </c>
      <c r="BK110" s="63" t="str">
        <f t="shared" si="204"/>
        <v>OK</v>
      </c>
      <c r="BL110" s="63">
        <f t="shared" si="205"/>
        <v>211.79999999999998</v>
      </c>
      <c r="BM110" s="63">
        <f t="shared" si="206"/>
        <v>353</v>
      </c>
      <c r="BN110" s="63">
        <f t="shared" si="207"/>
        <v>706</v>
      </c>
      <c r="BO110" s="63">
        <f t="shared" si="208"/>
        <v>1059</v>
      </c>
      <c r="BP110" s="63">
        <f t="shared" si="209"/>
        <v>44.654499999999992</v>
      </c>
      <c r="BQ110" s="63">
        <f t="shared" si="210"/>
        <v>329.87761338302221</v>
      </c>
      <c r="BR110" s="63" t="str">
        <f t="shared" si="211"/>
        <v>OK</v>
      </c>
      <c r="BW110" s="70">
        <f t="shared" si="186"/>
        <v>37.02600000000001</v>
      </c>
    </row>
    <row r="111" spans="4:104">
      <c r="D111" s="177"/>
      <c r="E111" s="177"/>
      <c r="F111" s="68" t="s">
        <v>16</v>
      </c>
      <c r="G111" s="78">
        <v>220</v>
      </c>
      <c r="H111" s="78">
        <v>450</v>
      </c>
      <c r="I111" s="79">
        <f t="shared" si="176"/>
        <v>100</v>
      </c>
      <c r="J111" s="80">
        <f t="shared" si="221"/>
        <v>350</v>
      </c>
      <c r="K111" s="81"/>
      <c r="L111" s="81"/>
      <c r="M111" s="81"/>
      <c r="N111" s="82">
        <f t="shared" si="177"/>
        <v>0</v>
      </c>
      <c r="O111" s="82">
        <f t="shared" si="222"/>
        <v>0</v>
      </c>
      <c r="P111" s="82">
        <f t="shared" si="223"/>
        <v>1</v>
      </c>
      <c r="Q111" s="83" t="str">
        <f t="shared" si="178"/>
        <v>Ok</v>
      </c>
      <c r="R111" s="84">
        <f t="shared" si="179"/>
        <v>0.77</v>
      </c>
      <c r="S111" s="131">
        <f t="shared" si="187"/>
        <v>1E-3</v>
      </c>
      <c r="T111" s="86">
        <v>3</v>
      </c>
      <c r="U111" s="77">
        <v>25</v>
      </c>
      <c r="V111" s="87" t="str">
        <f t="shared" si="219"/>
        <v>+</v>
      </c>
      <c r="W111" s="86">
        <v>3</v>
      </c>
      <c r="X111" s="77">
        <v>25</v>
      </c>
      <c r="Y111" s="88">
        <f t="shared" si="224"/>
        <v>29.45243112740431</v>
      </c>
      <c r="Z111" s="89" t="str">
        <f t="shared" si="220"/>
        <v>Ok</v>
      </c>
      <c r="AA111" s="80">
        <f t="shared" si="180"/>
        <v>141.89666818386522</v>
      </c>
      <c r="AB111" s="80">
        <f t="shared" si="225"/>
        <v>331.76029705905461</v>
      </c>
      <c r="AC111" s="89" t="str">
        <f t="shared" si="188"/>
        <v>Ok</v>
      </c>
      <c r="AD111" s="85">
        <f t="shared" si="226"/>
        <v>2.9749930431721527E-2</v>
      </c>
      <c r="AE111" s="85">
        <f t="shared" si="181"/>
        <v>1.9281988961466403E-2</v>
      </c>
      <c r="AF111" s="60" t="str">
        <f t="shared" si="227"/>
        <v>No-Ok</v>
      </c>
      <c r="AG111" s="77">
        <v>10</v>
      </c>
      <c r="AH111" s="76">
        <v>2</v>
      </c>
      <c r="AI111" s="76">
        <v>200</v>
      </c>
      <c r="AJ111" s="60">
        <f t="shared" si="182"/>
        <v>7.8500000000000005</v>
      </c>
      <c r="AK111" s="60" t="str">
        <f t="shared" si="183"/>
        <v>OK</v>
      </c>
      <c r="AL111" s="109">
        <f t="shared" si="184"/>
        <v>300</v>
      </c>
      <c r="AT111" s="133" t="str">
        <f t="shared" si="185"/>
        <v>no need</v>
      </c>
      <c r="AV111" s="61">
        <f t="shared" si="189"/>
        <v>392.7</v>
      </c>
      <c r="AW111" s="61" t="str">
        <f t="shared" si="190"/>
        <v>OK</v>
      </c>
      <c r="AX111" s="63" t="e">
        <f t="shared" si="191"/>
        <v>#DIV/0!</v>
      </c>
      <c r="AY111" s="63">
        <f t="shared" si="192"/>
        <v>175</v>
      </c>
      <c r="AZ111" s="63">
        <f t="shared" si="193"/>
        <v>372.33201581027674</v>
      </c>
      <c r="BA111" s="63">
        <f t="shared" si="194"/>
        <v>63.249999999999993</v>
      </c>
      <c r="BB111" s="63">
        <f t="shared" si="195"/>
        <v>235.5</v>
      </c>
      <c r="BC111" s="63" t="str">
        <f t="shared" si="196"/>
        <v>OK</v>
      </c>
      <c r="BD111" s="63">
        <f t="shared" si="197"/>
        <v>513.03600731167148</v>
      </c>
      <c r="BE111" s="63">
        <f t="shared" si="198"/>
        <v>283.19375000000002</v>
      </c>
      <c r="BF111" s="63">
        <f t="shared" si="199"/>
        <v>194.64374999999995</v>
      </c>
      <c r="BG111" s="63">
        <f t="shared" si="200"/>
        <v>275.96381731933667</v>
      </c>
      <c r="BH111" s="63">
        <f t="shared" si="201"/>
        <v>167.91249999999999</v>
      </c>
      <c r="BI111" s="63">
        <f t="shared" si="202"/>
        <v>167.91249999999999</v>
      </c>
      <c r="BJ111" s="63">
        <f t="shared" si="203"/>
        <v>167.91249999999999</v>
      </c>
      <c r="BK111" s="63" t="str">
        <f t="shared" si="204"/>
        <v>OK</v>
      </c>
      <c r="BL111" s="63">
        <f t="shared" si="205"/>
        <v>210</v>
      </c>
      <c r="BM111" s="63">
        <f t="shared" si="206"/>
        <v>350</v>
      </c>
      <c r="BN111" s="63">
        <f t="shared" si="207"/>
        <v>700</v>
      </c>
      <c r="BO111" s="63">
        <f t="shared" si="208"/>
        <v>1050</v>
      </c>
      <c r="BP111" s="63">
        <f t="shared" si="209"/>
        <v>44.274999999999991</v>
      </c>
      <c r="BQ111" s="63">
        <f t="shared" si="210"/>
        <v>329.87761338302221</v>
      </c>
      <c r="BR111" s="63" t="str">
        <f t="shared" si="211"/>
        <v>OK</v>
      </c>
      <c r="BW111" s="70">
        <f t="shared" si="186"/>
        <v>37.02600000000001</v>
      </c>
    </row>
    <row r="112" spans="4:104">
      <c r="D112" s="178"/>
      <c r="E112" s="178"/>
      <c r="F112" s="67" t="s">
        <v>15</v>
      </c>
      <c r="G112" s="78">
        <v>220</v>
      </c>
      <c r="H112" s="78">
        <v>450</v>
      </c>
      <c r="I112" s="79">
        <f t="shared" si="176"/>
        <v>103</v>
      </c>
      <c r="J112" s="80">
        <f t="shared" si="221"/>
        <v>347</v>
      </c>
      <c r="K112" s="81"/>
      <c r="L112" s="81"/>
      <c r="M112" s="81"/>
      <c r="N112" s="82">
        <f t="shared" si="177"/>
        <v>0</v>
      </c>
      <c r="O112" s="82">
        <f t="shared" si="222"/>
        <v>0</v>
      </c>
      <c r="P112" s="82">
        <f t="shared" si="223"/>
        <v>1</v>
      </c>
      <c r="Q112" s="83" t="str">
        <f t="shared" si="178"/>
        <v>Ok</v>
      </c>
      <c r="R112" s="84">
        <f t="shared" si="179"/>
        <v>0.76340000000000008</v>
      </c>
      <c r="S112" s="131">
        <f t="shared" si="187"/>
        <v>1.0000000000000002E-3</v>
      </c>
      <c r="T112" s="86">
        <v>3</v>
      </c>
      <c r="U112" s="77">
        <v>28</v>
      </c>
      <c r="V112" s="87" t="str">
        <f t="shared" si="219"/>
        <v>+</v>
      </c>
      <c r="W112" s="86">
        <v>3</v>
      </c>
      <c r="X112" s="77">
        <v>28</v>
      </c>
      <c r="Y112" s="88">
        <f t="shared" si="224"/>
        <v>36.945129606215971</v>
      </c>
      <c r="Z112" s="89" t="str">
        <f t="shared" si="220"/>
        <v>Ok</v>
      </c>
      <c r="AA112" s="80">
        <f t="shared" si="180"/>
        <v>330.07722813585804</v>
      </c>
      <c r="AB112" s="80">
        <f t="shared" si="225"/>
        <v>326.18466610194088</v>
      </c>
      <c r="AC112" s="89" t="str">
        <f t="shared" si="188"/>
        <v>Ok</v>
      </c>
      <c r="AD112" s="85">
        <f t="shared" si="226"/>
        <v>3.7318312733551483E-2</v>
      </c>
      <c r="AE112" s="85">
        <f t="shared" si="181"/>
        <v>1.9281988961466403E-2</v>
      </c>
      <c r="AF112" s="60" t="str">
        <f t="shared" si="227"/>
        <v>No-Ok</v>
      </c>
      <c r="AG112" s="77">
        <v>10</v>
      </c>
      <c r="AH112" s="76">
        <v>2</v>
      </c>
      <c r="AI112" s="76">
        <v>200</v>
      </c>
      <c r="AJ112" s="60">
        <f t="shared" si="182"/>
        <v>7.8500000000000005</v>
      </c>
      <c r="AK112" s="60" t="str">
        <f t="shared" si="183"/>
        <v>OK</v>
      </c>
      <c r="AL112" s="109">
        <f t="shared" si="184"/>
        <v>300</v>
      </c>
      <c r="AT112" s="133" t="str">
        <f t="shared" si="185"/>
        <v>no need</v>
      </c>
      <c r="AV112" s="61">
        <f t="shared" si="189"/>
        <v>389.334</v>
      </c>
      <c r="AW112" s="61" t="str">
        <f t="shared" si="190"/>
        <v>OK</v>
      </c>
      <c r="AX112" s="63" t="e">
        <f t="shared" si="191"/>
        <v>#DIV/0!</v>
      </c>
      <c r="AY112" s="63">
        <f t="shared" si="192"/>
        <v>173.5</v>
      </c>
      <c r="AZ112" s="63">
        <f t="shared" si="193"/>
        <v>372.33201581027674</v>
      </c>
      <c r="BA112" s="63">
        <f t="shared" si="194"/>
        <v>63.249999999999993</v>
      </c>
      <c r="BB112" s="63">
        <f t="shared" si="195"/>
        <v>235.5</v>
      </c>
      <c r="BC112" s="63" t="str">
        <f t="shared" si="196"/>
        <v>OK</v>
      </c>
      <c r="BD112" s="63">
        <f t="shared" si="197"/>
        <v>508.63855582042862</v>
      </c>
      <c r="BE112" s="63">
        <f t="shared" si="198"/>
        <v>280.76637499999998</v>
      </c>
      <c r="BF112" s="63">
        <f t="shared" si="199"/>
        <v>192.97537499999996</v>
      </c>
      <c r="BG112" s="63">
        <f t="shared" si="200"/>
        <v>273.59841317088518</v>
      </c>
      <c r="BH112" s="63">
        <f t="shared" si="201"/>
        <v>166.47324999999998</v>
      </c>
      <c r="BI112" s="63">
        <f t="shared" si="202"/>
        <v>166.47324999999998</v>
      </c>
      <c r="BJ112" s="63">
        <f t="shared" si="203"/>
        <v>166.47324999999998</v>
      </c>
      <c r="BK112" s="63" t="str">
        <f t="shared" si="204"/>
        <v>OK</v>
      </c>
      <c r="BL112" s="63">
        <f t="shared" si="205"/>
        <v>208.2</v>
      </c>
      <c r="BM112" s="63">
        <f t="shared" si="206"/>
        <v>347</v>
      </c>
      <c r="BN112" s="63">
        <f t="shared" si="207"/>
        <v>694</v>
      </c>
      <c r="BO112" s="63">
        <f t="shared" si="208"/>
        <v>1041</v>
      </c>
      <c r="BP112" s="63">
        <f t="shared" si="209"/>
        <v>43.895499999999991</v>
      </c>
      <c r="BQ112" s="63">
        <f t="shared" si="210"/>
        <v>417.99631252325759</v>
      </c>
      <c r="BR112" s="63" t="str">
        <f t="shared" si="211"/>
        <v>OK</v>
      </c>
      <c r="BW112" s="70">
        <f t="shared" si="186"/>
        <v>37.02600000000001</v>
      </c>
    </row>
    <row r="113" spans="4:104">
      <c r="D113" s="179" t="s">
        <v>90</v>
      </c>
      <c r="E113" s="179" t="s">
        <v>90</v>
      </c>
      <c r="F113" s="91" t="s">
        <v>15</v>
      </c>
      <c r="G113" s="78">
        <v>220</v>
      </c>
      <c r="H113" s="78">
        <v>450</v>
      </c>
      <c r="I113" s="92">
        <f t="shared" si="176"/>
        <v>97</v>
      </c>
      <c r="J113" s="93">
        <f t="shared" si="221"/>
        <v>353</v>
      </c>
      <c r="K113" s="94"/>
      <c r="L113" s="94"/>
      <c r="M113" s="94"/>
      <c r="N113" s="95">
        <f t="shared" si="177"/>
        <v>0</v>
      </c>
      <c r="O113" s="95">
        <f t="shared" si="222"/>
        <v>0</v>
      </c>
      <c r="P113" s="95">
        <f t="shared" si="223"/>
        <v>1</v>
      </c>
      <c r="Q113" s="96" t="str">
        <f t="shared" si="178"/>
        <v>Ok</v>
      </c>
      <c r="R113" s="97">
        <f t="shared" si="179"/>
        <v>0.77659999999999996</v>
      </c>
      <c r="S113" s="131">
        <f t="shared" si="187"/>
        <v>1E-3</v>
      </c>
      <c r="T113" s="99">
        <v>3</v>
      </c>
      <c r="U113" s="100">
        <v>22</v>
      </c>
      <c r="V113" s="101" t="str">
        <f t="shared" si="219"/>
        <v>+</v>
      </c>
      <c r="W113" s="99">
        <v>3</v>
      </c>
      <c r="X113" s="100">
        <v>22</v>
      </c>
      <c r="Y113" s="102">
        <f t="shared" si="224"/>
        <v>22.807962665061901</v>
      </c>
      <c r="Z113" s="103" t="str">
        <f t="shared" si="220"/>
        <v>Ok</v>
      </c>
      <c r="AA113" s="93">
        <f t="shared" si="180"/>
        <v>104.44325576623555</v>
      </c>
      <c r="AB113" s="93">
        <f t="shared" si="225"/>
        <v>267.80980644614226</v>
      </c>
      <c r="AC113" s="89" t="str">
        <f t="shared" si="188"/>
        <v>Ok</v>
      </c>
      <c r="AD113" s="98">
        <f t="shared" si="226"/>
        <v>2.3038346126325153E-2</v>
      </c>
      <c r="AE113" s="98">
        <f t="shared" si="181"/>
        <v>1.9281988961466403E-2</v>
      </c>
      <c r="AF113" s="104" t="str">
        <f t="shared" si="227"/>
        <v>No-Ok</v>
      </c>
      <c r="AG113" s="100">
        <v>10</v>
      </c>
      <c r="AH113" s="105">
        <v>2</v>
      </c>
      <c r="AI113" s="105">
        <v>200</v>
      </c>
      <c r="AJ113" s="104">
        <f t="shared" si="182"/>
        <v>7.8500000000000005</v>
      </c>
      <c r="AK113" s="60" t="str">
        <f t="shared" si="183"/>
        <v>OK</v>
      </c>
      <c r="AL113" s="109">
        <f t="shared" si="184"/>
        <v>300</v>
      </c>
      <c r="AT113" s="133" t="str">
        <f t="shared" si="185"/>
        <v>no need</v>
      </c>
      <c r="AV113" s="61">
        <f t="shared" si="189"/>
        <v>396.06599999999997</v>
      </c>
      <c r="AW113" s="61" t="str">
        <f t="shared" si="190"/>
        <v>OK</v>
      </c>
      <c r="AX113" s="63" t="e">
        <f t="shared" si="191"/>
        <v>#DIV/0!</v>
      </c>
      <c r="AY113" s="63">
        <f t="shared" si="192"/>
        <v>176.5</v>
      </c>
      <c r="AZ113" s="63">
        <f t="shared" si="193"/>
        <v>372.33201581027674</v>
      </c>
      <c r="BA113" s="63">
        <f t="shared" si="194"/>
        <v>63.249999999999993</v>
      </c>
      <c r="BB113" s="63">
        <f t="shared" si="195"/>
        <v>235.5</v>
      </c>
      <c r="BC113" s="63" t="str">
        <f t="shared" si="196"/>
        <v>OK</v>
      </c>
      <c r="BD113" s="63">
        <f t="shared" si="197"/>
        <v>517.4334588029144</v>
      </c>
      <c r="BE113" s="63">
        <f t="shared" si="198"/>
        <v>285.62112500000001</v>
      </c>
      <c r="BF113" s="63">
        <f t="shared" si="199"/>
        <v>196.31212499999998</v>
      </c>
      <c r="BG113" s="63">
        <f t="shared" si="200"/>
        <v>278.3292214677881</v>
      </c>
      <c r="BH113" s="63">
        <f t="shared" si="201"/>
        <v>169.35174999999998</v>
      </c>
      <c r="BI113" s="63">
        <f t="shared" si="202"/>
        <v>169.35174999999998</v>
      </c>
      <c r="BJ113" s="63">
        <f t="shared" si="203"/>
        <v>169.35174999999998</v>
      </c>
      <c r="BK113" s="63" t="str">
        <f t="shared" si="204"/>
        <v>OK</v>
      </c>
      <c r="BL113" s="63">
        <f t="shared" si="205"/>
        <v>211.79999999999998</v>
      </c>
      <c r="BM113" s="63">
        <f t="shared" si="206"/>
        <v>353</v>
      </c>
      <c r="BN113" s="63">
        <f t="shared" si="207"/>
        <v>706</v>
      </c>
      <c r="BO113" s="63">
        <f t="shared" si="208"/>
        <v>1059</v>
      </c>
      <c r="BP113" s="63">
        <f t="shared" si="209"/>
        <v>44.654499999999992</v>
      </c>
      <c r="BQ113" s="63">
        <f t="shared" si="210"/>
        <v>516.07959270692425</v>
      </c>
      <c r="BR113" s="63" t="str">
        <f t="shared" si="211"/>
        <v>OK</v>
      </c>
      <c r="BW113" s="70">
        <f t="shared" si="186"/>
        <v>37.02600000000001</v>
      </c>
    </row>
    <row r="114" spans="4:104">
      <c r="D114" s="180"/>
      <c r="E114" s="180"/>
      <c r="F114" s="106" t="s">
        <v>16</v>
      </c>
      <c r="G114" s="78">
        <v>220</v>
      </c>
      <c r="H114" s="78">
        <v>450</v>
      </c>
      <c r="I114" s="92">
        <f t="shared" si="176"/>
        <v>100</v>
      </c>
      <c r="J114" s="93">
        <f t="shared" si="221"/>
        <v>350</v>
      </c>
      <c r="K114" s="94"/>
      <c r="L114" s="94"/>
      <c r="M114" s="94"/>
      <c r="N114" s="95">
        <f t="shared" si="177"/>
        <v>0</v>
      </c>
      <c r="O114" s="95">
        <f t="shared" si="222"/>
        <v>0</v>
      </c>
      <c r="P114" s="95">
        <f t="shared" si="223"/>
        <v>1</v>
      </c>
      <c r="Q114" s="96" t="str">
        <f t="shared" si="178"/>
        <v>Ok</v>
      </c>
      <c r="R114" s="97">
        <f t="shared" si="179"/>
        <v>0.77</v>
      </c>
      <c r="S114" s="131">
        <f t="shared" si="187"/>
        <v>1E-3</v>
      </c>
      <c r="T114" s="99">
        <v>3</v>
      </c>
      <c r="U114" s="100">
        <v>25</v>
      </c>
      <c r="V114" s="101" t="str">
        <f t="shared" si="219"/>
        <v>+</v>
      </c>
      <c r="W114" s="99">
        <v>3</v>
      </c>
      <c r="X114" s="100">
        <v>25</v>
      </c>
      <c r="Y114" s="102">
        <f t="shared" si="224"/>
        <v>29.45243112740431</v>
      </c>
      <c r="Z114" s="103" t="str">
        <f t="shared" si="220"/>
        <v>Ok</v>
      </c>
      <c r="AA114" s="93">
        <f t="shared" si="180"/>
        <v>141.89666818386522</v>
      </c>
      <c r="AB114" s="93">
        <f t="shared" si="225"/>
        <v>331.76029705905461</v>
      </c>
      <c r="AC114" s="89" t="str">
        <f t="shared" si="188"/>
        <v>Ok</v>
      </c>
      <c r="AD114" s="98">
        <f t="shared" si="226"/>
        <v>2.9749930431721527E-2</v>
      </c>
      <c r="AE114" s="98">
        <f t="shared" si="181"/>
        <v>1.9281988961466403E-2</v>
      </c>
      <c r="AF114" s="104" t="str">
        <f t="shared" si="227"/>
        <v>No-Ok</v>
      </c>
      <c r="AG114" s="100">
        <v>10</v>
      </c>
      <c r="AH114" s="105">
        <v>2</v>
      </c>
      <c r="AI114" s="105">
        <v>200</v>
      </c>
      <c r="AJ114" s="104">
        <f t="shared" si="182"/>
        <v>7.8500000000000005</v>
      </c>
      <c r="AK114" s="60" t="str">
        <f t="shared" si="183"/>
        <v>OK</v>
      </c>
      <c r="AL114" s="109">
        <f t="shared" si="184"/>
        <v>300</v>
      </c>
      <c r="AT114" s="133" t="str">
        <f t="shared" si="185"/>
        <v>no need</v>
      </c>
      <c r="AV114" s="61">
        <f t="shared" si="189"/>
        <v>392.7</v>
      </c>
      <c r="AW114" s="61" t="str">
        <f t="shared" si="190"/>
        <v>OK</v>
      </c>
      <c r="AX114" s="63" t="e">
        <f t="shared" si="191"/>
        <v>#DIV/0!</v>
      </c>
      <c r="AY114" s="63">
        <f t="shared" si="192"/>
        <v>175</v>
      </c>
      <c r="AZ114" s="63">
        <f t="shared" si="193"/>
        <v>372.33201581027674</v>
      </c>
      <c r="BA114" s="63">
        <f t="shared" si="194"/>
        <v>63.249999999999993</v>
      </c>
      <c r="BB114" s="63">
        <f t="shared" si="195"/>
        <v>235.5</v>
      </c>
      <c r="BC114" s="63" t="str">
        <f t="shared" si="196"/>
        <v>OK</v>
      </c>
      <c r="BD114" s="63">
        <f t="shared" si="197"/>
        <v>513.03600731167148</v>
      </c>
      <c r="BE114" s="63">
        <f t="shared" si="198"/>
        <v>283.19375000000002</v>
      </c>
      <c r="BF114" s="63">
        <f t="shared" si="199"/>
        <v>194.64374999999995</v>
      </c>
      <c r="BG114" s="63">
        <f t="shared" si="200"/>
        <v>275.96381731933667</v>
      </c>
      <c r="BH114" s="63">
        <f t="shared" si="201"/>
        <v>167.91249999999999</v>
      </c>
      <c r="BI114" s="63">
        <f t="shared" si="202"/>
        <v>167.91249999999999</v>
      </c>
      <c r="BJ114" s="63">
        <f t="shared" si="203"/>
        <v>167.91249999999999</v>
      </c>
      <c r="BK114" s="63" t="str">
        <f t="shared" si="204"/>
        <v>OK</v>
      </c>
      <c r="BL114" s="63">
        <f t="shared" si="205"/>
        <v>210</v>
      </c>
      <c r="BM114" s="63">
        <f t="shared" si="206"/>
        <v>350</v>
      </c>
      <c r="BN114" s="63">
        <f t="shared" si="207"/>
        <v>700</v>
      </c>
      <c r="BO114" s="63">
        <f t="shared" si="208"/>
        <v>1050</v>
      </c>
      <c r="BP114" s="63">
        <f t="shared" si="209"/>
        <v>44.274999999999991</v>
      </c>
      <c r="BQ114" s="63">
        <f t="shared" si="210"/>
        <v>329.87761338302221</v>
      </c>
      <c r="BR114" s="63" t="str">
        <f t="shared" si="211"/>
        <v>OK</v>
      </c>
      <c r="BW114" s="70">
        <f t="shared" si="186"/>
        <v>37.02600000000001</v>
      </c>
    </row>
    <row r="115" spans="4:104">
      <c r="D115" s="181"/>
      <c r="E115" s="181"/>
      <c r="F115" s="91" t="s">
        <v>15</v>
      </c>
      <c r="G115" s="78">
        <v>220</v>
      </c>
      <c r="H115" s="78">
        <v>450</v>
      </c>
      <c r="I115" s="92">
        <f t="shared" si="176"/>
        <v>103</v>
      </c>
      <c r="J115" s="93">
        <f t="shared" si="221"/>
        <v>347</v>
      </c>
      <c r="K115" s="94"/>
      <c r="L115" s="94"/>
      <c r="M115" s="94"/>
      <c r="N115" s="95">
        <f t="shared" si="177"/>
        <v>0</v>
      </c>
      <c r="O115" s="95">
        <f t="shared" si="222"/>
        <v>0</v>
      </c>
      <c r="P115" s="95">
        <f t="shared" si="223"/>
        <v>1</v>
      </c>
      <c r="Q115" s="96" t="str">
        <f t="shared" si="178"/>
        <v>Ok</v>
      </c>
      <c r="R115" s="97">
        <f t="shared" si="179"/>
        <v>0.76340000000000008</v>
      </c>
      <c r="S115" s="131">
        <f t="shared" si="187"/>
        <v>1.0000000000000002E-3</v>
      </c>
      <c r="T115" s="99">
        <v>3</v>
      </c>
      <c r="U115" s="100">
        <v>28</v>
      </c>
      <c r="V115" s="101" t="str">
        <f t="shared" si="219"/>
        <v>+</v>
      </c>
      <c r="W115" s="99">
        <v>3</v>
      </c>
      <c r="X115" s="100">
        <v>28</v>
      </c>
      <c r="Y115" s="102">
        <f t="shared" si="224"/>
        <v>36.945129606215971</v>
      </c>
      <c r="Z115" s="103" t="str">
        <f t="shared" si="220"/>
        <v>Ok</v>
      </c>
      <c r="AA115" s="93">
        <f t="shared" si="180"/>
        <v>330.07722813585804</v>
      </c>
      <c r="AB115" s="93">
        <f t="shared" si="225"/>
        <v>328.76424667935936</v>
      </c>
      <c r="AC115" s="89" t="str">
        <f t="shared" si="188"/>
        <v>Ok</v>
      </c>
      <c r="AD115" s="98">
        <f t="shared" si="226"/>
        <v>3.7318312733551483E-2</v>
      </c>
      <c r="AE115" s="98">
        <f t="shared" si="181"/>
        <v>1.9281988961466403E-2</v>
      </c>
      <c r="AF115" s="104" t="str">
        <f t="shared" si="227"/>
        <v>No-Ok</v>
      </c>
      <c r="AG115" s="100">
        <v>10</v>
      </c>
      <c r="AH115" s="105">
        <v>2</v>
      </c>
      <c r="AI115" s="105">
        <v>200</v>
      </c>
      <c r="AJ115" s="104">
        <f t="shared" si="182"/>
        <v>7.8500000000000005</v>
      </c>
      <c r="AK115" s="60" t="str">
        <f t="shared" si="183"/>
        <v>OK</v>
      </c>
      <c r="AL115" s="109">
        <f t="shared" si="184"/>
        <v>300</v>
      </c>
      <c r="AT115" s="133" t="str">
        <f t="shared" si="185"/>
        <v>no need</v>
      </c>
      <c r="AV115" s="61">
        <f t="shared" si="189"/>
        <v>389.334</v>
      </c>
      <c r="AW115" s="61" t="str">
        <f t="shared" si="190"/>
        <v>OK</v>
      </c>
      <c r="AX115" s="63" t="e">
        <f t="shared" si="191"/>
        <v>#DIV/0!</v>
      </c>
      <c r="AY115" s="63">
        <f t="shared" si="192"/>
        <v>173.5</v>
      </c>
      <c r="AZ115" s="63">
        <f t="shared" si="193"/>
        <v>372.33201581027674</v>
      </c>
      <c r="BA115" s="63">
        <f t="shared" si="194"/>
        <v>63.249999999999993</v>
      </c>
      <c r="BB115" s="63">
        <f t="shared" si="195"/>
        <v>235.5</v>
      </c>
      <c r="BC115" s="63" t="str">
        <f t="shared" si="196"/>
        <v>OK</v>
      </c>
      <c r="BD115" s="63">
        <f t="shared" si="197"/>
        <v>508.63855582042862</v>
      </c>
      <c r="BE115" s="63">
        <f t="shared" si="198"/>
        <v>280.76637499999998</v>
      </c>
      <c r="BF115" s="63">
        <f t="shared" si="199"/>
        <v>192.97537499999996</v>
      </c>
      <c r="BG115" s="63">
        <f t="shared" si="200"/>
        <v>273.59841317088518</v>
      </c>
      <c r="BH115" s="63">
        <f t="shared" si="201"/>
        <v>166.47324999999998</v>
      </c>
      <c r="BI115" s="63">
        <f t="shared" si="202"/>
        <v>166.47324999999998</v>
      </c>
      <c r="BJ115" s="63">
        <f t="shared" si="203"/>
        <v>166.47324999999998</v>
      </c>
      <c r="BK115" s="63" t="str">
        <f t="shared" si="204"/>
        <v>OK</v>
      </c>
      <c r="BL115" s="63">
        <f t="shared" si="205"/>
        <v>208.2</v>
      </c>
      <c r="BM115" s="63">
        <f t="shared" si="206"/>
        <v>347</v>
      </c>
      <c r="BN115" s="63">
        <f t="shared" si="207"/>
        <v>694</v>
      </c>
      <c r="BO115" s="63">
        <f t="shared" si="208"/>
        <v>1041</v>
      </c>
      <c r="BP115" s="63">
        <f t="shared" si="209"/>
        <v>43.895499999999991</v>
      </c>
      <c r="BQ115" s="63">
        <f t="shared" si="210"/>
        <v>417.99631252325759</v>
      </c>
      <c r="BR115" s="63" t="str">
        <f t="shared" si="211"/>
        <v>OK</v>
      </c>
      <c r="BW115" s="70">
        <f t="shared" si="186"/>
        <v>37.02600000000001</v>
      </c>
    </row>
    <row r="116" spans="4:104" ht="12.75" customHeight="1">
      <c r="D116" s="176" t="s">
        <v>90</v>
      </c>
      <c r="E116" s="176" t="s">
        <v>90</v>
      </c>
      <c r="F116" s="67" t="s">
        <v>15</v>
      </c>
      <c r="G116" s="78">
        <v>220</v>
      </c>
      <c r="H116" s="78">
        <v>450</v>
      </c>
      <c r="I116" s="79">
        <f t="shared" ref="I116:I147" si="228">$J$12+((T116*fi(U116)*U116/2+W116*fi(X116)*(U116+30+X116/2)))/(T116*fi(U116)+W116*fi(X116))</f>
        <v>91.8</v>
      </c>
      <c r="J116" s="80">
        <f>H116-I116</f>
        <v>358.2</v>
      </c>
      <c r="K116" s="81"/>
      <c r="L116" s="81"/>
      <c r="M116" s="81"/>
      <c r="N116" s="82">
        <f t="shared" ref="N116:N147" si="229">ABS(K116)*10^6/($J$11*$H$4*G116*J116^2)</f>
        <v>0</v>
      </c>
      <c r="O116" s="82">
        <f>ROUND(1-SQRT(1-2*N116),3)</f>
        <v>0</v>
      </c>
      <c r="P116" s="82">
        <f>1-0.5*O116</f>
        <v>1</v>
      </c>
      <c r="Q116" s="83" t="str">
        <f t="shared" ref="Q116:Q147" si="230">IF(O116&lt;$J$13,"Ok","Not Ok")</f>
        <v>Ok</v>
      </c>
      <c r="R116" s="84">
        <f t="shared" ref="R116:R147" si="231">MAX(ABS(K116)*10^6/($H$6*P116*J116),0.001*G116*J116)/100</f>
        <v>0.78804000000000007</v>
      </c>
      <c r="S116" s="131">
        <f t="shared" si="187"/>
        <v>1.0000000000000002E-3</v>
      </c>
      <c r="T116" s="86">
        <v>3</v>
      </c>
      <c r="U116" s="77">
        <v>22</v>
      </c>
      <c r="V116" s="87" t="str">
        <f t="shared" si="219"/>
        <v>+</v>
      </c>
      <c r="W116" s="86">
        <v>2</v>
      </c>
      <c r="X116" s="77">
        <v>22</v>
      </c>
      <c r="Y116" s="88">
        <f>(T116*PI()*U116^2/4+W116*PI()*X116^2/4)/100</f>
        <v>19.006635554218249</v>
      </c>
      <c r="Z116" s="89" t="str">
        <f t="shared" si="220"/>
        <v>Ok</v>
      </c>
      <c r="AA116" s="90">
        <f t="shared" ref="AA116:AA147" si="232">($H$6*Y116*100-$H$6*(T117*PI()*U117^2/4))/($J$11*$H$4*G116)</f>
        <v>193.66154713506063</v>
      </c>
      <c r="AB116" s="80">
        <f>($J$11*$H$4*G116*ABS(AA116)*(J116-0.5*ABS(AA116))+$H$6*(T117*PI()*U117^2/4)*(J116-I117))*10^-6</f>
        <v>221.14029973282626</v>
      </c>
      <c r="AC116" s="89" t="str">
        <f t="shared" si="188"/>
        <v>Ok</v>
      </c>
      <c r="AD116" s="85">
        <f>(Y116*100)/(G116*H116)</f>
        <v>1.9198621771937624E-2</v>
      </c>
      <c r="AE116" s="85">
        <f t="shared" ref="AE116:AE147" si="233">$J$13*$H$4/$H$6</f>
        <v>1.9281988961466403E-2</v>
      </c>
      <c r="AF116" s="60" t="str">
        <f>IF(AND(AD116&gt;0.1%,AD116&lt;AE116),"Ok","No-Ok")</f>
        <v>Ok</v>
      </c>
      <c r="AG116" s="77">
        <v>10</v>
      </c>
      <c r="AH116" s="76">
        <v>2</v>
      </c>
      <c r="AI116" s="76">
        <v>100</v>
      </c>
      <c r="AJ116" s="60">
        <f t="shared" ref="AJ116:AJ147" si="234">(10/AI116)*2*(3.14*AG116^2)/4</f>
        <v>15.700000000000001</v>
      </c>
      <c r="AK116" s="60" t="str">
        <f t="shared" ref="AK116:AK147" si="235">IF(AND(AV116&gt;L116,BB116&gt;BA116,BJ116&gt;L116),"OK","NOT OK")</f>
        <v>OK</v>
      </c>
      <c r="AL116" s="109">
        <f t="shared" ref="AL116:AL147" si="236">IF(AG116&lt;10,$O$7,$O$8)</f>
        <v>300</v>
      </c>
      <c r="AT116" s="133" t="str">
        <f t="shared" ref="AT116:AT147" si="237">IF(L116&gt;BP116, "need","no need")</f>
        <v>no need</v>
      </c>
      <c r="AV116" s="61">
        <f t="shared" si="189"/>
        <v>401.90039999999999</v>
      </c>
      <c r="AW116" s="61" t="str">
        <f t="shared" si="190"/>
        <v>OK</v>
      </c>
      <c r="AX116" s="63" t="e">
        <f t="shared" si="191"/>
        <v>#DIV/0!</v>
      </c>
      <c r="AY116" s="63">
        <f t="shared" si="192"/>
        <v>179.1</v>
      </c>
      <c r="AZ116" s="63">
        <f t="shared" si="193"/>
        <v>744.66403162055349</v>
      </c>
      <c r="BA116" s="63">
        <f t="shared" si="194"/>
        <v>63.249999999999993</v>
      </c>
      <c r="BB116" s="63">
        <f t="shared" si="195"/>
        <v>471</v>
      </c>
      <c r="BC116" s="63" t="str">
        <f t="shared" si="196"/>
        <v>OK</v>
      </c>
      <c r="BD116" s="63">
        <f t="shared" si="197"/>
        <v>371.27045166597185</v>
      </c>
      <c r="BE116" s="63">
        <f t="shared" si="198"/>
        <v>353.09564999999998</v>
      </c>
      <c r="BF116" s="63">
        <f t="shared" si="199"/>
        <v>262.47104999999993</v>
      </c>
      <c r="BG116" s="63">
        <f t="shared" si="200"/>
        <v>399.41528329169569</v>
      </c>
      <c r="BH116" s="63">
        <f t="shared" si="201"/>
        <v>298.38059999999996</v>
      </c>
      <c r="BI116" s="63">
        <f t="shared" si="202"/>
        <v>298.38059999999996</v>
      </c>
      <c r="BJ116" s="63">
        <f t="shared" si="203"/>
        <v>262.47104999999993</v>
      </c>
      <c r="BK116" s="63" t="str">
        <f t="shared" si="204"/>
        <v>OK</v>
      </c>
      <c r="BL116" s="63">
        <f t="shared" si="205"/>
        <v>214.92</v>
      </c>
      <c r="BM116" s="63">
        <f t="shared" si="206"/>
        <v>358.2</v>
      </c>
      <c r="BN116" s="63">
        <f t="shared" si="207"/>
        <v>716.4</v>
      </c>
      <c r="BO116" s="63">
        <f t="shared" si="208"/>
        <v>1074.5999999999999</v>
      </c>
      <c r="BP116" s="63">
        <f t="shared" si="209"/>
        <v>45.312299999999993</v>
      </c>
      <c r="BQ116" s="63">
        <f t="shared" si="210"/>
        <v>516.07959270692425</v>
      </c>
      <c r="BR116" s="63" t="str">
        <f t="shared" si="211"/>
        <v>OK</v>
      </c>
      <c r="BU116" s="70">
        <v>12</v>
      </c>
      <c r="BV116" s="70">
        <v>1</v>
      </c>
      <c r="BW116" s="70">
        <f t="shared" ref="BW116:BW147" si="238">0.1*$H$4*G116^2*H116/1000000</f>
        <v>37.02600000000001</v>
      </c>
      <c r="BX116" s="70" t="str">
        <f>IF(BW116&gt;AT116,"OK","NOT OK")</f>
        <v>NOT OK</v>
      </c>
      <c r="BY116" s="70">
        <f>G116</f>
        <v>220</v>
      </c>
      <c r="BZ116" s="70">
        <f>H116</f>
        <v>450</v>
      </c>
      <c r="CA116" s="70">
        <f>BY116/(2*BZ116+BY116)</f>
        <v>0.19642857142857142</v>
      </c>
      <c r="CB116" s="27">
        <f>O103*AJ116/10</f>
        <v>0.14444000000000001</v>
      </c>
      <c r="CE116" s="71">
        <f>CB116*CA116*BY116*BZ116/1000000</f>
        <v>2.808842142857143E-3</v>
      </c>
      <c r="CF116" s="71"/>
      <c r="CG116" s="71"/>
      <c r="CH116" s="70">
        <f>T117*3.14*U117^2/4</f>
        <v>401.92</v>
      </c>
      <c r="CI116" s="71">
        <f>0.5*$H$6*CH116*BZ116/1000000</f>
        <v>39.337919999999997</v>
      </c>
      <c r="CJ116" s="70" t="str">
        <f>IF((CI116+CE116)&gt;AT116,"OK","NOT OK")</f>
        <v>NOT OK</v>
      </c>
      <c r="CK116" s="27">
        <f>BZ116</f>
        <v>450</v>
      </c>
      <c r="CL116" s="27">
        <f>BY116</f>
        <v>220</v>
      </c>
      <c r="CM116" s="74">
        <f>CK116/(2*CL116+CK116)</f>
        <v>0.5056179775280899</v>
      </c>
      <c r="CN116" s="74"/>
      <c r="CO116" s="27">
        <f>O103*AJ116/10</f>
        <v>0.14444000000000001</v>
      </c>
      <c r="CP116" s="74">
        <f>CO116*CM116*CK116*CL116/1000000</f>
        <v>7.2301146067415738E-3</v>
      </c>
      <c r="CQ116" s="27">
        <f>3.14*U117^2/4+3.14*U116^2/4+BV116*3.14*BU116^2/4</f>
        <v>693.93999999999994</v>
      </c>
      <c r="CT116" s="71">
        <f>0.5*$H$6*CQ116*CL116/1000000</f>
        <v>33.205028999999996</v>
      </c>
      <c r="CU116" s="71"/>
      <c r="CV116" s="70" t="str">
        <f>IF((CT116+CP116)&gt;U116,"OK","NOT OK")</f>
        <v>OK</v>
      </c>
      <c r="CW116" s="74">
        <f>MIN((CP116+CT116),(CE116+CI116))</f>
        <v>33.212259114606738</v>
      </c>
      <c r="CX116" s="71">
        <f>AB116</f>
        <v>221.14029973282626</v>
      </c>
      <c r="CY116" s="71">
        <f>(BG116+BO116*J116)/1000</f>
        <v>385.32113528329171</v>
      </c>
      <c r="CZ116" s="62">
        <f>CW116*SQRT(1-(K116/CX116)^1)</f>
        <v>33.212259114606738</v>
      </c>
    </row>
    <row r="117" spans="4:104">
      <c r="D117" s="177"/>
      <c r="E117" s="177"/>
      <c r="F117" s="68" t="s">
        <v>16</v>
      </c>
      <c r="G117" s="78">
        <v>220</v>
      </c>
      <c r="H117" s="78">
        <v>450</v>
      </c>
      <c r="I117" s="79">
        <f t="shared" si="228"/>
        <v>68</v>
      </c>
      <c r="J117" s="80">
        <f t="shared" ref="J117:J127" si="239">H117-I117</f>
        <v>382</v>
      </c>
      <c r="K117" s="81"/>
      <c r="L117" s="81"/>
      <c r="M117" s="81"/>
      <c r="N117" s="82">
        <f t="shared" si="229"/>
        <v>0</v>
      </c>
      <c r="O117" s="82">
        <f t="shared" ref="O117:O127" si="240">ROUND(1-SQRT(1-2*N117),3)</f>
        <v>0</v>
      </c>
      <c r="P117" s="82">
        <f t="shared" ref="P117:P127" si="241">1-0.5*O117</f>
        <v>1</v>
      </c>
      <c r="Q117" s="83" t="str">
        <f t="shared" si="230"/>
        <v>Ok</v>
      </c>
      <c r="R117" s="84">
        <f t="shared" si="231"/>
        <v>0.84040000000000004</v>
      </c>
      <c r="S117" s="131">
        <f t="shared" si="187"/>
        <v>1E-3</v>
      </c>
      <c r="T117" s="86">
        <v>2</v>
      </c>
      <c r="U117" s="77">
        <v>16</v>
      </c>
      <c r="V117" s="87" t="str">
        <f t="shared" si="219"/>
        <v>+</v>
      </c>
      <c r="W117" s="86">
        <v>0</v>
      </c>
      <c r="X117" s="77">
        <v>0</v>
      </c>
      <c r="Y117" s="88">
        <f t="shared" ref="Y117:Y127" si="242">(T117*PI()*U117^2/4+W117*PI()*X117^2/4)/100</f>
        <v>4.0212385965949355</v>
      </c>
      <c r="Z117" s="89" t="str">
        <f t="shared" si="220"/>
        <v>Ok</v>
      </c>
      <c r="AA117" s="80">
        <f t="shared" si="232"/>
        <v>-186.75956327490127</v>
      </c>
      <c r="AB117" s="80">
        <f t="shared" ref="AB117:AB127" si="243">($J$11*$H$4*G117*AA117*(J117-0.5*AA117)+$H$6*(T118*PI()*U118^2/4)*(J117-I118))*10^-6</f>
        <v>-51.343847662391958</v>
      </c>
      <c r="AC117" s="89" t="str">
        <f t="shared" si="188"/>
        <v>Not Ok</v>
      </c>
      <c r="AD117" s="85">
        <f t="shared" ref="AD117:AD127" si="244">(Y117*100)/(G117*H117)</f>
        <v>4.0618571682777133E-3</v>
      </c>
      <c r="AE117" s="85">
        <f t="shared" si="233"/>
        <v>1.9281988961466403E-2</v>
      </c>
      <c r="AF117" s="60" t="str">
        <f t="shared" ref="AF117:AF127" si="245">IF(AND(AD117&gt;0.1%,AD117&lt;AE117),"Ok","No-Ok")</f>
        <v>Ok</v>
      </c>
      <c r="AG117" s="77">
        <v>10</v>
      </c>
      <c r="AH117" s="76">
        <v>2</v>
      </c>
      <c r="AI117" s="76">
        <v>200</v>
      </c>
      <c r="AJ117" s="60">
        <f t="shared" si="234"/>
        <v>7.8500000000000005</v>
      </c>
      <c r="AK117" s="60" t="str">
        <f t="shared" si="235"/>
        <v>OK</v>
      </c>
      <c r="AL117" s="109">
        <f t="shared" si="236"/>
        <v>300</v>
      </c>
      <c r="AT117" s="133" t="str">
        <f t="shared" si="237"/>
        <v>no need</v>
      </c>
      <c r="AV117" s="61">
        <f t="shared" si="189"/>
        <v>428.60399999999998</v>
      </c>
      <c r="AW117" s="61" t="str">
        <f t="shared" si="190"/>
        <v>OK</v>
      </c>
      <c r="AX117" s="63" t="e">
        <f t="shared" si="191"/>
        <v>#DIV/0!</v>
      </c>
      <c r="AY117" s="63">
        <f t="shared" si="192"/>
        <v>191</v>
      </c>
      <c r="AZ117" s="63">
        <f t="shared" si="193"/>
        <v>372.33201581027674</v>
      </c>
      <c r="BA117" s="63">
        <f t="shared" si="194"/>
        <v>63.249999999999993</v>
      </c>
      <c r="BB117" s="63">
        <f t="shared" si="195"/>
        <v>235.5</v>
      </c>
      <c r="BC117" s="63" t="str">
        <f t="shared" si="196"/>
        <v>OK</v>
      </c>
      <c r="BD117" s="63">
        <f t="shared" si="197"/>
        <v>559.94215655159576</v>
      </c>
      <c r="BE117" s="63">
        <f t="shared" si="198"/>
        <v>309.08575000000002</v>
      </c>
      <c r="BF117" s="63">
        <f t="shared" si="199"/>
        <v>212.43974999999995</v>
      </c>
      <c r="BG117" s="63">
        <f t="shared" si="200"/>
        <v>301.19479490281884</v>
      </c>
      <c r="BH117" s="63">
        <f t="shared" si="201"/>
        <v>183.2645</v>
      </c>
      <c r="BI117" s="63">
        <f t="shared" si="202"/>
        <v>183.2645</v>
      </c>
      <c r="BJ117" s="63">
        <f t="shared" si="203"/>
        <v>183.2645</v>
      </c>
      <c r="BK117" s="63" t="str">
        <f t="shared" si="204"/>
        <v>OK</v>
      </c>
      <c r="BL117" s="63">
        <f t="shared" si="205"/>
        <v>229.2</v>
      </c>
      <c r="BM117" s="63">
        <f t="shared" si="206"/>
        <v>382</v>
      </c>
      <c r="BN117" s="63">
        <f t="shared" si="207"/>
        <v>764</v>
      </c>
      <c r="BO117" s="63">
        <f t="shared" si="208"/>
        <v>1146</v>
      </c>
      <c r="BP117" s="63">
        <f t="shared" si="209"/>
        <v>48.322999999999993</v>
      </c>
      <c r="BQ117" s="63">
        <f t="shared" si="210"/>
        <v>296.75647891364622</v>
      </c>
      <c r="BR117" s="63" t="str">
        <f t="shared" si="211"/>
        <v>OK</v>
      </c>
      <c r="BW117" s="70">
        <f t="shared" si="238"/>
        <v>37.02600000000001</v>
      </c>
    </row>
    <row r="118" spans="4:104">
      <c r="D118" s="178"/>
      <c r="E118" s="178"/>
      <c r="F118" s="67" t="s">
        <v>15</v>
      </c>
      <c r="G118" s="78">
        <v>220</v>
      </c>
      <c r="H118" s="78">
        <v>450</v>
      </c>
      <c r="I118" s="79">
        <f t="shared" si="228"/>
        <v>74</v>
      </c>
      <c r="J118" s="80">
        <f t="shared" si="239"/>
        <v>376</v>
      </c>
      <c r="K118" s="81"/>
      <c r="L118" s="81"/>
      <c r="M118" s="81"/>
      <c r="N118" s="82">
        <f t="shared" si="229"/>
        <v>0</v>
      </c>
      <c r="O118" s="82">
        <f t="shared" si="240"/>
        <v>0</v>
      </c>
      <c r="P118" s="82">
        <f t="shared" si="241"/>
        <v>1</v>
      </c>
      <c r="Q118" s="83" t="str">
        <f t="shared" si="230"/>
        <v>Ok</v>
      </c>
      <c r="R118" s="84">
        <f t="shared" si="231"/>
        <v>0.82719999999999994</v>
      </c>
      <c r="S118" s="131">
        <f t="shared" si="187"/>
        <v>9.999999999999998E-4</v>
      </c>
      <c r="T118" s="86">
        <v>3</v>
      </c>
      <c r="U118" s="77">
        <v>28</v>
      </c>
      <c r="V118" s="87" t="str">
        <f t="shared" si="219"/>
        <v>+</v>
      </c>
      <c r="W118" s="86">
        <v>0</v>
      </c>
      <c r="X118" s="77">
        <v>0</v>
      </c>
      <c r="Y118" s="88">
        <f t="shared" si="242"/>
        <v>18.472564803107986</v>
      </c>
      <c r="Z118" s="89" t="str">
        <f t="shared" si="220"/>
        <v>Ok</v>
      </c>
      <c r="AA118" s="80">
        <f t="shared" si="232"/>
        <v>0</v>
      </c>
      <c r="AB118" s="80">
        <f t="shared" si="243"/>
        <v>219.37094331930888</v>
      </c>
      <c r="AC118" s="89" t="str">
        <f t="shared" si="188"/>
        <v>Ok</v>
      </c>
      <c r="AD118" s="85">
        <f t="shared" si="244"/>
        <v>1.8659156366775741E-2</v>
      </c>
      <c r="AE118" s="85">
        <f t="shared" si="233"/>
        <v>1.9281988961466403E-2</v>
      </c>
      <c r="AF118" s="60" t="str">
        <f t="shared" si="245"/>
        <v>Ok</v>
      </c>
      <c r="AG118" s="77">
        <v>10</v>
      </c>
      <c r="AH118" s="76">
        <v>2</v>
      </c>
      <c r="AI118" s="76">
        <v>200</v>
      </c>
      <c r="AJ118" s="60">
        <f t="shared" si="234"/>
        <v>7.8500000000000005</v>
      </c>
      <c r="AK118" s="60" t="str">
        <f t="shared" si="235"/>
        <v>OK</v>
      </c>
      <c r="AL118" s="109">
        <f t="shared" si="236"/>
        <v>300</v>
      </c>
      <c r="AT118" s="133" t="str">
        <f t="shared" si="237"/>
        <v>no need</v>
      </c>
      <c r="AV118" s="61">
        <f t="shared" si="189"/>
        <v>421.87200000000001</v>
      </c>
      <c r="AW118" s="61" t="str">
        <f t="shared" si="190"/>
        <v>OK</v>
      </c>
      <c r="AX118" s="63" t="e">
        <f t="shared" si="191"/>
        <v>#DIV/0!</v>
      </c>
      <c r="AY118" s="63">
        <f t="shared" si="192"/>
        <v>188</v>
      </c>
      <c r="AZ118" s="63">
        <f t="shared" si="193"/>
        <v>372.33201581027674</v>
      </c>
      <c r="BA118" s="63">
        <f t="shared" si="194"/>
        <v>63.249999999999993</v>
      </c>
      <c r="BB118" s="63">
        <f t="shared" si="195"/>
        <v>235.5</v>
      </c>
      <c r="BC118" s="63" t="str">
        <f t="shared" si="196"/>
        <v>OK</v>
      </c>
      <c r="BD118" s="63">
        <f t="shared" si="197"/>
        <v>551.14725356910992</v>
      </c>
      <c r="BE118" s="63">
        <f t="shared" si="198"/>
        <v>304.23099999999999</v>
      </c>
      <c r="BF118" s="63">
        <f t="shared" si="199"/>
        <v>209.10299999999998</v>
      </c>
      <c r="BG118" s="63">
        <f t="shared" si="200"/>
        <v>296.46398660591598</v>
      </c>
      <c r="BH118" s="63">
        <f t="shared" si="201"/>
        <v>180.386</v>
      </c>
      <c r="BI118" s="63">
        <f t="shared" si="202"/>
        <v>180.386</v>
      </c>
      <c r="BJ118" s="63">
        <f t="shared" si="203"/>
        <v>180.386</v>
      </c>
      <c r="BK118" s="63" t="str">
        <f t="shared" si="204"/>
        <v>OK</v>
      </c>
      <c r="BL118" s="63">
        <f t="shared" si="205"/>
        <v>225.6</v>
      </c>
      <c r="BM118" s="63">
        <f t="shared" si="206"/>
        <v>376</v>
      </c>
      <c r="BN118" s="63">
        <f t="shared" si="207"/>
        <v>752</v>
      </c>
      <c r="BO118" s="63">
        <f t="shared" si="208"/>
        <v>1128</v>
      </c>
      <c r="BP118" s="63">
        <f t="shared" si="209"/>
        <v>47.563999999999993</v>
      </c>
      <c r="BQ118" s="63">
        <f t="shared" si="210"/>
        <v>77.321380583656236</v>
      </c>
      <c r="BR118" s="63" t="str">
        <f t="shared" si="211"/>
        <v>OK</v>
      </c>
      <c r="BW118" s="70">
        <f t="shared" si="238"/>
        <v>37.02600000000001</v>
      </c>
    </row>
    <row r="119" spans="4:104">
      <c r="D119" s="179" t="s">
        <v>90</v>
      </c>
      <c r="E119" s="179" t="s">
        <v>90</v>
      </c>
      <c r="F119" s="91" t="s">
        <v>15</v>
      </c>
      <c r="G119" s="78">
        <v>220</v>
      </c>
      <c r="H119" s="78">
        <v>450</v>
      </c>
      <c r="I119" s="92">
        <f t="shared" si="228"/>
        <v>103</v>
      </c>
      <c r="J119" s="93">
        <f t="shared" si="239"/>
        <v>347</v>
      </c>
      <c r="K119" s="94"/>
      <c r="L119" s="94"/>
      <c r="M119" s="94"/>
      <c r="N119" s="95">
        <f t="shared" si="229"/>
        <v>0</v>
      </c>
      <c r="O119" s="95">
        <f t="shared" si="240"/>
        <v>0</v>
      </c>
      <c r="P119" s="95">
        <f t="shared" si="241"/>
        <v>1</v>
      </c>
      <c r="Q119" s="96" t="str">
        <f t="shared" si="230"/>
        <v>Ok</v>
      </c>
      <c r="R119" s="97">
        <f t="shared" si="231"/>
        <v>0.76340000000000008</v>
      </c>
      <c r="S119" s="131">
        <f t="shared" si="187"/>
        <v>1.0000000000000002E-3</v>
      </c>
      <c r="T119" s="99">
        <v>3</v>
      </c>
      <c r="U119" s="100">
        <v>28</v>
      </c>
      <c r="V119" s="101" t="str">
        <f t="shared" si="219"/>
        <v>+</v>
      </c>
      <c r="W119" s="99">
        <v>3</v>
      </c>
      <c r="X119" s="100">
        <v>28</v>
      </c>
      <c r="Y119" s="102">
        <f t="shared" si="242"/>
        <v>36.945129606215971</v>
      </c>
      <c r="Z119" s="103" t="str">
        <f t="shared" si="220"/>
        <v>Ok</v>
      </c>
      <c r="AA119" s="93">
        <f t="shared" si="232"/>
        <v>330.07722813585804</v>
      </c>
      <c r="AB119" s="93">
        <f t="shared" si="243"/>
        <v>326.18466610194088</v>
      </c>
      <c r="AC119" s="89" t="str">
        <f t="shared" si="188"/>
        <v>Ok</v>
      </c>
      <c r="AD119" s="98">
        <f t="shared" si="244"/>
        <v>3.7318312733551483E-2</v>
      </c>
      <c r="AE119" s="98">
        <f t="shared" si="233"/>
        <v>1.9281988961466403E-2</v>
      </c>
      <c r="AF119" s="104" t="str">
        <f t="shared" si="245"/>
        <v>No-Ok</v>
      </c>
      <c r="AG119" s="100">
        <v>10</v>
      </c>
      <c r="AH119" s="105">
        <v>2</v>
      </c>
      <c r="AI119" s="105">
        <v>200</v>
      </c>
      <c r="AJ119" s="104">
        <f t="shared" si="234"/>
        <v>7.8500000000000005</v>
      </c>
      <c r="AK119" s="60" t="str">
        <f t="shared" si="235"/>
        <v>OK</v>
      </c>
      <c r="AL119" s="109">
        <f t="shared" si="236"/>
        <v>300</v>
      </c>
      <c r="AT119" s="133" t="str">
        <f t="shared" si="237"/>
        <v>no need</v>
      </c>
      <c r="AV119" s="61">
        <f t="shared" si="189"/>
        <v>389.334</v>
      </c>
      <c r="AW119" s="61" t="str">
        <f t="shared" si="190"/>
        <v>OK</v>
      </c>
      <c r="AX119" s="63" t="e">
        <f t="shared" si="191"/>
        <v>#DIV/0!</v>
      </c>
      <c r="AY119" s="63">
        <f t="shared" si="192"/>
        <v>173.5</v>
      </c>
      <c r="AZ119" s="63">
        <f t="shared" si="193"/>
        <v>372.33201581027674</v>
      </c>
      <c r="BA119" s="63">
        <f t="shared" si="194"/>
        <v>63.249999999999993</v>
      </c>
      <c r="BB119" s="63">
        <f t="shared" si="195"/>
        <v>235.5</v>
      </c>
      <c r="BC119" s="63" t="str">
        <f t="shared" si="196"/>
        <v>OK</v>
      </c>
      <c r="BD119" s="63">
        <f t="shared" si="197"/>
        <v>508.63855582042862</v>
      </c>
      <c r="BE119" s="63">
        <f t="shared" si="198"/>
        <v>280.76637499999998</v>
      </c>
      <c r="BF119" s="63">
        <f t="shared" si="199"/>
        <v>192.97537499999996</v>
      </c>
      <c r="BG119" s="63">
        <f t="shared" si="200"/>
        <v>273.59841317088518</v>
      </c>
      <c r="BH119" s="63">
        <f t="shared" si="201"/>
        <v>166.47324999999998</v>
      </c>
      <c r="BI119" s="63">
        <f t="shared" si="202"/>
        <v>166.47324999999998</v>
      </c>
      <c r="BJ119" s="63">
        <f t="shared" si="203"/>
        <v>166.47324999999998</v>
      </c>
      <c r="BK119" s="63" t="str">
        <f t="shared" si="204"/>
        <v>OK</v>
      </c>
      <c r="BL119" s="63">
        <f t="shared" si="205"/>
        <v>208.2</v>
      </c>
      <c r="BM119" s="63">
        <f t="shared" si="206"/>
        <v>347</v>
      </c>
      <c r="BN119" s="63">
        <f t="shared" si="207"/>
        <v>694</v>
      </c>
      <c r="BO119" s="63">
        <f t="shared" si="208"/>
        <v>1041</v>
      </c>
      <c r="BP119" s="63">
        <f t="shared" si="209"/>
        <v>43.895499999999991</v>
      </c>
      <c r="BQ119" s="63">
        <f t="shared" si="210"/>
        <v>288.57056692767077</v>
      </c>
      <c r="BR119" s="63" t="str">
        <f t="shared" si="211"/>
        <v>OK</v>
      </c>
      <c r="BW119" s="70">
        <f t="shared" si="238"/>
        <v>37.02600000000001</v>
      </c>
    </row>
    <row r="120" spans="4:104">
      <c r="D120" s="180"/>
      <c r="E120" s="180"/>
      <c r="F120" s="106" t="s">
        <v>16</v>
      </c>
      <c r="G120" s="78">
        <v>220</v>
      </c>
      <c r="H120" s="78">
        <v>450</v>
      </c>
      <c r="I120" s="92">
        <f t="shared" si="228"/>
        <v>97</v>
      </c>
      <c r="J120" s="93">
        <f t="shared" si="239"/>
        <v>353</v>
      </c>
      <c r="K120" s="94"/>
      <c r="L120" s="94"/>
      <c r="M120" s="94"/>
      <c r="N120" s="95">
        <f t="shared" si="229"/>
        <v>0</v>
      </c>
      <c r="O120" s="95">
        <f t="shared" si="240"/>
        <v>0</v>
      </c>
      <c r="P120" s="95">
        <f t="shared" si="241"/>
        <v>1</v>
      </c>
      <c r="Q120" s="96" t="str">
        <f t="shared" si="230"/>
        <v>Ok</v>
      </c>
      <c r="R120" s="97">
        <f t="shared" si="231"/>
        <v>0.77659999999999996</v>
      </c>
      <c r="S120" s="131">
        <f t="shared" si="187"/>
        <v>1E-3</v>
      </c>
      <c r="T120" s="99">
        <v>3</v>
      </c>
      <c r="U120" s="100">
        <v>22</v>
      </c>
      <c r="V120" s="101" t="str">
        <f t="shared" si="219"/>
        <v>+</v>
      </c>
      <c r="W120" s="99">
        <v>3</v>
      </c>
      <c r="X120" s="100">
        <v>22</v>
      </c>
      <c r="Y120" s="102">
        <f t="shared" si="242"/>
        <v>22.807962665061901</v>
      </c>
      <c r="Z120" s="103" t="str">
        <f t="shared" si="220"/>
        <v>Ok</v>
      </c>
      <c r="AA120" s="93">
        <f t="shared" si="232"/>
        <v>147.37765536693294</v>
      </c>
      <c r="AB120" s="93">
        <f t="shared" si="243"/>
        <v>265.55351980439576</v>
      </c>
      <c r="AC120" s="89" t="str">
        <f t="shared" si="188"/>
        <v>Ok</v>
      </c>
      <c r="AD120" s="98">
        <f t="shared" si="244"/>
        <v>2.3038346126325153E-2</v>
      </c>
      <c r="AE120" s="98">
        <f t="shared" si="233"/>
        <v>1.9281988961466403E-2</v>
      </c>
      <c r="AF120" s="104" t="str">
        <f t="shared" si="245"/>
        <v>No-Ok</v>
      </c>
      <c r="AG120" s="100">
        <v>10</v>
      </c>
      <c r="AH120" s="105">
        <v>2</v>
      </c>
      <c r="AI120" s="105">
        <v>200</v>
      </c>
      <c r="AJ120" s="104">
        <f t="shared" si="234"/>
        <v>7.8500000000000005</v>
      </c>
      <c r="AK120" s="60" t="str">
        <f t="shared" si="235"/>
        <v>OK</v>
      </c>
      <c r="AL120" s="109">
        <f t="shared" si="236"/>
        <v>300</v>
      </c>
      <c r="AT120" s="133" t="str">
        <f t="shared" si="237"/>
        <v>no need</v>
      </c>
      <c r="AV120" s="61">
        <f t="shared" si="189"/>
        <v>396.06599999999997</v>
      </c>
      <c r="AW120" s="61" t="str">
        <f t="shared" si="190"/>
        <v>OK</v>
      </c>
      <c r="AX120" s="63" t="e">
        <f t="shared" si="191"/>
        <v>#DIV/0!</v>
      </c>
      <c r="AY120" s="63">
        <f t="shared" si="192"/>
        <v>176.5</v>
      </c>
      <c r="AZ120" s="63">
        <f t="shared" si="193"/>
        <v>372.33201581027674</v>
      </c>
      <c r="BA120" s="63">
        <f t="shared" si="194"/>
        <v>63.249999999999993</v>
      </c>
      <c r="BB120" s="63">
        <f t="shared" si="195"/>
        <v>235.5</v>
      </c>
      <c r="BC120" s="63" t="str">
        <f t="shared" si="196"/>
        <v>OK</v>
      </c>
      <c r="BD120" s="63">
        <f t="shared" si="197"/>
        <v>517.4334588029144</v>
      </c>
      <c r="BE120" s="63">
        <f t="shared" si="198"/>
        <v>285.62112500000001</v>
      </c>
      <c r="BF120" s="63">
        <f t="shared" si="199"/>
        <v>196.31212499999998</v>
      </c>
      <c r="BG120" s="63">
        <f t="shared" si="200"/>
        <v>278.3292214677881</v>
      </c>
      <c r="BH120" s="63">
        <f t="shared" si="201"/>
        <v>169.35174999999998</v>
      </c>
      <c r="BI120" s="63">
        <f t="shared" si="202"/>
        <v>169.35174999999998</v>
      </c>
      <c r="BJ120" s="63">
        <f t="shared" si="203"/>
        <v>169.35174999999998</v>
      </c>
      <c r="BK120" s="63" t="str">
        <f t="shared" si="204"/>
        <v>OK</v>
      </c>
      <c r="BL120" s="63">
        <f t="shared" si="205"/>
        <v>211.79999999999998</v>
      </c>
      <c r="BM120" s="63">
        <f t="shared" si="206"/>
        <v>353</v>
      </c>
      <c r="BN120" s="63">
        <f t="shared" si="207"/>
        <v>706</v>
      </c>
      <c r="BO120" s="63">
        <f t="shared" si="208"/>
        <v>1059</v>
      </c>
      <c r="BP120" s="63">
        <f t="shared" si="209"/>
        <v>44.654499999999992</v>
      </c>
      <c r="BQ120" s="63">
        <f t="shared" si="210"/>
        <v>516.07959270692425</v>
      </c>
      <c r="BR120" s="63" t="str">
        <f t="shared" si="211"/>
        <v>OK</v>
      </c>
      <c r="BW120" s="70">
        <f t="shared" si="238"/>
        <v>37.02600000000001</v>
      </c>
    </row>
    <row r="121" spans="4:104">
      <c r="D121" s="181"/>
      <c r="E121" s="181"/>
      <c r="F121" s="91" t="s">
        <v>15</v>
      </c>
      <c r="G121" s="78">
        <v>220</v>
      </c>
      <c r="H121" s="78">
        <v>450</v>
      </c>
      <c r="I121" s="92">
        <f t="shared" si="228"/>
        <v>97</v>
      </c>
      <c r="J121" s="93">
        <f t="shared" si="239"/>
        <v>353</v>
      </c>
      <c r="K121" s="94"/>
      <c r="L121" s="94"/>
      <c r="M121" s="94"/>
      <c r="N121" s="95">
        <f t="shared" si="229"/>
        <v>0</v>
      </c>
      <c r="O121" s="95">
        <f t="shared" si="240"/>
        <v>0</v>
      </c>
      <c r="P121" s="95">
        <f t="shared" si="241"/>
        <v>1</v>
      </c>
      <c r="Q121" s="96" t="str">
        <f t="shared" si="230"/>
        <v>Ok</v>
      </c>
      <c r="R121" s="97">
        <f t="shared" si="231"/>
        <v>0.77659999999999996</v>
      </c>
      <c r="S121" s="131">
        <f t="shared" si="187"/>
        <v>1E-3</v>
      </c>
      <c r="T121" s="99">
        <v>3</v>
      </c>
      <c r="U121" s="100">
        <v>22</v>
      </c>
      <c r="V121" s="101" t="str">
        <f t="shared" si="219"/>
        <v>+</v>
      </c>
      <c r="W121" s="99">
        <v>3</v>
      </c>
      <c r="X121" s="100">
        <v>22</v>
      </c>
      <c r="Y121" s="102">
        <f t="shared" si="242"/>
        <v>22.807962665061901</v>
      </c>
      <c r="Z121" s="103" t="str">
        <f t="shared" si="220"/>
        <v>Ok</v>
      </c>
      <c r="AA121" s="93">
        <f t="shared" si="232"/>
        <v>147.37765536693294</v>
      </c>
      <c r="AB121" s="93">
        <f t="shared" si="243"/>
        <v>265.55351980439576</v>
      </c>
      <c r="AC121" s="89" t="str">
        <f t="shared" si="188"/>
        <v>Ok</v>
      </c>
      <c r="AD121" s="98">
        <f t="shared" si="244"/>
        <v>2.3038346126325153E-2</v>
      </c>
      <c r="AE121" s="98">
        <f t="shared" si="233"/>
        <v>1.9281988961466403E-2</v>
      </c>
      <c r="AF121" s="104" t="str">
        <f t="shared" si="245"/>
        <v>No-Ok</v>
      </c>
      <c r="AG121" s="100">
        <v>10</v>
      </c>
      <c r="AH121" s="105">
        <v>2</v>
      </c>
      <c r="AI121" s="105">
        <v>200</v>
      </c>
      <c r="AJ121" s="104">
        <f t="shared" si="234"/>
        <v>7.8500000000000005</v>
      </c>
      <c r="AK121" s="60" t="str">
        <f t="shared" si="235"/>
        <v>OK</v>
      </c>
      <c r="AL121" s="109">
        <f t="shared" si="236"/>
        <v>300</v>
      </c>
      <c r="AT121" s="133" t="str">
        <f t="shared" si="237"/>
        <v>no need</v>
      </c>
      <c r="AV121" s="61">
        <f t="shared" si="189"/>
        <v>396.06599999999997</v>
      </c>
      <c r="AW121" s="61" t="str">
        <f t="shared" si="190"/>
        <v>OK</v>
      </c>
      <c r="AX121" s="63" t="e">
        <f t="shared" si="191"/>
        <v>#DIV/0!</v>
      </c>
      <c r="AY121" s="63">
        <f t="shared" si="192"/>
        <v>176.5</v>
      </c>
      <c r="AZ121" s="63">
        <f t="shared" si="193"/>
        <v>372.33201581027674</v>
      </c>
      <c r="BA121" s="63">
        <f t="shared" si="194"/>
        <v>63.249999999999993</v>
      </c>
      <c r="BB121" s="63">
        <f t="shared" si="195"/>
        <v>235.5</v>
      </c>
      <c r="BC121" s="63" t="str">
        <f t="shared" si="196"/>
        <v>OK</v>
      </c>
      <c r="BD121" s="63">
        <f t="shared" si="197"/>
        <v>517.4334588029144</v>
      </c>
      <c r="BE121" s="63">
        <f t="shared" si="198"/>
        <v>285.62112500000001</v>
      </c>
      <c r="BF121" s="63">
        <f t="shared" si="199"/>
        <v>196.31212499999998</v>
      </c>
      <c r="BG121" s="63">
        <f t="shared" si="200"/>
        <v>278.3292214677881</v>
      </c>
      <c r="BH121" s="63">
        <f t="shared" si="201"/>
        <v>169.35174999999998</v>
      </c>
      <c r="BI121" s="63">
        <f t="shared" si="202"/>
        <v>169.35174999999998</v>
      </c>
      <c r="BJ121" s="63">
        <f t="shared" si="203"/>
        <v>169.35174999999998</v>
      </c>
      <c r="BK121" s="63" t="str">
        <f t="shared" si="204"/>
        <v>OK</v>
      </c>
      <c r="BL121" s="63">
        <f t="shared" si="205"/>
        <v>211.79999999999998</v>
      </c>
      <c r="BM121" s="63">
        <f t="shared" si="206"/>
        <v>353</v>
      </c>
      <c r="BN121" s="63">
        <f t="shared" si="207"/>
        <v>706</v>
      </c>
      <c r="BO121" s="63">
        <f t="shared" si="208"/>
        <v>1059</v>
      </c>
      <c r="BP121" s="63">
        <f t="shared" si="209"/>
        <v>44.654499999999992</v>
      </c>
      <c r="BQ121" s="63">
        <f t="shared" si="210"/>
        <v>329.87761338302221</v>
      </c>
      <c r="BR121" s="63" t="str">
        <f t="shared" si="211"/>
        <v>OK</v>
      </c>
      <c r="BW121" s="70">
        <f t="shared" si="238"/>
        <v>37.02600000000001</v>
      </c>
    </row>
    <row r="122" spans="4:104">
      <c r="D122" s="176" t="s">
        <v>90</v>
      </c>
      <c r="E122" s="176" t="s">
        <v>90</v>
      </c>
      <c r="F122" s="67" t="s">
        <v>15</v>
      </c>
      <c r="G122" s="78">
        <v>220</v>
      </c>
      <c r="H122" s="78">
        <v>450</v>
      </c>
      <c r="I122" s="79">
        <f t="shared" si="228"/>
        <v>97</v>
      </c>
      <c r="J122" s="80">
        <f t="shared" si="239"/>
        <v>353</v>
      </c>
      <c r="K122" s="81"/>
      <c r="L122" s="81"/>
      <c r="M122" s="81"/>
      <c r="N122" s="82">
        <f t="shared" si="229"/>
        <v>0</v>
      </c>
      <c r="O122" s="82">
        <f t="shared" si="240"/>
        <v>0</v>
      </c>
      <c r="P122" s="82">
        <f t="shared" si="241"/>
        <v>1</v>
      </c>
      <c r="Q122" s="83" t="str">
        <f t="shared" si="230"/>
        <v>Ok</v>
      </c>
      <c r="R122" s="84">
        <f t="shared" si="231"/>
        <v>0.77659999999999996</v>
      </c>
      <c r="S122" s="131">
        <f t="shared" si="187"/>
        <v>1E-3</v>
      </c>
      <c r="T122" s="86">
        <v>3</v>
      </c>
      <c r="U122" s="77">
        <v>22</v>
      </c>
      <c r="V122" s="87" t="str">
        <f t="shared" si="219"/>
        <v>+</v>
      </c>
      <c r="W122" s="86">
        <v>3</v>
      </c>
      <c r="X122" s="77">
        <v>22</v>
      </c>
      <c r="Y122" s="88">
        <f t="shared" si="242"/>
        <v>22.807962665061901</v>
      </c>
      <c r="Z122" s="89" t="str">
        <f t="shared" si="220"/>
        <v>Ok</v>
      </c>
      <c r="AA122" s="80">
        <f t="shared" si="232"/>
        <v>104.44325576623555</v>
      </c>
      <c r="AB122" s="80">
        <f t="shared" si="243"/>
        <v>267.80980644614226</v>
      </c>
      <c r="AC122" s="89" t="str">
        <f t="shared" si="188"/>
        <v>Ok</v>
      </c>
      <c r="AD122" s="85">
        <f t="shared" si="244"/>
        <v>2.3038346126325153E-2</v>
      </c>
      <c r="AE122" s="85">
        <f t="shared" si="233"/>
        <v>1.9281988961466403E-2</v>
      </c>
      <c r="AF122" s="60" t="str">
        <f t="shared" si="245"/>
        <v>No-Ok</v>
      </c>
      <c r="AG122" s="77">
        <v>10</v>
      </c>
      <c r="AH122" s="76">
        <v>2</v>
      </c>
      <c r="AI122" s="76">
        <v>200</v>
      </c>
      <c r="AJ122" s="60">
        <f t="shared" si="234"/>
        <v>7.8500000000000005</v>
      </c>
      <c r="AK122" s="60" t="str">
        <f t="shared" si="235"/>
        <v>OK</v>
      </c>
      <c r="AL122" s="109">
        <f t="shared" si="236"/>
        <v>300</v>
      </c>
      <c r="AT122" s="133" t="str">
        <f t="shared" si="237"/>
        <v>no need</v>
      </c>
      <c r="AV122" s="61">
        <f t="shared" si="189"/>
        <v>396.06599999999997</v>
      </c>
      <c r="AW122" s="61" t="str">
        <f t="shared" si="190"/>
        <v>OK</v>
      </c>
      <c r="AX122" s="63" t="e">
        <f t="shared" si="191"/>
        <v>#DIV/0!</v>
      </c>
      <c r="AY122" s="63">
        <f t="shared" si="192"/>
        <v>176.5</v>
      </c>
      <c r="AZ122" s="63">
        <f t="shared" si="193"/>
        <v>372.33201581027674</v>
      </c>
      <c r="BA122" s="63">
        <f t="shared" si="194"/>
        <v>63.249999999999993</v>
      </c>
      <c r="BB122" s="63">
        <f t="shared" si="195"/>
        <v>235.5</v>
      </c>
      <c r="BC122" s="63" t="str">
        <f t="shared" si="196"/>
        <v>OK</v>
      </c>
      <c r="BD122" s="63">
        <f t="shared" si="197"/>
        <v>517.4334588029144</v>
      </c>
      <c r="BE122" s="63">
        <f t="shared" si="198"/>
        <v>285.62112500000001</v>
      </c>
      <c r="BF122" s="63">
        <f t="shared" si="199"/>
        <v>196.31212499999998</v>
      </c>
      <c r="BG122" s="63">
        <f t="shared" si="200"/>
        <v>278.3292214677881</v>
      </c>
      <c r="BH122" s="63">
        <f t="shared" si="201"/>
        <v>169.35174999999998</v>
      </c>
      <c r="BI122" s="63">
        <f t="shared" si="202"/>
        <v>169.35174999999998</v>
      </c>
      <c r="BJ122" s="63">
        <f t="shared" si="203"/>
        <v>169.35174999999998</v>
      </c>
      <c r="BK122" s="63" t="str">
        <f t="shared" si="204"/>
        <v>OK</v>
      </c>
      <c r="BL122" s="63">
        <f t="shared" si="205"/>
        <v>211.79999999999998</v>
      </c>
      <c r="BM122" s="63">
        <f t="shared" si="206"/>
        <v>353</v>
      </c>
      <c r="BN122" s="63">
        <f t="shared" si="207"/>
        <v>706</v>
      </c>
      <c r="BO122" s="63">
        <f t="shared" si="208"/>
        <v>1059</v>
      </c>
      <c r="BP122" s="63">
        <f t="shared" si="209"/>
        <v>44.654499999999992</v>
      </c>
      <c r="BQ122" s="63">
        <f t="shared" si="210"/>
        <v>329.87761338302221</v>
      </c>
      <c r="BR122" s="63" t="str">
        <f t="shared" si="211"/>
        <v>OK</v>
      </c>
      <c r="BW122" s="70">
        <f t="shared" si="238"/>
        <v>37.02600000000001</v>
      </c>
    </row>
    <row r="123" spans="4:104">
      <c r="D123" s="177"/>
      <c r="E123" s="177"/>
      <c r="F123" s="68" t="s">
        <v>16</v>
      </c>
      <c r="G123" s="78">
        <v>220</v>
      </c>
      <c r="H123" s="78">
        <v>450</v>
      </c>
      <c r="I123" s="79">
        <f t="shared" si="228"/>
        <v>100</v>
      </c>
      <c r="J123" s="80">
        <f t="shared" si="239"/>
        <v>350</v>
      </c>
      <c r="K123" s="81"/>
      <c r="L123" s="81"/>
      <c r="M123" s="81"/>
      <c r="N123" s="82">
        <f t="shared" si="229"/>
        <v>0</v>
      </c>
      <c r="O123" s="82">
        <f t="shared" si="240"/>
        <v>0</v>
      </c>
      <c r="P123" s="82">
        <f t="shared" si="241"/>
        <v>1</v>
      </c>
      <c r="Q123" s="83" t="str">
        <f t="shared" si="230"/>
        <v>Ok</v>
      </c>
      <c r="R123" s="84">
        <f t="shared" si="231"/>
        <v>0.77</v>
      </c>
      <c r="S123" s="131">
        <f t="shared" si="187"/>
        <v>1E-3</v>
      </c>
      <c r="T123" s="86">
        <v>3</v>
      </c>
      <c r="U123" s="77">
        <v>25</v>
      </c>
      <c r="V123" s="87" t="str">
        <f t="shared" si="219"/>
        <v>+</v>
      </c>
      <c r="W123" s="86">
        <v>3</v>
      </c>
      <c r="X123" s="77">
        <v>25</v>
      </c>
      <c r="Y123" s="88">
        <f t="shared" si="242"/>
        <v>29.45243112740431</v>
      </c>
      <c r="Z123" s="89" t="str">
        <f t="shared" si="220"/>
        <v>Ok</v>
      </c>
      <c r="AA123" s="80">
        <f t="shared" si="232"/>
        <v>141.89666818386522</v>
      </c>
      <c r="AB123" s="80">
        <f t="shared" si="243"/>
        <v>331.76029705905461</v>
      </c>
      <c r="AC123" s="89" t="str">
        <f t="shared" si="188"/>
        <v>Ok</v>
      </c>
      <c r="AD123" s="85">
        <f t="shared" si="244"/>
        <v>2.9749930431721527E-2</v>
      </c>
      <c r="AE123" s="85">
        <f t="shared" si="233"/>
        <v>1.9281988961466403E-2</v>
      </c>
      <c r="AF123" s="60" t="str">
        <f t="shared" si="245"/>
        <v>No-Ok</v>
      </c>
      <c r="AG123" s="77">
        <v>10</v>
      </c>
      <c r="AH123" s="76">
        <v>2</v>
      </c>
      <c r="AI123" s="76">
        <v>200</v>
      </c>
      <c r="AJ123" s="60">
        <f t="shared" si="234"/>
        <v>7.8500000000000005</v>
      </c>
      <c r="AK123" s="60" t="str">
        <f t="shared" si="235"/>
        <v>OK</v>
      </c>
      <c r="AL123" s="109">
        <f t="shared" si="236"/>
        <v>300</v>
      </c>
      <c r="AT123" s="133" t="str">
        <f t="shared" si="237"/>
        <v>no need</v>
      </c>
      <c r="AV123" s="61">
        <f t="shared" si="189"/>
        <v>392.7</v>
      </c>
      <c r="AW123" s="61" t="str">
        <f t="shared" si="190"/>
        <v>OK</v>
      </c>
      <c r="AX123" s="63" t="e">
        <f t="shared" si="191"/>
        <v>#DIV/0!</v>
      </c>
      <c r="AY123" s="63">
        <f t="shared" si="192"/>
        <v>175</v>
      </c>
      <c r="AZ123" s="63">
        <f t="shared" si="193"/>
        <v>372.33201581027674</v>
      </c>
      <c r="BA123" s="63">
        <f t="shared" si="194"/>
        <v>63.249999999999993</v>
      </c>
      <c r="BB123" s="63">
        <f t="shared" si="195"/>
        <v>235.5</v>
      </c>
      <c r="BC123" s="63" t="str">
        <f t="shared" si="196"/>
        <v>OK</v>
      </c>
      <c r="BD123" s="63">
        <f t="shared" si="197"/>
        <v>513.03600731167148</v>
      </c>
      <c r="BE123" s="63">
        <f t="shared" si="198"/>
        <v>283.19375000000002</v>
      </c>
      <c r="BF123" s="63">
        <f t="shared" si="199"/>
        <v>194.64374999999995</v>
      </c>
      <c r="BG123" s="63">
        <f t="shared" si="200"/>
        <v>275.96381731933667</v>
      </c>
      <c r="BH123" s="63">
        <f t="shared" si="201"/>
        <v>167.91249999999999</v>
      </c>
      <c r="BI123" s="63">
        <f t="shared" si="202"/>
        <v>167.91249999999999</v>
      </c>
      <c r="BJ123" s="63">
        <f t="shared" si="203"/>
        <v>167.91249999999999</v>
      </c>
      <c r="BK123" s="63" t="str">
        <f t="shared" si="204"/>
        <v>OK</v>
      </c>
      <c r="BL123" s="63">
        <f t="shared" si="205"/>
        <v>210</v>
      </c>
      <c r="BM123" s="63">
        <f t="shared" si="206"/>
        <v>350</v>
      </c>
      <c r="BN123" s="63">
        <f t="shared" si="207"/>
        <v>700</v>
      </c>
      <c r="BO123" s="63">
        <f t="shared" si="208"/>
        <v>1050</v>
      </c>
      <c r="BP123" s="63">
        <f t="shared" si="209"/>
        <v>44.274999999999991</v>
      </c>
      <c r="BQ123" s="63">
        <f t="shared" si="210"/>
        <v>329.87761338302221</v>
      </c>
      <c r="BR123" s="63" t="str">
        <f t="shared" si="211"/>
        <v>OK</v>
      </c>
      <c r="BW123" s="70">
        <f t="shared" si="238"/>
        <v>37.02600000000001</v>
      </c>
    </row>
    <row r="124" spans="4:104">
      <c r="D124" s="178"/>
      <c r="E124" s="178"/>
      <c r="F124" s="67" t="s">
        <v>15</v>
      </c>
      <c r="G124" s="78">
        <v>220</v>
      </c>
      <c r="H124" s="78">
        <v>450</v>
      </c>
      <c r="I124" s="79">
        <f t="shared" si="228"/>
        <v>103</v>
      </c>
      <c r="J124" s="80">
        <f t="shared" si="239"/>
        <v>347</v>
      </c>
      <c r="K124" s="81"/>
      <c r="L124" s="81"/>
      <c r="M124" s="81"/>
      <c r="N124" s="82">
        <f t="shared" si="229"/>
        <v>0</v>
      </c>
      <c r="O124" s="82">
        <f t="shared" si="240"/>
        <v>0</v>
      </c>
      <c r="P124" s="82">
        <f t="shared" si="241"/>
        <v>1</v>
      </c>
      <c r="Q124" s="83" t="str">
        <f t="shared" si="230"/>
        <v>Ok</v>
      </c>
      <c r="R124" s="84">
        <f t="shared" si="231"/>
        <v>0.76340000000000008</v>
      </c>
      <c r="S124" s="131">
        <f t="shared" si="187"/>
        <v>1.0000000000000002E-3</v>
      </c>
      <c r="T124" s="86">
        <v>3</v>
      </c>
      <c r="U124" s="77">
        <v>28</v>
      </c>
      <c r="V124" s="87" t="str">
        <f t="shared" si="219"/>
        <v>+</v>
      </c>
      <c r="W124" s="86">
        <v>3</v>
      </c>
      <c r="X124" s="77">
        <v>28</v>
      </c>
      <c r="Y124" s="88">
        <f t="shared" si="242"/>
        <v>36.945129606215971</v>
      </c>
      <c r="Z124" s="89" t="str">
        <f t="shared" si="220"/>
        <v>Ok</v>
      </c>
      <c r="AA124" s="80">
        <f t="shared" si="232"/>
        <v>330.07722813585804</v>
      </c>
      <c r="AB124" s="80">
        <f t="shared" si="243"/>
        <v>326.18466610194088</v>
      </c>
      <c r="AC124" s="89" t="str">
        <f t="shared" si="188"/>
        <v>Ok</v>
      </c>
      <c r="AD124" s="85">
        <f t="shared" si="244"/>
        <v>3.7318312733551483E-2</v>
      </c>
      <c r="AE124" s="85">
        <f t="shared" si="233"/>
        <v>1.9281988961466403E-2</v>
      </c>
      <c r="AF124" s="60" t="str">
        <f t="shared" si="245"/>
        <v>No-Ok</v>
      </c>
      <c r="AG124" s="77">
        <v>10</v>
      </c>
      <c r="AH124" s="76">
        <v>2</v>
      </c>
      <c r="AI124" s="76">
        <v>200</v>
      </c>
      <c r="AJ124" s="60">
        <f t="shared" si="234"/>
        <v>7.8500000000000005</v>
      </c>
      <c r="AK124" s="60" t="str">
        <f t="shared" si="235"/>
        <v>OK</v>
      </c>
      <c r="AL124" s="109">
        <f t="shared" si="236"/>
        <v>300</v>
      </c>
      <c r="AT124" s="133" t="str">
        <f t="shared" si="237"/>
        <v>no need</v>
      </c>
      <c r="AV124" s="61">
        <f t="shared" si="189"/>
        <v>389.334</v>
      </c>
      <c r="AW124" s="61" t="str">
        <f t="shared" si="190"/>
        <v>OK</v>
      </c>
      <c r="AX124" s="63" t="e">
        <f t="shared" si="191"/>
        <v>#DIV/0!</v>
      </c>
      <c r="AY124" s="63">
        <f t="shared" si="192"/>
        <v>173.5</v>
      </c>
      <c r="AZ124" s="63">
        <f t="shared" si="193"/>
        <v>372.33201581027674</v>
      </c>
      <c r="BA124" s="63">
        <f t="shared" si="194"/>
        <v>63.249999999999993</v>
      </c>
      <c r="BB124" s="63">
        <f t="shared" si="195"/>
        <v>235.5</v>
      </c>
      <c r="BC124" s="63" t="str">
        <f t="shared" si="196"/>
        <v>OK</v>
      </c>
      <c r="BD124" s="63">
        <f t="shared" si="197"/>
        <v>508.63855582042862</v>
      </c>
      <c r="BE124" s="63">
        <f t="shared" si="198"/>
        <v>280.76637499999998</v>
      </c>
      <c r="BF124" s="63">
        <f t="shared" si="199"/>
        <v>192.97537499999996</v>
      </c>
      <c r="BG124" s="63">
        <f t="shared" si="200"/>
        <v>273.59841317088518</v>
      </c>
      <c r="BH124" s="63">
        <f t="shared" si="201"/>
        <v>166.47324999999998</v>
      </c>
      <c r="BI124" s="63">
        <f t="shared" si="202"/>
        <v>166.47324999999998</v>
      </c>
      <c r="BJ124" s="63">
        <f t="shared" si="203"/>
        <v>166.47324999999998</v>
      </c>
      <c r="BK124" s="63" t="str">
        <f t="shared" si="204"/>
        <v>OK</v>
      </c>
      <c r="BL124" s="63">
        <f t="shared" si="205"/>
        <v>208.2</v>
      </c>
      <c r="BM124" s="63">
        <f t="shared" si="206"/>
        <v>347</v>
      </c>
      <c r="BN124" s="63">
        <f t="shared" si="207"/>
        <v>694</v>
      </c>
      <c r="BO124" s="63">
        <f t="shared" si="208"/>
        <v>1041</v>
      </c>
      <c r="BP124" s="63">
        <f t="shared" si="209"/>
        <v>43.895499999999991</v>
      </c>
      <c r="BQ124" s="63">
        <f t="shared" si="210"/>
        <v>417.99631252325759</v>
      </c>
      <c r="BR124" s="63" t="str">
        <f t="shared" si="211"/>
        <v>OK</v>
      </c>
      <c r="BW124" s="70">
        <f t="shared" si="238"/>
        <v>37.02600000000001</v>
      </c>
    </row>
    <row r="125" spans="4:104">
      <c r="D125" s="179" t="s">
        <v>90</v>
      </c>
      <c r="E125" s="179" t="s">
        <v>90</v>
      </c>
      <c r="F125" s="91" t="s">
        <v>15</v>
      </c>
      <c r="G125" s="78">
        <v>220</v>
      </c>
      <c r="H125" s="78">
        <v>450</v>
      </c>
      <c r="I125" s="92">
        <f t="shared" si="228"/>
        <v>97</v>
      </c>
      <c r="J125" s="93">
        <f t="shared" si="239"/>
        <v>353</v>
      </c>
      <c r="K125" s="94"/>
      <c r="L125" s="94"/>
      <c r="M125" s="94"/>
      <c r="N125" s="95">
        <f t="shared" si="229"/>
        <v>0</v>
      </c>
      <c r="O125" s="95">
        <f t="shared" si="240"/>
        <v>0</v>
      </c>
      <c r="P125" s="95">
        <f t="shared" si="241"/>
        <v>1</v>
      </c>
      <c r="Q125" s="96" t="str">
        <f t="shared" si="230"/>
        <v>Ok</v>
      </c>
      <c r="R125" s="97">
        <f t="shared" si="231"/>
        <v>0.77659999999999996</v>
      </c>
      <c r="S125" s="131">
        <f t="shared" si="187"/>
        <v>1E-3</v>
      </c>
      <c r="T125" s="99">
        <v>3</v>
      </c>
      <c r="U125" s="100">
        <v>22</v>
      </c>
      <c r="V125" s="101" t="str">
        <f t="shared" si="219"/>
        <v>+</v>
      </c>
      <c r="W125" s="99">
        <v>3</v>
      </c>
      <c r="X125" s="100">
        <v>22</v>
      </c>
      <c r="Y125" s="102">
        <f t="shared" si="242"/>
        <v>22.807962665061901</v>
      </c>
      <c r="Z125" s="103" t="str">
        <f t="shared" si="220"/>
        <v>Ok</v>
      </c>
      <c r="AA125" s="93">
        <f t="shared" si="232"/>
        <v>104.44325576623555</v>
      </c>
      <c r="AB125" s="93">
        <f t="shared" si="243"/>
        <v>267.80980644614226</v>
      </c>
      <c r="AC125" s="89" t="str">
        <f t="shared" si="188"/>
        <v>Ok</v>
      </c>
      <c r="AD125" s="98">
        <f t="shared" si="244"/>
        <v>2.3038346126325153E-2</v>
      </c>
      <c r="AE125" s="98">
        <f t="shared" si="233"/>
        <v>1.9281988961466403E-2</v>
      </c>
      <c r="AF125" s="104" t="str">
        <f t="shared" si="245"/>
        <v>No-Ok</v>
      </c>
      <c r="AG125" s="100">
        <v>10</v>
      </c>
      <c r="AH125" s="105">
        <v>2</v>
      </c>
      <c r="AI125" s="105">
        <v>200</v>
      </c>
      <c r="AJ125" s="104">
        <f t="shared" si="234"/>
        <v>7.8500000000000005</v>
      </c>
      <c r="AK125" s="60" t="str">
        <f t="shared" si="235"/>
        <v>OK</v>
      </c>
      <c r="AL125" s="109">
        <f t="shared" si="236"/>
        <v>300</v>
      </c>
      <c r="AT125" s="133" t="str">
        <f t="shared" si="237"/>
        <v>no need</v>
      </c>
      <c r="AV125" s="61">
        <f t="shared" si="189"/>
        <v>396.06599999999997</v>
      </c>
      <c r="AW125" s="61" t="str">
        <f t="shared" si="190"/>
        <v>OK</v>
      </c>
      <c r="AX125" s="63" t="e">
        <f t="shared" si="191"/>
        <v>#DIV/0!</v>
      </c>
      <c r="AY125" s="63">
        <f t="shared" si="192"/>
        <v>176.5</v>
      </c>
      <c r="AZ125" s="63">
        <f t="shared" si="193"/>
        <v>372.33201581027674</v>
      </c>
      <c r="BA125" s="63">
        <f t="shared" si="194"/>
        <v>63.249999999999993</v>
      </c>
      <c r="BB125" s="63">
        <f t="shared" si="195"/>
        <v>235.5</v>
      </c>
      <c r="BC125" s="63" t="str">
        <f t="shared" si="196"/>
        <v>OK</v>
      </c>
      <c r="BD125" s="63">
        <f t="shared" si="197"/>
        <v>517.4334588029144</v>
      </c>
      <c r="BE125" s="63">
        <f t="shared" si="198"/>
        <v>285.62112500000001</v>
      </c>
      <c r="BF125" s="63">
        <f t="shared" si="199"/>
        <v>196.31212499999998</v>
      </c>
      <c r="BG125" s="63">
        <f t="shared" si="200"/>
        <v>278.3292214677881</v>
      </c>
      <c r="BH125" s="63">
        <f t="shared" si="201"/>
        <v>169.35174999999998</v>
      </c>
      <c r="BI125" s="63">
        <f t="shared" si="202"/>
        <v>169.35174999999998</v>
      </c>
      <c r="BJ125" s="63">
        <f t="shared" si="203"/>
        <v>169.35174999999998</v>
      </c>
      <c r="BK125" s="63" t="str">
        <f t="shared" si="204"/>
        <v>OK</v>
      </c>
      <c r="BL125" s="63">
        <f t="shared" si="205"/>
        <v>211.79999999999998</v>
      </c>
      <c r="BM125" s="63">
        <f t="shared" si="206"/>
        <v>353</v>
      </c>
      <c r="BN125" s="63">
        <f t="shared" si="207"/>
        <v>706</v>
      </c>
      <c r="BO125" s="63">
        <f t="shared" si="208"/>
        <v>1059</v>
      </c>
      <c r="BP125" s="63">
        <f t="shared" si="209"/>
        <v>44.654499999999992</v>
      </c>
      <c r="BQ125" s="63">
        <f t="shared" si="210"/>
        <v>516.07959270692425</v>
      </c>
      <c r="BR125" s="63" t="str">
        <f t="shared" si="211"/>
        <v>OK</v>
      </c>
      <c r="BW125" s="70">
        <f t="shared" si="238"/>
        <v>37.02600000000001</v>
      </c>
    </row>
    <row r="126" spans="4:104">
      <c r="D126" s="180"/>
      <c r="E126" s="180"/>
      <c r="F126" s="106" t="s">
        <v>16</v>
      </c>
      <c r="G126" s="78">
        <v>220</v>
      </c>
      <c r="H126" s="78">
        <v>450</v>
      </c>
      <c r="I126" s="92">
        <f t="shared" si="228"/>
        <v>100</v>
      </c>
      <c r="J126" s="93">
        <f t="shared" si="239"/>
        <v>350</v>
      </c>
      <c r="K126" s="94"/>
      <c r="L126" s="94"/>
      <c r="M126" s="94"/>
      <c r="N126" s="95">
        <f t="shared" si="229"/>
        <v>0</v>
      </c>
      <c r="O126" s="95">
        <f t="shared" si="240"/>
        <v>0</v>
      </c>
      <c r="P126" s="95">
        <f t="shared" si="241"/>
        <v>1</v>
      </c>
      <c r="Q126" s="96" t="str">
        <f t="shared" si="230"/>
        <v>Ok</v>
      </c>
      <c r="R126" s="97">
        <f t="shared" si="231"/>
        <v>0.77</v>
      </c>
      <c r="S126" s="131">
        <f t="shared" si="187"/>
        <v>1E-3</v>
      </c>
      <c r="T126" s="99">
        <v>3</v>
      </c>
      <c r="U126" s="100">
        <v>25</v>
      </c>
      <c r="V126" s="101" t="str">
        <f t="shared" si="219"/>
        <v>+</v>
      </c>
      <c r="W126" s="99">
        <v>3</v>
      </c>
      <c r="X126" s="100">
        <v>25</v>
      </c>
      <c r="Y126" s="102">
        <f t="shared" si="242"/>
        <v>29.45243112740431</v>
      </c>
      <c r="Z126" s="103" t="str">
        <f t="shared" si="220"/>
        <v>Ok</v>
      </c>
      <c r="AA126" s="93">
        <f t="shared" si="232"/>
        <v>141.89666818386522</v>
      </c>
      <c r="AB126" s="93">
        <f t="shared" si="243"/>
        <v>331.76029705905461</v>
      </c>
      <c r="AC126" s="89" t="str">
        <f t="shared" si="188"/>
        <v>Ok</v>
      </c>
      <c r="AD126" s="98">
        <f t="shared" si="244"/>
        <v>2.9749930431721527E-2</v>
      </c>
      <c r="AE126" s="98">
        <f t="shared" si="233"/>
        <v>1.9281988961466403E-2</v>
      </c>
      <c r="AF126" s="104" t="str">
        <f t="shared" si="245"/>
        <v>No-Ok</v>
      </c>
      <c r="AG126" s="100">
        <v>10</v>
      </c>
      <c r="AH126" s="105">
        <v>2</v>
      </c>
      <c r="AI126" s="105">
        <v>200</v>
      </c>
      <c r="AJ126" s="104">
        <f t="shared" si="234"/>
        <v>7.8500000000000005</v>
      </c>
      <c r="AK126" s="60" t="str">
        <f t="shared" si="235"/>
        <v>OK</v>
      </c>
      <c r="AL126" s="109">
        <f t="shared" si="236"/>
        <v>300</v>
      </c>
      <c r="AT126" s="133" t="str">
        <f t="shared" si="237"/>
        <v>no need</v>
      </c>
      <c r="AV126" s="61">
        <f t="shared" si="189"/>
        <v>392.7</v>
      </c>
      <c r="AW126" s="61" t="str">
        <f t="shared" si="190"/>
        <v>OK</v>
      </c>
      <c r="AX126" s="63" t="e">
        <f t="shared" si="191"/>
        <v>#DIV/0!</v>
      </c>
      <c r="AY126" s="63">
        <f t="shared" si="192"/>
        <v>175</v>
      </c>
      <c r="AZ126" s="63">
        <f t="shared" si="193"/>
        <v>372.33201581027674</v>
      </c>
      <c r="BA126" s="63">
        <f t="shared" si="194"/>
        <v>63.249999999999993</v>
      </c>
      <c r="BB126" s="63">
        <f t="shared" si="195"/>
        <v>235.5</v>
      </c>
      <c r="BC126" s="63" t="str">
        <f t="shared" si="196"/>
        <v>OK</v>
      </c>
      <c r="BD126" s="63">
        <f t="shared" si="197"/>
        <v>513.03600731167148</v>
      </c>
      <c r="BE126" s="63">
        <f t="shared" si="198"/>
        <v>283.19375000000002</v>
      </c>
      <c r="BF126" s="63">
        <f t="shared" si="199"/>
        <v>194.64374999999995</v>
      </c>
      <c r="BG126" s="63">
        <f t="shared" si="200"/>
        <v>275.96381731933667</v>
      </c>
      <c r="BH126" s="63">
        <f t="shared" si="201"/>
        <v>167.91249999999999</v>
      </c>
      <c r="BI126" s="63">
        <f t="shared" si="202"/>
        <v>167.91249999999999</v>
      </c>
      <c r="BJ126" s="63">
        <f t="shared" si="203"/>
        <v>167.91249999999999</v>
      </c>
      <c r="BK126" s="63" t="str">
        <f t="shared" si="204"/>
        <v>OK</v>
      </c>
      <c r="BL126" s="63">
        <f t="shared" si="205"/>
        <v>210</v>
      </c>
      <c r="BM126" s="63">
        <f t="shared" si="206"/>
        <v>350</v>
      </c>
      <c r="BN126" s="63">
        <f t="shared" si="207"/>
        <v>700</v>
      </c>
      <c r="BO126" s="63">
        <f t="shared" si="208"/>
        <v>1050</v>
      </c>
      <c r="BP126" s="63">
        <f t="shared" si="209"/>
        <v>44.274999999999991</v>
      </c>
      <c r="BQ126" s="63">
        <f t="shared" si="210"/>
        <v>329.87761338302221</v>
      </c>
      <c r="BR126" s="63" t="str">
        <f t="shared" si="211"/>
        <v>OK</v>
      </c>
      <c r="BW126" s="70">
        <f t="shared" si="238"/>
        <v>37.02600000000001</v>
      </c>
    </row>
    <row r="127" spans="4:104">
      <c r="D127" s="181"/>
      <c r="E127" s="181"/>
      <c r="F127" s="91" t="s">
        <v>15</v>
      </c>
      <c r="G127" s="78">
        <v>220</v>
      </c>
      <c r="H127" s="78">
        <v>450</v>
      </c>
      <c r="I127" s="92">
        <f t="shared" si="228"/>
        <v>103</v>
      </c>
      <c r="J127" s="93">
        <f t="shared" si="239"/>
        <v>347</v>
      </c>
      <c r="K127" s="94"/>
      <c r="L127" s="94"/>
      <c r="M127" s="94"/>
      <c r="N127" s="95">
        <f t="shared" si="229"/>
        <v>0</v>
      </c>
      <c r="O127" s="95">
        <f t="shared" si="240"/>
        <v>0</v>
      </c>
      <c r="P127" s="95">
        <f t="shared" si="241"/>
        <v>1</v>
      </c>
      <c r="Q127" s="96" t="str">
        <f t="shared" si="230"/>
        <v>Ok</v>
      </c>
      <c r="R127" s="97">
        <f t="shared" si="231"/>
        <v>0.76340000000000008</v>
      </c>
      <c r="S127" s="131">
        <f t="shared" si="187"/>
        <v>1.0000000000000002E-3</v>
      </c>
      <c r="T127" s="99">
        <v>3</v>
      </c>
      <c r="U127" s="100">
        <v>28</v>
      </c>
      <c r="V127" s="101" t="str">
        <f t="shared" si="219"/>
        <v>+</v>
      </c>
      <c r="W127" s="99">
        <v>3</v>
      </c>
      <c r="X127" s="100">
        <v>28</v>
      </c>
      <c r="Y127" s="102">
        <f t="shared" si="242"/>
        <v>36.945129606215971</v>
      </c>
      <c r="Z127" s="103" t="str">
        <f t="shared" si="220"/>
        <v>Ok</v>
      </c>
      <c r="AA127" s="93">
        <f t="shared" si="232"/>
        <v>330.07722813585804</v>
      </c>
      <c r="AB127" s="93">
        <f t="shared" si="243"/>
        <v>328.76424667935936</v>
      </c>
      <c r="AC127" s="89" t="str">
        <f t="shared" si="188"/>
        <v>Ok</v>
      </c>
      <c r="AD127" s="98">
        <f t="shared" si="244"/>
        <v>3.7318312733551483E-2</v>
      </c>
      <c r="AE127" s="98">
        <f t="shared" si="233"/>
        <v>1.9281988961466403E-2</v>
      </c>
      <c r="AF127" s="104" t="str">
        <f t="shared" si="245"/>
        <v>No-Ok</v>
      </c>
      <c r="AG127" s="100">
        <v>10</v>
      </c>
      <c r="AH127" s="105">
        <v>2</v>
      </c>
      <c r="AI127" s="105">
        <v>200</v>
      </c>
      <c r="AJ127" s="104">
        <f t="shared" si="234"/>
        <v>7.8500000000000005</v>
      </c>
      <c r="AK127" s="60" t="str">
        <f t="shared" si="235"/>
        <v>OK</v>
      </c>
      <c r="AL127" s="109">
        <f t="shared" si="236"/>
        <v>300</v>
      </c>
      <c r="AT127" s="133" t="str">
        <f t="shared" si="237"/>
        <v>no need</v>
      </c>
      <c r="AV127" s="61">
        <f t="shared" si="189"/>
        <v>389.334</v>
      </c>
      <c r="AW127" s="61" t="str">
        <f t="shared" si="190"/>
        <v>OK</v>
      </c>
      <c r="AX127" s="63" t="e">
        <f t="shared" si="191"/>
        <v>#DIV/0!</v>
      </c>
      <c r="AY127" s="63">
        <f t="shared" si="192"/>
        <v>173.5</v>
      </c>
      <c r="AZ127" s="63">
        <f t="shared" si="193"/>
        <v>372.33201581027674</v>
      </c>
      <c r="BA127" s="63">
        <f t="shared" si="194"/>
        <v>63.249999999999993</v>
      </c>
      <c r="BB127" s="63">
        <f t="shared" si="195"/>
        <v>235.5</v>
      </c>
      <c r="BC127" s="63" t="str">
        <f t="shared" si="196"/>
        <v>OK</v>
      </c>
      <c r="BD127" s="63">
        <f t="shared" si="197"/>
        <v>508.63855582042862</v>
      </c>
      <c r="BE127" s="63">
        <f t="shared" si="198"/>
        <v>280.76637499999998</v>
      </c>
      <c r="BF127" s="63">
        <f t="shared" si="199"/>
        <v>192.97537499999996</v>
      </c>
      <c r="BG127" s="63">
        <f t="shared" si="200"/>
        <v>273.59841317088518</v>
      </c>
      <c r="BH127" s="63">
        <f t="shared" si="201"/>
        <v>166.47324999999998</v>
      </c>
      <c r="BI127" s="63">
        <f t="shared" si="202"/>
        <v>166.47324999999998</v>
      </c>
      <c r="BJ127" s="63">
        <f t="shared" si="203"/>
        <v>166.47324999999998</v>
      </c>
      <c r="BK127" s="63" t="str">
        <f t="shared" si="204"/>
        <v>OK</v>
      </c>
      <c r="BL127" s="63">
        <f t="shared" si="205"/>
        <v>208.2</v>
      </c>
      <c r="BM127" s="63">
        <f t="shared" si="206"/>
        <v>347</v>
      </c>
      <c r="BN127" s="63">
        <f t="shared" si="207"/>
        <v>694</v>
      </c>
      <c r="BO127" s="63">
        <f t="shared" si="208"/>
        <v>1041</v>
      </c>
      <c r="BP127" s="63">
        <f t="shared" si="209"/>
        <v>43.895499999999991</v>
      </c>
      <c r="BQ127" s="63">
        <f t="shared" si="210"/>
        <v>417.99631252325759</v>
      </c>
      <c r="BR127" s="63" t="str">
        <f t="shared" si="211"/>
        <v>OK</v>
      </c>
      <c r="BW127" s="70">
        <f t="shared" si="238"/>
        <v>37.02600000000001</v>
      </c>
    </row>
    <row r="128" spans="4:104" ht="12.75" customHeight="1">
      <c r="D128" s="176" t="s">
        <v>90</v>
      </c>
      <c r="E128" s="176" t="s">
        <v>90</v>
      </c>
      <c r="F128" s="67" t="s">
        <v>15</v>
      </c>
      <c r="G128" s="78">
        <v>220</v>
      </c>
      <c r="H128" s="78">
        <v>450</v>
      </c>
      <c r="I128" s="79">
        <f t="shared" si="228"/>
        <v>91.8</v>
      </c>
      <c r="J128" s="80">
        <f>H128-I128</f>
        <v>358.2</v>
      </c>
      <c r="K128" s="81"/>
      <c r="L128" s="81"/>
      <c r="M128" s="81"/>
      <c r="N128" s="82">
        <f t="shared" si="229"/>
        <v>0</v>
      </c>
      <c r="O128" s="82">
        <f>ROUND(1-SQRT(1-2*N128),3)</f>
        <v>0</v>
      </c>
      <c r="P128" s="82">
        <f>1-0.5*O128</f>
        <v>1</v>
      </c>
      <c r="Q128" s="83" t="str">
        <f t="shared" si="230"/>
        <v>Ok</v>
      </c>
      <c r="R128" s="84">
        <f t="shared" si="231"/>
        <v>0.78804000000000007</v>
      </c>
      <c r="S128" s="131">
        <f t="shared" si="187"/>
        <v>1.0000000000000002E-3</v>
      </c>
      <c r="T128" s="86">
        <v>3</v>
      </c>
      <c r="U128" s="77">
        <v>22</v>
      </c>
      <c r="V128" s="87" t="str">
        <f t="shared" si="219"/>
        <v>+</v>
      </c>
      <c r="W128" s="86">
        <v>2</v>
      </c>
      <c r="X128" s="77">
        <v>22</v>
      </c>
      <c r="Y128" s="88">
        <f>(T128*PI()*U128^2/4+W128*PI()*X128^2/4)/100</f>
        <v>19.006635554218249</v>
      </c>
      <c r="Z128" s="89" t="str">
        <f t="shared" si="220"/>
        <v>Ok</v>
      </c>
      <c r="AA128" s="90">
        <f t="shared" si="232"/>
        <v>193.66154713506063</v>
      </c>
      <c r="AB128" s="80">
        <f>($J$11*$H$4*G128*ABS(AA128)*(J128-0.5*ABS(AA128))+$H$6*(T129*PI()*U129^2/4)*(J128-I129))*10^-6</f>
        <v>221.14029973282626</v>
      </c>
      <c r="AC128" s="89" t="str">
        <f t="shared" si="188"/>
        <v>Ok</v>
      </c>
      <c r="AD128" s="85">
        <f>(Y128*100)/(G128*H128)</f>
        <v>1.9198621771937624E-2</v>
      </c>
      <c r="AE128" s="85">
        <f t="shared" si="233"/>
        <v>1.9281988961466403E-2</v>
      </c>
      <c r="AF128" s="60" t="str">
        <f>IF(AND(AD128&gt;0.1%,AD128&lt;AE128),"Ok","No-Ok")</f>
        <v>Ok</v>
      </c>
      <c r="AG128" s="77">
        <v>10</v>
      </c>
      <c r="AH128" s="76">
        <v>2</v>
      </c>
      <c r="AI128" s="76">
        <v>100</v>
      </c>
      <c r="AJ128" s="60">
        <f t="shared" si="234"/>
        <v>15.700000000000001</v>
      </c>
      <c r="AK128" s="60" t="str">
        <f t="shared" si="235"/>
        <v>OK</v>
      </c>
      <c r="AL128" s="109">
        <f t="shared" si="236"/>
        <v>300</v>
      </c>
      <c r="AT128" s="133" t="str">
        <f t="shared" si="237"/>
        <v>no need</v>
      </c>
      <c r="AV128" s="61">
        <f t="shared" si="189"/>
        <v>401.90039999999999</v>
      </c>
      <c r="AW128" s="61" t="str">
        <f t="shared" si="190"/>
        <v>OK</v>
      </c>
      <c r="AX128" s="63" t="e">
        <f t="shared" si="191"/>
        <v>#DIV/0!</v>
      </c>
      <c r="AY128" s="63">
        <f t="shared" si="192"/>
        <v>179.1</v>
      </c>
      <c r="AZ128" s="63">
        <f t="shared" si="193"/>
        <v>744.66403162055349</v>
      </c>
      <c r="BA128" s="63">
        <f t="shared" si="194"/>
        <v>63.249999999999993</v>
      </c>
      <c r="BB128" s="63">
        <f t="shared" si="195"/>
        <v>471</v>
      </c>
      <c r="BC128" s="63" t="str">
        <f t="shared" si="196"/>
        <v>OK</v>
      </c>
      <c r="BD128" s="63">
        <f t="shared" si="197"/>
        <v>371.27045166597185</v>
      </c>
      <c r="BE128" s="63">
        <f t="shared" si="198"/>
        <v>353.09564999999998</v>
      </c>
      <c r="BF128" s="63">
        <f t="shared" si="199"/>
        <v>262.47104999999993</v>
      </c>
      <c r="BG128" s="63">
        <f t="shared" si="200"/>
        <v>399.41528329169569</v>
      </c>
      <c r="BH128" s="63">
        <f t="shared" si="201"/>
        <v>298.38059999999996</v>
      </c>
      <c r="BI128" s="63">
        <f t="shared" si="202"/>
        <v>298.38059999999996</v>
      </c>
      <c r="BJ128" s="63">
        <f t="shared" si="203"/>
        <v>262.47104999999993</v>
      </c>
      <c r="BK128" s="63" t="str">
        <f t="shared" si="204"/>
        <v>OK</v>
      </c>
      <c r="BL128" s="63">
        <f t="shared" si="205"/>
        <v>214.92</v>
      </c>
      <c r="BM128" s="63">
        <f t="shared" si="206"/>
        <v>358.2</v>
      </c>
      <c r="BN128" s="63">
        <f t="shared" si="207"/>
        <v>716.4</v>
      </c>
      <c r="BO128" s="63">
        <f t="shared" si="208"/>
        <v>1074.5999999999999</v>
      </c>
      <c r="BP128" s="63">
        <f t="shared" si="209"/>
        <v>45.312299999999993</v>
      </c>
      <c r="BQ128" s="63">
        <f t="shared" si="210"/>
        <v>516.07959270692425</v>
      </c>
      <c r="BR128" s="63" t="str">
        <f t="shared" si="211"/>
        <v>OK</v>
      </c>
      <c r="BU128" s="70">
        <v>12</v>
      </c>
      <c r="BV128" s="70">
        <v>1</v>
      </c>
      <c r="BW128" s="70">
        <f t="shared" si="238"/>
        <v>37.02600000000001</v>
      </c>
      <c r="BX128" s="70" t="str">
        <f>IF(BW128&gt;AT128,"OK","NOT OK")</f>
        <v>NOT OK</v>
      </c>
      <c r="BY128" s="70">
        <f>G128</f>
        <v>220</v>
      </c>
      <c r="BZ128" s="70">
        <f>H128</f>
        <v>450</v>
      </c>
      <c r="CA128" s="70">
        <f>BY128/(2*BZ128+BY128)</f>
        <v>0.19642857142857142</v>
      </c>
      <c r="CB128" s="27">
        <f>O115*AJ128/10</f>
        <v>0</v>
      </c>
      <c r="CE128" s="71">
        <f>CB128*CA128*BY128*BZ128/1000000</f>
        <v>0</v>
      </c>
      <c r="CF128" s="71"/>
      <c r="CG128" s="71"/>
      <c r="CH128" s="70">
        <f>T129*3.14*U129^2/4</f>
        <v>401.92</v>
      </c>
      <c r="CI128" s="71">
        <f>0.5*$H$6*CH128*BZ128/1000000</f>
        <v>39.337919999999997</v>
      </c>
      <c r="CJ128" s="70" t="str">
        <f>IF((CI128+CE128)&gt;AT128,"OK","NOT OK")</f>
        <v>NOT OK</v>
      </c>
      <c r="CK128" s="27">
        <f>BZ128</f>
        <v>450</v>
      </c>
      <c r="CL128" s="27">
        <f>BY128</f>
        <v>220</v>
      </c>
      <c r="CM128" s="74">
        <f>CK128/(2*CL128+CK128)</f>
        <v>0.5056179775280899</v>
      </c>
      <c r="CN128" s="74"/>
      <c r="CO128" s="27">
        <f>O115*AJ128/10</f>
        <v>0</v>
      </c>
      <c r="CP128" s="74">
        <f>CO128*CM128*CK128*CL128/1000000</f>
        <v>0</v>
      </c>
      <c r="CQ128" s="27">
        <f>3.14*U129^2/4+3.14*U128^2/4+BV128*3.14*BU128^2/4</f>
        <v>693.93999999999994</v>
      </c>
      <c r="CT128" s="71">
        <f>0.5*$H$6*CQ128*CL128/1000000</f>
        <v>33.205028999999996</v>
      </c>
      <c r="CU128" s="71"/>
      <c r="CV128" s="70" t="str">
        <f>IF((CT128+CP128)&gt;U128,"OK","NOT OK")</f>
        <v>OK</v>
      </c>
      <c r="CW128" s="74">
        <f>MIN((CP128+CT128),(CE128+CI128))</f>
        <v>33.205028999999996</v>
      </c>
      <c r="CX128" s="71">
        <f>AB128</f>
        <v>221.14029973282626</v>
      </c>
      <c r="CY128" s="71">
        <f>(BG128+BO128*J128)/1000</f>
        <v>385.32113528329171</v>
      </c>
      <c r="CZ128" s="62">
        <f>CW128*SQRT(1-(K128/CX128)^1)</f>
        <v>33.205028999999996</v>
      </c>
    </row>
    <row r="129" spans="4:104">
      <c r="D129" s="177"/>
      <c r="E129" s="177"/>
      <c r="F129" s="68" t="s">
        <v>16</v>
      </c>
      <c r="G129" s="78">
        <v>220</v>
      </c>
      <c r="H129" s="78">
        <v>450</v>
      </c>
      <c r="I129" s="79">
        <f t="shared" si="228"/>
        <v>68</v>
      </c>
      <c r="J129" s="80">
        <f t="shared" ref="J129:J139" si="246">H129-I129</f>
        <v>382</v>
      </c>
      <c r="K129" s="81"/>
      <c r="L129" s="81"/>
      <c r="M129" s="81"/>
      <c r="N129" s="82">
        <f t="shared" si="229"/>
        <v>0</v>
      </c>
      <c r="O129" s="82">
        <f t="shared" ref="O129:O139" si="247">ROUND(1-SQRT(1-2*N129),3)</f>
        <v>0</v>
      </c>
      <c r="P129" s="82">
        <f t="shared" ref="P129:P139" si="248">1-0.5*O129</f>
        <v>1</v>
      </c>
      <c r="Q129" s="83" t="str">
        <f t="shared" si="230"/>
        <v>Ok</v>
      </c>
      <c r="R129" s="84">
        <f t="shared" si="231"/>
        <v>0.84040000000000004</v>
      </c>
      <c r="S129" s="131">
        <f t="shared" si="187"/>
        <v>1E-3</v>
      </c>
      <c r="T129" s="86">
        <v>2</v>
      </c>
      <c r="U129" s="77">
        <v>16</v>
      </c>
      <c r="V129" s="87" t="str">
        <f t="shared" si="219"/>
        <v>+</v>
      </c>
      <c r="W129" s="86">
        <v>0</v>
      </c>
      <c r="X129" s="77">
        <v>0</v>
      </c>
      <c r="Y129" s="88">
        <f t="shared" ref="Y129:Y139" si="249">(T129*PI()*U129^2/4+W129*PI()*X129^2/4)/100</f>
        <v>4.0212385965949355</v>
      </c>
      <c r="Z129" s="89" t="str">
        <f t="shared" si="220"/>
        <v>Ok</v>
      </c>
      <c r="AA129" s="80">
        <f t="shared" si="232"/>
        <v>-186.75956327490127</v>
      </c>
      <c r="AB129" s="80">
        <f t="shared" ref="AB129:AB139" si="250">($J$11*$H$4*G129*AA129*(J129-0.5*AA129)+$H$6*(T130*PI()*U130^2/4)*(J129-I130))*10^-6</f>
        <v>-51.343847662391958</v>
      </c>
      <c r="AC129" s="89" t="str">
        <f t="shared" si="188"/>
        <v>Not Ok</v>
      </c>
      <c r="AD129" s="85">
        <f t="shared" ref="AD129:AD139" si="251">(Y129*100)/(G129*H129)</f>
        <v>4.0618571682777133E-3</v>
      </c>
      <c r="AE129" s="85">
        <f t="shared" si="233"/>
        <v>1.9281988961466403E-2</v>
      </c>
      <c r="AF129" s="60" t="str">
        <f t="shared" ref="AF129:AF139" si="252">IF(AND(AD129&gt;0.1%,AD129&lt;AE129),"Ok","No-Ok")</f>
        <v>Ok</v>
      </c>
      <c r="AG129" s="77">
        <v>10</v>
      </c>
      <c r="AH129" s="76">
        <v>2</v>
      </c>
      <c r="AI129" s="76">
        <v>200</v>
      </c>
      <c r="AJ129" s="60">
        <f t="shared" si="234"/>
        <v>7.8500000000000005</v>
      </c>
      <c r="AK129" s="60" t="str">
        <f t="shared" si="235"/>
        <v>OK</v>
      </c>
      <c r="AL129" s="109">
        <f t="shared" si="236"/>
        <v>300</v>
      </c>
      <c r="AT129" s="133" t="str">
        <f t="shared" si="237"/>
        <v>no need</v>
      </c>
      <c r="AV129" s="61">
        <f t="shared" si="189"/>
        <v>428.60399999999998</v>
      </c>
      <c r="AW129" s="61" t="str">
        <f t="shared" si="190"/>
        <v>OK</v>
      </c>
      <c r="AX129" s="63" t="e">
        <f t="shared" si="191"/>
        <v>#DIV/0!</v>
      </c>
      <c r="AY129" s="63">
        <f t="shared" si="192"/>
        <v>191</v>
      </c>
      <c r="AZ129" s="63">
        <f t="shared" si="193"/>
        <v>372.33201581027674</v>
      </c>
      <c r="BA129" s="63">
        <f t="shared" si="194"/>
        <v>63.249999999999993</v>
      </c>
      <c r="BB129" s="63">
        <f t="shared" si="195"/>
        <v>235.5</v>
      </c>
      <c r="BC129" s="63" t="str">
        <f t="shared" si="196"/>
        <v>OK</v>
      </c>
      <c r="BD129" s="63">
        <f t="shared" si="197"/>
        <v>559.94215655159576</v>
      </c>
      <c r="BE129" s="63">
        <f t="shared" si="198"/>
        <v>309.08575000000002</v>
      </c>
      <c r="BF129" s="63">
        <f t="shared" si="199"/>
        <v>212.43974999999995</v>
      </c>
      <c r="BG129" s="63">
        <f t="shared" si="200"/>
        <v>301.19479490281884</v>
      </c>
      <c r="BH129" s="63">
        <f t="shared" si="201"/>
        <v>183.2645</v>
      </c>
      <c r="BI129" s="63">
        <f t="shared" si="202"/>
        <v>183.2645</v>
      </c>
      <c r="BJ129" s="63">
        <f t="shared" si="203"/>
        <v>183.2645</v>
      </c>
      <c r="BK129" s="63" t="str">
        <f t="shared" si="204"/>
        <v>OK</v>
      </c>
      <c r="BL129" s="63">
        <f t="shared" si="205"/>
        <v>229.2</v>
      </c>
      <c r="BM129" s="63">
        <f t="shared" si="206"/>
        <v>382</v>
      </c>
      <c r="BN129" s="63">
        <f t="shared" si="207"/>
        <v>764</v>
      </c>
      <c r="BO129" s="63">
        <f t="shared" si="208"/>
        <v>1146</v>
      </c>
      <c r="BP129" s="63">
        <f t="shared" si="209"/>
        <v>48.322999999999993</v>
      </c>
      <c r="BQ129" s="63">
        <f t="shared" si="210"/>
        <v>296.75647891364622</v>
      </c>
      <c r="BR129" s="63" t="str">
        <f t="shared" si="211"/>
        <v>OK</v>
      </c>
      <c r="BW129" s="70">
        <f t="shared" si="238"/>
        <v>37.02600000000001</v>
      </c>
    </row>
    <row r="130" spans="4:104">
      <c r="D130" s="178"/>
      <c r="E130" s="178"/>
      <c r="F130" s="67" t="s">
        <v>15</v>
      </c>
      <c r="G130" s="78">
        <v>220</v>
      </c>
      <c r="H130" s="78">
        <v>450</v>
      </c>
      <c r="I130" s="79">
        <f t="shared" si="228"/>
        <v>74</v>
      </c>
      <c r="J130" s="80">
        <f t="shared" si="246"/>
        <v>376</v>
      </c>
      <c r="K130" s="81"/>
      <c r="L130" s="81"/>
      <c r="M130" s="81"/>
      <c r="N130" s="82">
        <f t="shared" si="229"/>
        <v>0</v>
      </c>
      <c r="O130" s="82">
        <f t="shared" si="247"/>
        <v>0</v>
      </c>
      <c r="P130" s="82">
        <f t="shared" si="248"/>
        <v>1</v>
      </c>
      <c r="Q130" s="83" t="str">
        <f t="shared" si="230"/>
        <v>Ok</v>
      </c>
      <c r="R130" s="84">
        <f t="shared" si="231"/>
        <v>0.82719999999999994</v>
      </c>
      <c r="S130" s="131">
        <f t="shared" si="187"/>
        <v>9.999999999999998E-4</v>
      </c>
      <c r="T130" s="86">
        <v>3</v>
      </c>
      <c r="U130" s="77">
        <v>28</v>
      </c>
      <c r="V130" s="87" t="str">
        <f t="shared" si="219"/>
        <v>+</v>
      </c>
      <c r="W130" s="86">
        <v>0</v>
      </c>
      <c r="X130" s="77">
        <v>0</v>
      </c>
      <c r="Y130" s="88">
        <f t="shared" si="249"/>
        <v>18.472564803107986</v>
      </c>
      <c r="Z130" s="89" t="str">
        <f t="shared" si="220"/>
        <v>Ok</v>
      </c>
      <c r="AA130" s="80">
        <f t="shared" si="232"/>
        <v>0</v>
      </c>
      <c r="AB130" s="80">
        <f t="shared" si="250"/>
        <v>219.37094331930888</v>
      </c>
      <c r="AC130" s="89" t="str">
        <f t="shared" si="188"/>
        <v>Ok</v>
      </c>
      <c r="AD130" s="85">
        <f t="shared" si="251"/>
        <v>1.8659156366775741E-2</v>
      </c>
      <c r="AE130" s="85">
        <f t="shared" si="233"/>
        <v>1.9281988961466403E-2</v>
      </c>
      <c r="AF130" s="60" t="str">
        <f t="shared" si="252"/>
        <v>Ok</v>
      </c>
      <c r="AG130" s="77">
        <v>10</v>
      </c>
      <c r="AH130" s="76">
        <v>2</v>
      </c>
      <c r="AI130" s="76">
        <v>200</v>
      </c>
      <c r="AJ130" s="60">
        <f t="shared" si="234"/>
        <v>7.8500000000000005</v>
      </c>
      <c r="AK130" s="60" t="str">
        <f t="shared" si="235"/>
        <v>OK</v>
      </c>
      <c r="AL130" s="109">
        <f t="shared" si="236"/>
        <v>300</v>
      </c>
      <c r="AT130" s="133" t="str">
        <f t="shared" si="237"/>
        <v>no need</v>
      </c>
      <c r="AV130" s="61">
        <f t="shared" si="189"/>
        <v>421.87200000000001</v>
      </c>
      <c r="AW130" s="61" t="str">
        <f t="shared" si="190"/>
        <v>OK</v>
      </c>
      <c r="AX130" s="63" t="e">
        <f t="shared" si="191"/>
        <v>#DIV/0!</v>
      </c>
      <c r="AY130" s="63">
        <f t="shared" si="192"/>
        <v>188</v>
      </c>
      <c r="AZ130" s="63">
        <f t="shared" si="193"/>
        <v>372.33201581027674</v>
      </c>
      <c r="BA130" s="63">
        <f t="shared" si="194"/>
        <v>63.249999999999993</v>
      </c>
      <c r="BB130" s="63">
        <f t="shared" si="195"/>
        <v>235.5</v>
      </c>
      <c r="BC130" s="63" t="str">
        <f t="shared" si="196"/>
        <v>OK</v>
      </c>
      <c r="BD130" s="63">
        <f t="shared" si="197"/>
        <v>551.14725356910992</v>
      </c>
      <c r="BE130" s="63">
        <f t="shared" si="198"/>
        <v>304.23099999999999</v>
      </c>
      <c r="BF130" s="63">
        <f t="shared" si="199"/>
        <v>209.10299999999998</v>
      </c>
      <c r="BG130" s="63">
        <f t="shared" si="200"/>
        <v>296.46398660591598</v>
      </c>
      <c r="BH130" s="63">
        <f t="shared" si="201"/>
        <v>180.386</v>
      </c>
      <c r="BI130" s="63">
        <f t="shared" si="202"/>
        <v>180.386</v>
      </c>
      <c r="BJ130" s="63">
        <f t="shared" si="203"/>
        <v>180.386</v>
      </c>
      <c r="BK130" s="63" t="str">
        <f t="shared" si="204"/>
        <v>OK</v>
      </c>
      <c r="BL130" s="63">
        <f t="shared" si="205"/>
        <v>225.6</v>
      </c>
      <c r="BM130" s="63">
        <f t="shared" si="206"/>
        <v>376</v>
      </c>
      <c r="BN130" s="63">
        <f t="shared" si="207"/>
        <v>752</v>
      </c>
      <c r="BO130" s="63">
        <f t="shared" si="208"/>
        <v>1128</v>
      </c>
      <c r="BP130" s="63">
        <f t="shared" si="209"/>
        <v>47.563999999999993</v>
      </c>
      <c r="BQ130" s="63">
        <f t="shared" si="210"/>
        <v>77.321380583656236</v>
      </c>
      <c r="BR130" s="63" t="str">
        <f t="shared" si="211"/>
        <v>OK</v>
      </c>
      <c r="BW130" s="70">
        <f t="shared" si="238"/>
        <v>37.02600000000001</v>
      </c>
    </row>
    <row r="131" spans="4:104">
      <c r="D131" s="179" t="s">
        <v>90</v>
      </c>
      <c r="E131" s="179" t="s">
        <v>90</v>
      </c>
      <c r="F131" s="91" t="s">
        <v>15</v>
      </c>
      <c r="G131" s="78">
        <v>220</v>
      </c>
      <c r="H131" s="78">
        <v>450</v>
      </c>
      <c r="I131" s="92">
        <f t="shared" si="228"/>
        <v>103</v>
      </c>
      <c r="J131" s="93">
        <f t="shared" si="246"/>
        <v>347</v>
      </c>
      <c r="K131" s="94"/>
      <c r="L131" s="94"/>
      <c r="M131" s="94"/>
      <c r="N131" s="95">
        <f t="shared" si="229"/>
        <v>0</v>
      </c>
      <c r="O131" s="95">
        <f t="shared" si="247"/>
        <v>0</v>
      </c>
      <c r="P131" s="95">
        <f t="shared" si="248"/>
        <v>1</v>
      </c>
      <c r="Q131" s="96" t="str">
        <f t="shared" si="230"/>
        <v>Ok</v>
      </c>
      <c r="R131" s="97">
        <f t="shared" si="231"/>
        <v>0.76340000000000008</v>
      </c>
      <c r="S131" s="131">
        <f t="shared" si="187"/>
        <v>1.0000000000000002E-3</v>
      </c>
      <c r="T131" s="99">
        <v>3</v>
      </c>
      <c r="U131" s="100">
        <v>28</v>
      </c>
      <c r="V131" s="101" t="str">
        <f t="shared" si="219"/>
        <v>+</v>
      </c>
      <c r="W131" s="99">
        <v>3</v>
      </c>
      <c r="X131" s="100">
        <v>28</v>
      </c>
      <c r="Y131" s="102">
        <f t="shared" si="249"/>
        <v>36.945129606215971</v>
      </c>
      <c r="Z131" s="103" t="str">
        <f t="shared" si="220"/>
        <v>Ok</v>
      </c>
      <c r="AA131" s="93">
        <f t="shared" si="232"/>
        <v>330.07722813585804</v>
      </c>
      <c r="AB131" s="93">
        <f t="shared" si="250"/>
        <v>326.18466610194088</v>
      </c>
      <c r="AC131" s="89" t="str">
        <f t="shared" si="188"/>
        <v>Ok</v>
      </c>
      <c r="AD131" s="98">
        <f t="shared" si="251"/>
        <v>3.7318312733551483E-2</v>
      </c>
      <c r="AE131" s="98">
        <f t="shared" si="233"/>
        <v>1.9281988961466403E-2</v>
      </c>
      <c r="AF131" s="104" t="str">
        <f t="shared" si="252"/>
        <v>No-Ok</v>
      </c>
      <c r="AG131" s="100">
        <v>10</v>
      </c>
      <c r="AH131" s="105">
        <v>2</v>
      </c>
      <c r="AI131" s="105">
        <v>200</v>
      </c>
      <c r="AJ131" s="104">
        <f t="shared" si="234"/>
        <v>7.8500000000000005</v>
      </c>
      <c r="AK131" s="60" t="str">
        <f t="shared" si="235"/>
        <v>OK</v>
      </c>
      <c r="AL131" s="109">
        <f t="shared" si="236"/>
        <v>300</v>
      </c>
      <c r="AT131" s="133" t="str">
        <f t="shared" si="237"/>
        <v>no need</v>
      </c>
      <c r="AV131" s="61">
        <f t="shared" si="189"/>
        <v>389.334</v>
      </c>
      <c r="AW131" s="61" t="str">
        <f t="shared" si="190"/>
        <v>OK</v>
      </c>
      <c r="AX131" s="63" t="e">
        <f t="shared" si="191"/>
        <v>#DIV/0!</v>
      </c>
      <c r="AY131" s="63">
        <f t="shared" si="192"/>
        <v>173.5</v>
      </c>
      <c r="AZ131" s="63">
        <f t="shared" si="193"/>
        <v>372.33201581027674</v>
      </c>
      <c r="BA131" s="63">
        <f t="shared" si="194"/>
        <v>63.249999999999993</v>
      </c>
      <c r="BB131" s="63">
        <f t="shared" si="195"/>
        <v>235.5</v>
      </c>
      <c r="BC131" s="63" t="str">
        <f t="shared" si="196"/>
        <v>OK</v>
      </c>
      <c r="BD131" s="63">
        <f t="shared" si="197"/>
        <v>508.63855582042862</v>
      </c>
      <c r="BE131" s="63">
        <f t="shared" si="198"/>
        <v>280.76637499999998</v>
      </c>
      <c r="BF131" s="63">
        <f t="shared" si="199"/>
        <v>192.97537499999996</v>
      </c>
      <c r="BG131" s="63">
        <f t="shared" si="200"/>
        <v>273.59841317088518</v>
      </c>
      <c r="BH131" s="63">
        <f t="shared" si="201"/>
        <v>166.47324999999998</v>
      </c>
      <c r="BI131" s="63">
        <f t="shared" si="202"/>
        <v>166.47324999999998</v>
      </c>
      <c r="BJ131" s="63">
        <f t="shared" si="203"/>
        <v>166.47324999999998</v>
      </c>
      <c r="BK131" s="63" t="str">
        <f t="shared" si="204"/>
        <v>OK</v>
      </c>
      <c r="BL131" s="63">
        <f t="shared" si="205"/>
        <v>208.2</v>
      </c>
      <c r="BM131" s="63">
        <f t="shared" si="206"/>
        <v>347</v>
      </c>
      <c r="BN131" s="63">
        <f t="shared" si="207"/>
        <v>694</v>
      </c>
      <c r="BO131" s="63">
        <f t="shared" si="208"/>
        <v>1041</v>
      </c>
      <c r="BP131" s="63">
        <f t="shared" si="209"/>
        <v>43.895499999999991</v>
      </c>
      <c r="BQ131" s="63">
        <f t="shared" si="210"/>
        <v>288.57056692767077</v>
      </c>
      <c r="BR131" s="63" t="str">
        <f t="shared" si="211"/>
        <v>OK</v>
      </c>
      <c r="BW131" s="70">
        <f t="shared" si="238"/>
        <v>37.02600000000001</v>
      </c>
    </row>
    <row r="132" spans="4:104">
      <c r="D132" s="180"/>
      <c r="E132" s="180"/>
      <c r="F132" s="106" t="s">
        <v>16</v>
      </c>
      <c r="G132" s="78">
        <v>220</v>
      </c>
      <c r="H132" s="78">
        <v>450</v>
      </c>
      <c r="I132" s="92">
        <f t="shared" si="228"/>
        <v>97</v>
      </c>
      <c r="J132" s="93">
        <f t="shared" si="246"/>
        <v>353</v>
      </c>
      <c r="K132" s="94"/>
      <c r="L132" s="94"/>
      <c r="M132" s="94"/>
      <c r="N132" s="95">
        <f t="shared" si="229"/>
        <v>0</v>
      </c>
      <c r="O132" s="95">
        <f t="shared" si="247"/>
        <v>0</v>
      </c>
      <c r="P132" s="95">
        <f t="shared" si="248"/>
        <v>1</v>
      </c>
      <c r="Q132" s="96" t="str">
        <f t="shared" si="230"/>
        <v>Ok</v>
      </c>
      <c r="R132" s="97">
        <f t="shared" si="231"/>
        <v>0.77659999999999996</v>
      </c>
      <c r="S132" s="131">
        <f t="shared" si="187"/>
        <v>1E-3</v>
      </c>
      <c r="T132" s="99">
        <v>3</v>
      </c>
      <c r="U132" s="100">
        <v>22</v>
      </c>
      <c r="V132" s="101" t="str">
        <f t="shared" si="219"/>
        <v>+</v>
      </c>
      <c r="W132" s="99">
        <v>3</v>
      </c>
      <c r="X132" s="100">
        <v>22</v>
      </c>
      <c r="Y132" s="102">
        <f t="shared" si="249"/>
        <v>22.807962665061901</v>
      </c>
      <c r="Z132" s="103" t="str">
        <f t="shared" si="220"/>
        <v>Ok</v>
      </c>
      <c r="AA132" s="93">
        <f t="shared" si="232"/>
        <v>147.37765536693294</v>
      </c>
      <c r="AB132" s="93">
        <f t="shared" si="250"/>
        <v>265.55351980439576</v>
      </c>
      <c r="AC132" s="89" t="str">
        <f t="shared" si="188"/>
        <v>Ok</v>
      </c>
      <c r="AD132" s="98">
        <f t="shared" si="251"/>
        <v>2.3038346126325153E-2</v>
      </c>
      <c r="AE132" s="98">
        <f t="shared" si="233"/>
        <v>1.9281988961466403E-2</v>
      </c>
      <c r="AF132" s="104" t="str">
        <f t="shared" si="252"/>
        <v>No-Ok</v>
      </c>
      <c r="AG132" s="100">
        <v>10</v>
      </c>
      <c r="AH132" s="105">
        <v>2</v>
      </c>
      <c r="AI132" s="105">
        <v>200</v>
      </c>
      <c r="AJ132" s="104">
        <f t="shared" si="234"/>
        <v>7.8500000000000005</v>
      </c>
      <c r="AK132" s="60" t="str">
        <f t="shared" si="235"/>
        <v>OK</v>
      </c>
      <c r="AL132" s="109">
        <f t="shared" si="236"/>
        <v>300</v>
      </c>
      <c r="AT132" s="133" t="str">
        <f t="shared" si="237"/>
        <v>no need</v>
      </c>
      <c r="AV132" s="61">
        <f t="shared" si="189"/>
        <v>396.06599999999997</v>
      </c>
      <c r="AW132" s="61" t="str">
        <f t="shared" si="190"/>
        <v>OK</v>
      </c>
      <c r="AX132" s="63" t="e">
        <f t="shared" si="191"/>
        <v>#DIV/0!</v>
      </c>
      <c r="AY132" s="63">
        <f t="shared" si="192"/>
        <v>176.5</v>
      </c>
      <c r="AZ132" s="63">
        <f t="shared" si="193"/>
        <v>372.33201581027674</v>
      </c>
      <c r="BA132" s="63">
        <f t="shared" si="194"/>
        <v>63.249999999999993</v>
      </c>
      <c r="BB132" s="63">
        <f t="shared" si="195"/>
        <v>235.5</v>
      </c>
      <c r="BC132" s="63" t="str">
        <f t="shared" si="196"/>
        <v>OK</v>
      </c>
      <c r="BD132" s="63">
        <f t="shared" si="197"/>
        <v>517.4334588029144</v>
      </c>
      <c r="BE132" s="63">
        <f t="shared" si="198"/>
        <v>285.62112500000001</v>
      </c>
      <c r="BF132" s="63">
        <f t="shared" si="199"/>
        <v>196.31212499999998</v>
      </c>
      <c r="BG132" s="63">
        <f t="shared" si="200"/>
        <v>278.3292214677881</v>
      </c>
      <c r="BH132" s="63">
        <f t="shared" si="201"/>
        <v>169.35174999999998</v>
      </c>
      <c r="BI132" s="63">
        <f t="shared" si="202"/>
        <v>169.35174999999998</v>
      </c>
      <c r="BJ132" s="63">
        <f t="shared" si="203"/>
        <v>169.35174999999998</v>
      </c>
      <c r="BK132" s="63" t="str">
        <f t="shared" si="204"/>
        <v>OK</v>
      </c>
      <c r="BL132" s="63">
        <f t="shared" si="205"/>
        <v>211.79999999999998</v>
      </c>
      <c r="BM132" s="63">
        <f t="shared" si="206"/>
        <v>353</v>
      </c>
      <c r="BN132" s="63">
        <f t="shared" si="207"/>
        <v>706</v>
      </c>
      <c r="BO132" s="63">
        <f t="shared" si="208"/>
        <v>1059</v>
      </c>
      <c r="BP132" s="63">
        <f t="shared" si="209"/>
        <v>44.654499999999992</v>
      </c>
      <c r="BQ132" s="63">
        <f t="shared" si="210"/>
        <v>516.07959270692425</v>
      </c>
      <c r="BR132" s="63" t="str">
        <f t="shared" si="211"/>
        <v>OK</v>
      </c>
      <c r="BW132" s="70">
        <f t="shared" si="238"/>
        <v>37.02600000000001</v>
      </c>
    </row>
    <row r="133" spans="4:104">
      <c r="D133" s="181"/>
      <c r="E133" s="181"/>
      <c r="F133" s="91" t="s">
        <v>15</v>
      </c>
      <c r="G133" s="78">
        <v>220</v>
      </c>
      <c r="H133" s="78">
        <v>450</v>
      </c>
      <c r="I133" s="92">
        <f t="shared" si="228"/>
        <v>97</v>
      </c>
      <c r="J133" s="93">
        <f t="shared" si="246"/>
        <v>353</v>
      </c>
      <c r="K133" s="94"/>
      <c r="L133" s="94"/>
      <c r="M133" s="94"/>
      <c r="N133" s="95">
        <f t="shared" si="229"/>
        <v>0</v>
      </c>
      <c r="O133" s="95">
        <f t="shared" si="247"/>
        <v>0</v>
      </c>
      <c r="P133" s="95">
        <f t="shared" si="248"/>
        <v>1</v>
      </c>
      <c r="Q133" s="96" t="str">
        <f t="shared" si="230"/>
        <v>Ok</v>
      </c>
      <c r="R133" s="97">
        <f t="shared" si="231"/>
        <v>0.77659999999999996</v>
      </c>
      <c r="S133" s="131">
        <f t="shared" si="187"/>
        <v>1E-3</v>
      </c>
      <c r="T133" s="99">
        <v>3</v>
      </c>
      <c r="U133" s="100">
        <v>22</v>
      </c>
      <c r="V133" s="101" t="str">
        <f t="shared" si="219"/>
        <v>+</v>
      </c>
      <c r="W133" s="99">
        <v>3</v>
      </c>
      <c r="X133" s="100">
        <v>22</v>
      </c>
      <c r="Y133" s="102">
        <f t="shared" si="249"/>
        <v>22.807962665061901</v>
      </c>
      <c r="Z133" s="103" t="str">
        <f t="shared" si="220"/>
        <v>Ok</v>
      </c>
      <c r="AA133" s="93">
        <f t="shared" si="232"/>
        <v>147.37765536693294</v>
      </c>
      <c r="AB133" s="93">
        <f t="shared" si="250"/>
        <v>265.55351980439576</v>
      </c>
      <c r="AC133" s="89" t="str">
        <f t="shared" si="188"/>
        <v>Ok</v>
      </c>
      <c r="AD133" s="98">
        <f t="shared" si="251"/>
        <v>2.3038346126325153E-2</v>
      </c>
      <c r="AE133" s="98">
        <f t="shared" si="233"/>
        <v>1.9281988961466403E-2</v>
      </c>
      <c r="AF133" s="104" t="str">
        <f t="shared" si="252"/>
        <v>No-Ok</v>
      </c>
      <c r="AG133" s="100">
        <v>10</v>
      </c>
      <c r="AH133" s="105">
        <v>2</v>
      </c>
      <c r="AI133" s="105">
        <v>200</v>
      </c>
      <c r="AJ133" s="104">
        <f t="shared" si="234"/>
        <v>7.8500000000000005</v>
      </c>
      <c r="AK133" s="60" t="str">
        <f t="shared" si="235"/>
        <v>OK</v>
      </c>
      <c r="AL133" s="109">
        <f t="shared" si="236"/>
        <v>300</v>
      </c>
      <c r="AT133" s="133" t="str">
        <f t="shared" si="237"/>
        <v>no need</v>
      </c>
      <c r="AV133" s="61">
        <f t="shared" si="189"/>
        <v>396.06599999999997</v>
      </c>
      <c r="AW133" s="61" t="str">
        <f t="shared" si="190"/>
        <v>OK</v>
      </c>
      <c r="AX133" s="63" t="e">
        <f t="shared" si="191"/>
        <v>#DIV/0!</v>
      </c>
      <c r="AY133" s="63">
        <f t="shared" si="192"/>
        <v>176.5</v>
      </c>
      <c r="AZ133" s="63">
        <f t="shared" si="193"/>
        <v>372.33201581027674</v>
      </c>
      <c r="BA133" s="63">
        <f t="shared" si="194"/>
        <v>63.249999999999993</v>
      </c>
      <c r="BB133" s="63">
        <f t="shared" si="195"/>
        <v>235.5</v>
      </c>
      <c r="BC133" s="63" t="str">
        <f t="shared" si="196"/>
        <v>OK</v>
      </c>
      <c r="BD133" s="63">
        <f t="shared" si="197"/>
        <v>517.4334588029144</v>
      </c>
      <c r="BE133" s="63">
        <f t="shared" si="198"/>
        <v>285.62112500000001</v>
      </c>
      <c r="BF133" s="63">
        <f t="shared" si="199"/>
        <v>196.31212499999998</v>
      </c>
      <c r="BG133" s="63">
        <f t="shared" si="200"/>
        <v>278.3292214677881</v>
      </c>
      <c r="BH133" s="63">
        <f t="shared" si="201"/>
        <v>169.35174999999998</v>
      </c>
      <c r="BI133" s="63">
        <f t="shared" si="202"/>
        <v>169.35174999999998</v>
      </c>
      <c r="BJ133" s="63">
        <f t="shared" si="203"/>
        <v>169.35174999999998</v>
      </c>
      <c r="BK133" s="63" t="str">
        <f t="shared" si="204"/>
        <v>OK</v>
      </c>
      <c r="BL133" s="63">
        <f t="shared" si="205"/>
        <v>211.79999999999998</v>
      </c>
      <c r="BM133" s="63">
        <f t="shared" si="206"/>
        <v>353</v>
      </c>
      <c r="BN133" s="63">
        <f t="shared" si="207"/>
        <v>706</v>
      </c>
      <c r="BO133" s="63">
        <f t="shared" si="208"/>
        <v>1059</v>
      </c>
      <c r="BP133" s="63">
        <f t="shared" si="209"/>
        <v>44.654499999999992</v>
      </c>
      <c r="BQ133" s="63">
        <f t="shared" si="210"/>
        <v>329.87761338302221</v>
      </c>
      <c r="BR133" s="63" t="str">
        <f t="shared" si="211"/>
        <v>OK</v>
      </c>
      <c r="BW133" s="70">
        <f t="shared" si="238"/>
        <v>37.02600000000001</v>
      </c>
    </row>
    <row r="134" spans="4:104">
      <c r="D134" s="176" t="s">
        <v>90</v>
      </c>
      <c r="E134" s="176" t="s">
        <v>90</v>
      </c>
      <c r="F134" s="67" t="s">
        <v>15</v>
      </c>
      <c r="G134" s="78">
        <v>220</v>
      </c>
      <c r="H134" s="78">
        <v>450</v>
      </c>
      <c r="I134" s="79">
        <f t="shared" si="228"/>
        <v>97</v>
      </c>
      <c r="J134" s="80">
        <f t="shared" si="246"/>
        <v>353</v>
      </c>
      <c r="K134" s="81"/>
      <c r="L134" s="81"/>
      <c r="M134" s="81"/>
      <c r="N134" s="82">
        <f t="shared" si="229"/>
        <v>0</v>
      </c>
      <c r="O134" s="82">
        <f t="shared" si="247"/>
        <v>0</v>
      </c>
      <c r="P134" s="82">
        <f t="shared" si="248"/>
        <v>1</v>
      </c>
      <c r="Q134" s="83" t="str">
        <f t="shared" si="230"/>
        <v>Ok</v>
      </c>
      <c r="R134" s="84">
        <f t="shared" si="231"/>
        <v>0.77659999999999996</v>
      </c>
      <c r="S134" s="131">
        <f t="shared" si="187"/>
        <v>1E-3</v>
      </c>
      <c r="T134" s="86">
        <v>3</v>
      </c>
      <c r="U134" s="77">
        <v>22</v>
      </c>
      <c r="V134" s="87" t="str">
        <f t="shared" si="219"/>
        <v>+</v>
      </c>
      <c r="W134" s="86">
        <v>3</v>
      </c>
      <c r="X134" s="77">
        <v>22</v>
      </c>
      <c r="Y134" s="88">
        <f t="shared" si="249"/>
        <v>22.807962665061901</v>
      </c>
      <c r="Z134" s="89" t="str">
        <f t="shared" si="220"/>
        <v>Ok</v>
      </c>
      <c r="AA134" s="80">
        <f t="shared" si="232"/>
        <v>104.44325576623555</v>
      </c>
      <c r="AB134" s="80">
        <f t="shared" si="250"/>
        <v>267.80980644614226</v>
      </c>
      <c r="AC134" s="89" t="str">
        <f t="shared" si="188"/>
        <v>Ok</v>
      </c>
      <c r="AD134" s="85">
        <f t="shared" si="251"/>
        <v>2.3038346126325153E-2</v>
      </c>
      <c r="AE134" s="85">
        <f t="shared" si="233"/>
        <v>1.9281988961466403E-2</v>
      </c>
      <c r="AF134" s="60" t="str">
        <f t="shared" si="252"/>
        <v>No-Ok</v>
      </c>
      <c r="AG134" s="77">
        <v>10</v>
      </c>
      <c r="AH134" s="76">
        <v>2</v>
      </c>
      <c r="AI134" s="76">
        <v>200</v>
      </c>
      <c r="AJ134" s="60">
        <f t="shared" si="234"/>
        <v>7.8500000000000005</v>
      </c>
      <c r="AK134" s="60" t="str">
        <f t="shared" si="235"/>
        <v>OK</v>
      </c>
      <c r="AL134" s="109">
        <f t="shared" si="236"/>
        <v>300</v>
      </c>
      <c r="AT134" s="133" t="str">
        <f t="shared" si="237"/>
        <v>no need</v>
      </c>
      <c r="AV134" s="61">
        <f t="shared" si="189"/>
        <v>396.06599999999997</v>
      </c>
      <c r="AW134" s="61" t="str">
        <f t="shared" si="190"/>
        <v>OK</v>
      </c>
      <c r="AX134" s="63" t="e">
        <f t="shared" si="191"/>
        <v>#DIV/0!</v>
      </c>
      <c r="AY134" s="63">
        <f t="shared" si="192"/>
        <v>176.5</v>
      </c>
      <c r="AZ134" s="63">
        <f t="shared" si="193"/>
        <v>372.33201581027674</v>
      </c>
      <c r="BA134" s="63">
        <f t="shared" si="194"/>
        <v>63.249999999999993</v>
      </c>
      <c r="BB134" s="63">
        <f t="shared" si="195"/>
        <v>235.5</v>
      </c>
      <c r="BC134" s="63" t="str">
        <f t="shared" si="196"/>
        <v>OK</v>
      </c>
      <c r="BD134" s="63">
        <f t="shared" si="197"/>
        <v>517.4334588029144</v>
      </c>
      <c r="BE134" s="63">
        <f t="shared" si="198"/>
        <v>285.62112500000001</v>
      </c>
      <c r="BF134" s="63">
        <f t="shared" si="199"/>
        <v>196.31212499999998</v>
      </c>
      <c r="BG134" s="63">
        <f t="shared" si="200"/>
        <v>278.3292214677881</v>
      </c>
      <c r="BH134" s="63">
        <f t="shared" si="201"/>
        <v>169.35174999999998</v>
      </c>
      <c r="BI134" s="63">
        <f t="shared" si="202"/>
        <v>169.35174999999998</v>
      </c>
      <c r="BJ134" s="63">
        <f t="shared" si="203"/>
        <v>169.35174999999998</v>
      </c>
      <c r="BK134" s="63" t="str">
        <f t="shared" si="204"/>
        <v>OK</v>
      </c>
      <c r="BL134" s="63">
        <f t="shared" si="205"/>
        <v>211.79999999999998</v>
      </c>
      <c r="BM134" s="63">
        <f t="shared" si="206"/>
        <v>353</v>
      </c>
      <c r="BN134" s="63">
        <f t="shared" si="207"/>
        <v>706</v>
      </c>
      <c r="BO134" s="63">
        <f t="shared" si="208"/>
        <v>1059</v>
      </c>
      <c r="BP134" s="63">
        <f t="shared" si="209"/>
        <v>44.654499999999992</v>
      </c>
      <c r="BQ134" s="63">
        <f t="shared" si="210"/>
        <v>329.87761338302221</v>
      </c>
      <c r="BR134" s="63" t="str">
        <f t="shared" si="211"/>
        <v>OK</v>
      </c>
      <c r="BW134" s="70">
        <f t="shared" si="238"/>
        <v>37.02600000000001</v>
      </c>
    </row>
    <row r="135" spans="4:104">
      <c r="D135" s="177"/>
      <c r="E135" s="177"/>
      <c r="F135" s="68" t="s">
        <v>16</v>
      </c>
      <c r="G135" s="78">
        <v>220</v>
      </c>
      <c r="H135" s="78">
        <v>450</v>
      </c>
      <c r="I135" s="79">
        <f t="shared" si="228"/>
        <v>100</v>
      </c>
      <c r="J135" s="80">
        <f t="shared" si="246"/>
        <v>350</v>
      </c>
      <c r="K135" s="81"/>
      <c r="L135" s="81"/>
      <c r="M135" s="81"/>
      <c r="N135" s="82">
        <f t="shared" si="229"/>
        <v>0</v>
      </c>
      <c r="O135" s="82">
        <f t="shared" si="247"/>
        <v>0</v>
      </c>
      <c r="P135" s="82">
        <f t="shared" si="248"/>
        <v>1</v>
      </c>
      <c r="Q135" s="83" t="str">
        <f t="shared" si="230"/>
        <v>Ok</v>
      </c>
      <c r="R135" s="84">
        <f t="shared" si="231"/>
        <v>0.77</v>
      </c>
      <c r="S135" s="131">
        <f t="shared" si="187"/>
        <v>1E-3</v>
      </c>
      <c r="T135" s="86">
        <v>3</v>
      </c>
      <c r="U135" s="77">
        <v>25</v>
      </c>
      <c r="V135" s="87" t="str">
        <f t="shared" si="219"/>
        <v>+</v>
      </c>
      <c r="W135" s="86">
        <v>3</v>
      </c>
      <c r="X135" s="77">
        <v>25</v>
      </c>
      <c r="Y135" s="88">
        <f t="shared" si="249"/>
        <v>29.45243112740431</v>
      </c>
      <c r="Z135" s="89" t="str">
        <f t="shared" si="220"/>
        <v>Ok</v>
      </c>
      <c r="AA135" s="80">
        <f t="shared" si="232"/>
        <v>141.89666818386522</v>
      </c>
      <c r="AB135" s="80">
        <f t="shared" si="250"/>
        <v>331.76029705905461</v>
      </c>
      <c r="AC135" s="89" t="str">
        <f t="shared" si="188"/>
        <v>Ok</v>
      </c>
      <c r="AD135" s="85">
        <f t="shared" si="251"/>
        <v>2.9749930431721527E-2</v>
      </c>
      <c r="AE135" s="85">
        <f t="shared" si="233"/>
        <v>1.9281988961466403E-2</v>
      </c>
      <c r="AF135" s="60" t="str">
        <f t="shared" si="252"/>
        <v>No-Ok</v>
      </c>
      <c r="AG135" s="77">
        <v>10</v>
      </c>
      <c r="AH135" s="76">
        <v>2</v>
      </c>
      <c r="AI135" s="76">
        <v>200</v>
      </c>
      <c r="AJ135" s="60">
        <f t="shared" si="234"/>
        <v>7.8500000000000005</v>
      </c>
      <c r="AK135" s="60" t="str">
        <f t="shared" si="235"/>
        <v>OK</v>
      </c>
      <c r="AL135" s="109">
        <f t="shared" si="236"/>
        <v>300</v>
      </c>
      <c r="AT135" s="133" t="str">
        <f t="shared" si="237"/>
        <v>no need</v>
      </c>
      <c r="AV135" s="61">
        <f t="shared" si="189"/>
        <v>392.7</v>
      </c>
      <c r="AW135" s="61" t="str">
        <f t="shared" si="190"/>
        <v>OK</v>
      </c>
      <c r="AX135" s="63" t="e">
        <f t="shared" si="191"/>
        <v>#DIV/0!</v>
      </c>
      <c r="AY135" s="63">
        <f t="shared" si="192"/>
        <v>175</v>
      </c>
      <c r="AZ135" s="63">
        <f t="shared" si="193"/>
        <v>372.33201581027674</v>
      </c>
      <c r="BA135" s="63">
        <f t="shared" si="194"/>
        <v>63.249999999999993</v>
      </c>
      <c r="BB135" s="63">
        <f t="shared" si="195"/>
        <v>235.5</v>
      </c>
      <c r="BC135" s="63" t="str">
        <f t="shared" si="196"/>
        <v>OK</v>
      </c>
      <c r="BD135" s="63">
        <f t="shared" si="197"/>
        <v>513.03600731167148</v>
      </c>
      <c r="BE135" s="63">
        <f t="shared" si="198"/>
        <v>283.19375000000002</v>
      </c>
      <c r="BF135" s="63">
        <f t="shared" si="199"/>
        <v>194.64374999999995</v>
      </c>
      <c r="BG135" s="63">
        <f t="shared" si="200"/>
        <v>275.96381731933667</v>
      </c>
      <c r="BH135" s="63">
        <f t="shared" si="201"/>
        <v>167.91249999999999</v>
      </c>
      <c r="BI135" s="63">
        <f t="shared" si="202"/>
        <v>167.91249999999999</v>
      </c>
      <c r="BJ135" s="63">
        <f t="shared" si="203"/>
        <v>167.91249999999999</v>
      </c>
      <c r="BK135" s="63" t="str">
        <f t="shared" si="204"/>
        <v>OK</v>
      </c>
      <c r="BL135" s="63">
        <f t="shared" si="205"/>
        <v>210</v>
      </c>
      <c r="BM135" s="63">
        <f t="shared" si="206"/>
        <v>350</v>
      </c>
      <c r="BN135" s="63">
        <f t="shared" si="207"/>
        <v>700</v>
      </c>
      <c r="BO135" s="63">
        <f t="shared" si="208"/>
        <v>1050</v>
      </c>
      <c r="BP135" s="63">
        <f t="shared" si="209"/>
        <v>44.274999999999991</v>
      </c>
      <c r="BQ135" s="63">
        <f t="shared" si="210"/>
        <v>329.87761338302221</v>
      </c>
      <c r="BR135" s="63" t="str">
        <f t="shared" si="211"/>
        <v>OK</v>
      </c>
      <c r="BW135" s="70">
        <f t="shared" si="238"/>
        <v>37.02600000000001</v>
      </c>
    </row>
    <row r="136" spans="4:104">
      <c r="D136" s="178"/>
      <c r="E136" s="178"/>
      <c r="F136" s="67" t="s">
        <v>15</v>
      </c>
      <c r="G136" s="78">
        <v>220</v>
      </c>
      <c r="H136" s="78">
        <v>450</v>
      </c>
      <c r="I136" s="79">
        <f t="shared" si="228"/>
        <v>103</v>
      </c>
      <c r="J136" s="80">
        <f t="shared" si="246"/>
        <v>347</v>
      </c>
      <c r="K136" s="81"/>
      <c r="L136" s="81"/>
      <c r="M136" s="81"/>
      <c r="N136" s="82">
        <f t="shared" si="229"/>
        <v>0</v>
      </c>
      <c r="O136" s="82">
        <f t="shared" si="247"/>
        <v>0</v>
      </c>
      <c r="P136" s="82">
        <f t="shared" si="248"/>
        <v>1</v>
      </c>
      <c r="Q136" s="83" t="str">
        <f t="shared" si="230"/>
        <v>Ok</v>
      </c>
      <c r="R136" s="84">
        <f t="shared" si="231"/>
        <v>0.76340000000000008</v>
      </c>
      <c r="S136" s="131">
        <f t="shared" si="187"/>
        <v>1.0000000000000002E-3</v>
      </c>
      <c r="T136" s="86">
        <v>3</v>
      </c>
      <c r="U136" s="77">
        <v>28</v>
      </c>
      <c r="V136" s="87" t="str">
        <f t="shared" si="219"/>
        <v>+</v>
      </c>
      <c r="W136" s="86">
        <v>3</v>
      </c>
      <c r="X136" s="77">
        <v>28</v>
      </c>
      <c r="Y136" s="88">
        <f t="shared" si="249"/>
        <v>36.945129606215971</v>
      </c>
      <c r="Z136" s="89" t="str">
        <f t="shared" si="220"/>
        <v>Ok</v>
      </c>
      <c r="AA136" s="80">
        <f t="shared" si="232"/>
        <v>330.07722813585804</v>
      </c>
      <c r="AB136" s="80">
        <f t="shared" si="250"/>
        <v>326.18466610194088</v>
      </c>
      <c r="AC136" s="89" t="str">
        <f t="shared" si="188"/>
        <v>Ok</v>
      </c>
      <c r="AD136" s="85">
        <f t="shared" si="251"/>
        <v>3.7318312733551483E-2</v>
      </c>
      <c r="AE136" s="85">
        <f t="shared" si="233"/>
        <v>1.9281988961466403E-2</v>
      </c>
      <c r="AF136" s="60" t="str">
        <f t="shared" si="252"/>
        <v>No-Ok</v>
      </c>
      <c r="AG136" s="77">
        <v>10</v>
      </c>
      <c r="AH136" s="76">
        <v>2</v>
      </c>
      <c r="AI136" s="76">
        <v>200</v>
      </c>
      <c r="AJ136" s="60">
        <f t="shared" si="234"/>
        <v>7.8500000000000005</v>
      </c>
      <c r="AK136" s="60" t="str">
        <f t="shared" si="235"/>
        <v>OK</v>
      </c>
      <c r="AL136" s="109">
        <f t="shared" si="236"/>
        <v>300</v>
      </c>
      <c r="AT136" s="133" t="str">
        <f t="shared" si="237"/>
        <v>no need</v>
      </c>
      <c r="AV136" s="61">
        <f t="shared" si="189"/>
        <v>389.334</v>
      </c>
      <c r="AW136" s="61" t="str">
        <f t="shared" si="190"/>
        <v>OK</v>
      </c>
      <c r="AX136" s="63" t="e">
        <f t="shared" si="191"/>
        <v>#DIV/0!</v>
      </c>
      <c r="AY136" s="63">
        <f t="shared" si="192"/>
        <v>173.5</v>
      </c>
      <c r="AZ136" s="63">
        <f t="shared" si="193"/>
        <v>372.33201581027674</v>
      </c>
      <c r="BA136" s="63">
        <f t="shared" si="194"/>
        <v>63.249999999999993</v>
      </c>
      <c r="BB136" s="63">
        <f t="shared" si="195"/>
        <v>235.5</v>
      </c>
      <c r="BC136" s="63" t="str">
        <f t="shared" si="196"/>
        <v>OK</v>
      </c>
      <c r="BD136" s="63">
        <f t="shared" si="197"/>
        <v>508.63855582042862</v>
      </c>
      <c r="BE136" s="63">
        <f t="shared" si="198"/>
        <v>280.76637499999998</v>
      </c>
      <c r="BF136" s="63">
        <f t="shared" si="199"/>
        <v>192.97537499999996</v>
      </c>
      <c r="BG136" s="63">
        <f t="shared" si="200"/>
        <v>273.59841317088518</v>
      </c>
      <c r="BH136" s="63">
        <f t="shared" si="201"/>
        <v>166.47324999999998</v>
      </c>
      <c r="BI136" s="63">
        <f t="shared" si="202"/>
        <v>166.47324999999998</v>
      </c>
      <c r="BJ136" s="63">
        <f t="shared" si="203"/>
        <v>166.47324999999998</v>
      </c>
      <c r="BK136" s="63" t="str">
        <f t="shared" si="204"/>
        <v>OK</v>
      </c>
      <c r="BL136" s="63">
        <f t="shared" si="205"/>
        <v>208.2</v>
      </c>
      <c r="BM136" s="63">
        <f t="shared" si="206"/>
        <v>347</v>
      </c>
      <c r="BN136" s="63">
        <f t="shared" si="207"/>
        <v>694</v>
      </c>
      <c r="BO136" s="63">
        <f t="shared" si="208"/>
        <v>1041</v>
      </c>
      <c r="BP136" s="63">
        <f t="shared" si="209"/>
        <v>43.895499999999991</v>
      </c>
      <c r="BQ136" s="63">
        <f t="shared" si="210"/>
        <v>417.99631252325759</v>
      </c>
      <c r="BR136" s="63" t="str">
        <f t="shared" si="211"/>
        <v>OK</v>
      </c>
      <c r="BW136" s="70">
        <f t="shared" si="238"/>
        <v>37.02600000000001</v>
      </c>
    </row>
    <row r="137" spans="4:104">
      <c r="D137" s="179" t="s">
        <v>90</v>
      </c>
      <c r="E137" s="179" t="s">
        <v>90</v>
      </c>
      <c r="F137" s="91" t="s">
        <v>15</v>
      </c>
      <c r="G137" s="78">
        <v>220</v>
      </c>
      <c r="H137" s="78">
        <v>450</v>
      </c>
      <c r="I137" s="92">
        <f t="shared" si="228"/>
        <v>97</v>
      </c>
      <c r="J137" s="93">
        <f t="shared" si="246"/>
        <v>353</v>
      </c>
      <c r="K137" s="94"/>
      <c r="L137" s="94"/>
      <c r="M137" s="94"/>
      <c r="N137" s="95">
        <f t="shared" si="229"/>
        <v>0</v>
      </c>
      <c r="O137" s="95">
        <f t="shared" si="247"/>
        <v>0</v>
      </c>
      <c r="P137" s="95">
        <f t="shared" si="248"/>
        <v>1</v>
      </c>
      <c r="Q137" s="96" t="str">
        <f t="shared" si="230"/>
        <v>Ok</v>
      </c>
      <c r="R137" s="97">
        <f t="shared" si="231"/>
        <v>0.77659999999999996</v>
      </c>
      <c r="S137" s="131">
        <f t="shared" si="187"/>
        <v>1E-3</v>
      </c>
      <c r="T137" s="99">
        <v>3</v>
      </c>
      <c r="U137" s="100">
        <v>22</v>
      </c>
      <c r="V137" s="101" t="str">
        <f t="shared" si="219"/>
        <v>+</v>
      </c>
      <c r="W137" s="99">
        <v>3</v>
      </c>
      <c r="X137" s="100">
        <v>22</v>
      </c>
      <c r="Y137" s="102">
        <f t="shared" si="249"/>
        <v>22.807962665061901</v>
      </c>
      <c r="Z137" s="103" t="str">
        <f t="shared" si="220"/>
        <v>Ok</v>
      </c>
      <c r="AA137" s="93">
        <f t="shared" si="232"/>
        <v>104.44325576623555</v>
      </c>
      <c r="AB137" s="93">
        <f t="shared" si="250"/>
        <v>267.80980644614226</v>
      </c>
      <c r="AC137" s="89" t="str">
        <f t="shared" si="188"/>
        <v>Ok</v>
      </c>
      <c r="AD137" s="98">
        <f t="shared" si="251"/>
        <v>2.3038346126325153E-2</v>
      </c>
      <c r="AE137" s="98">
        <f t="shared" si="233"/>
        <v>1.9281988961466403E-2</v>
      </c>
      <c r="AF137" s="104" t="str">
        <f t="shared" si="252"/>
        <v>No-Ok</v>
      </c>
      <c r="AG137" s="100">
        <v>10</v>
      </c>
      <c r="AH137" s="105">
        <v>2</v>
      </c>
      <c r="AI137" s="105">
        <v>200</v>
      </c>
      <c r="AJ137" s="104">
        <f t="shared" si="234"/>
        <v>7.8500000000000005</v>
      </c>
      <c r="AK137" s="60" t="str">
        <f t="shared" si="235"/>
        <v>OK</v>
      </c>
      <c r="AL137" s="109">
        <f t="shared" si="236"/>
        <v>300</v>
      </c>
      <c r="AT137" s="133" t="str">
        <f t="shared" si="237"/>
        <v>no need</v>
      </c>
      <c r="AV137" s="61">
        <f t="shared" si="189"/>
        <v>396.06599999999997</v>
      </c>
      <c r="AW137" s="61" t="str">
        <f t="shared" si="190"/>
        <v>OK</v>
      </c>
      <c r="AX137" s="63" t="e">
        <f t="shared" si="191"/>
        <v>#DIV/0!</v>
      </c>
      <c r="AY137" s="63">
        <f t="shared" si="192"/>
        <v>176.5</v>
      </c>
      <c r="AZ137" s="63">
        <f t="shared" si="193"/>
        <v>372.33201581027674</v>
      </c>
      <c r="BA137" s="63">
        <f t="shared" si="194"/>
        <v>63.249999999999993</v>
      </c>
      <c r="BB137" s="63">
        <f t="shared" si="195"/>
        <v>235.5</v>
      </c>
      <c r="BC137" s="63" t="str">
        <f t="shared" si="196"/>
        <v>OK</v>
      </c>
      <c r="BD137" s="63">
        <f t="shared" si="197"/>
        <v>517.4334588029144</v>
      </c>
      <c r="BE137" s="63">
        <f t="shared" si="198"/>
        <v>285.62112500000001</v>
      </c>
      <c r="BF137" s="63">
        <f t="shared" si="199"/>
        <v>196.31212499999998</v>
      </c>
      <c r="BG137" s="63">
        <f t="shared" si="200"/>
        <v>278.3292214677881</v>
      </c>
      <c r="BH137" s="63">
        <f t="shared" si="201"/>
        <v>169.35174999999998</v>
      </c>
      <c r="BI137" s="63">
        <f t="shared" si="202"/>
        <v>169.35174999999998</v>
      </c>
      <c r="BJ137" s="63">
        <f t="shared" si="203"/>
        <v>169.35174999999998</v>
      </c>
      <c r="BK137" s="63" t="str">
        <f t="shared" si="204"/>
        <v>OK</v>
      </c>
      <c r="BL137" s="63">
        <f t="shared" si="205"/>
        <v>211.79999999999998</v>
      </c>
      <c r="BM137" s="63">
        <f t="shared" si="206"/>
        <v>353</v>
      </c>
      <c r="BN137" s="63">
        <f t="shared" si="207"/>
        <v>706</v>
      </c>
      <c r="BO137" s="63">
        <f t="shared" si="208"/>
        <v>1059</v>
      </c>
      <c r="BP137" s="63">
        <f t="shared" si="209"/>
        <v>44.654499999999992</v>
      </c>
      <c r="BQ137" s="63">
        <f t="shared" si="210"/>
        <v>516.07959270692425</v>
      </c>
      <c r="BR137" s="63" t="str">
        <f t="shared" si="211"/>
        <v>OK</v>
      </c>
      <c r="BW137" s="70">
        <f t="shared" si="238"/>
        <v>37.02600000000001</v>
      </c>
    </row>
    <row r="138" spans="4:104">
      <c r="D138" s="180"/>
      <c r="E138" s="180"/>
      <c r="F138" s="106" t="s">
        <v>16</v>
      </c>
      <c r="G138" s="78">
        <v>220</v>
      </c>
      <c r="H138" s="78">
        <v>450</v>
      </c>
      <c r="I138" s="92">
        <f t="shared" si="228"/>
        <v>100</v>
      </c>
      <c r="J138" s="93">
        <f t="shared" si="246"/>
        <v>350</v>
      </c>
      <c r="K138" s="94"/>
      <c r="L138" s="94"/>
      <c r="M138" s="94"/>
      <c r="N138" s="95">
        <f t="shared" si="229"/>
        <v>0</v>
      </c>
      <c r="O138" s="95">
        <f t="shared" si="247"/>
        <v>0</v>
      </c>
      <c r="P138" s="95">
        <f t="shared" si="248"/>
        <v>1</v>
      </c>
      <c r="Q138" s="96" t="str">
        <f t="shared" si="230"/>
        <v>Ok</v>
      </c>
      <c r="R138" s="97">
        <f t="shared" si="231"/>
        <v>0.77</v>
      </c>
      <c r="S138" s="131">
        <f t="shared" si="187"/>
        <v>1E-3</v>
      </c>
      <c r="T138" s="99">
        <v>3</v>
      </c>
      <c r="U138" s="100">
        <v>25</v>
      </c>
      <c r="V138" s="101" t="str">
        <f t="shared" si="219"/>
        <v>+</v>
      </c>
      <c r="W138" s="99">
        <v>3</v>
      </c>
      <c r="X138" s="100">
        <v>25</v>
      </c>
      <c r="Y138" s="102">
        <f t="shared" si="249"/>
        <v>29.45243112740431</v>
      </c>
      <c r="Z138" s="103" t="str">
        <f t="shared" si="220"/>
        <v>Ok</v>
      </c>
      <c r="AA138" s="93">
        <f t="shared" si="232"/>
        <v>141.89666818386522</v>
      </c>
      <c r="AB138" s="93">
        <f t="shared" si="250"/>
        <v>331.76029705905461</v>
      </c>
      <c r="AC138" s="89" t="str">
        <f t="shared" si="188"/>
        <v>Ok</v>
      </c>
      <c r="AD138" s="98">
        <f t="shared" si="251"/>
        <v>2.9749930431721527E-2</v>
      </c>
      <c r="AE138" s="98">
        <f t="shared" si="233"/>
        <v>1.9281988961466403E-2</v>
      </c>
      <c r="AF138" s="104" t="str">
        <f t="shared" si="252"/>
        <v>No-Ok</v>
      </c>
      <c r="AG138" s="100">
        <v>10</v>
      </c>
      <c r="AH138" s="105">
        <v>2</v>
      </c>
      <c r="AI138" s="105">
        <v>200</v>
      </c>
      <c r="AJ138" s="104">
        <f t="shared" si="234"/>
        <v>7.8500000000000005</v>
      </c>
      <c r="AK138" s="60" t="str">
        <f t="shared" si="235"/>
        <v>OK</v>
      </c>
      <c r="AL138" s="109">
        <f t="shared" si="236"/>
        <v>300</v>
      </c>
      <c r="AT138" s="133" t="str">
        <f t="shared" si="237"/>
        <v>no need</v>
      </c>
      <c r="AV138" s="61">
        <f t="shared" si="189"/>
        <v>392.7</v>
      </c>
      <c r="AW138" s="61" t="str">
        <f t="shared" si="190"/>
        <v>OK</v>
      </c>
      <c r="AX138" s="63" t="e">
        <f t="shared" si="191"/>
        <v>#DIV/0!</v>
      </c>
      <c r="AY138" s="63">
        <f t="shared" si="192"/>
        <v>175</v>
      </c>
      <c r="AZ138" s="63">
        <f t="shared" si="193"/>
        <v>372.33201581027674</v>
      </c>
      <c r="BA138" s="63">
        <f t="shared" si="194"/>
        <v>63.249999999999993</v>
      </c>
      <c r="BB138" s="63">
        <f t="shared" si="195"/>
        <v>235.5</v>
      </c>
      <c r="BC138" s="63" t="str">
        <f t="shared" si="196"/>
        <v>OK</v>
      </c>
      <c r="BD138" s="63">
        <f t="shared" si="197"/>
        <v>513.03600731167148</v>
      </c>
      <c r="BE138" s="63">
        <f t="shared" si="198"/>
        <v>283.19375000000002</v>
      </c>
      <c r="BF138" s="63">
        <f t="shared" si="199"/>
        <v>194.64374999999995</v>
      </c>
      <c r="BG138" s="63">
        <f t="shared" si="200"/>
        <v>275.96381731933667</v>
      </c>
      <c r="BH138" s="63">
        <f t="shared" si="201"/>
        <v>167.91249999999999</v>
      </c>
      <c r="BI138" s="63">
        <f t="shared" si="202"/>
        <v>167.91249999999999</v>
      </c>
      <c r="BJ138" s="63">
        <f t="shared" si="203"/>
        <v>167.91249999999999</v>
      </c>
      <c r="BK138" s="63" t="str">
        <f t="shared" si="204"/>
        <v>OK</v>
      </c>
      <c r="BL138" s="63">
        <f t="shared" si="205"/>
        <v>210</v>
      </c>
      <c r="BM138" s="63">
        <f t="shared" si="206"/>
        <v>350</v>
      </c>
      <c r="BN138" s="63">
        <f t="shared" si="207"/>
        <v>700</v>
      </c>
      <c r="BO138" s="63">
        <f t="shared" si="208"/>
        <v>1050</v>
      </c>
      <c r="BP138" s="63">
        <f t="shared" si="209"/>
        <v>44.274999999999991</v>
      </c>
      <c r="BQ138" s="63">
        <f t="shared" si="210"/>
        <v>329.87761338302221</v>
      </c>
      <c r="BR138" s="63" t="str">
        <f t="shared" si="211"/>
        <v>OK</v>
      </c>
      <c r="BW138" s="70">
        <f t="shared" si="238"/>
        <v>37.02600000000001</v>
      </c>
    </row>
    <row r="139" spans="4:104">
      <c r="D139" s="181"/>
      <c r="E139" s="181"/>
      <c r="F139" s="91" t="s">
        <v>15</v>
      </c>
      <c r="G139" s="78">
        <v>220</v>
      </c>
      <c r="H139" s="78">
        <v>450</v>
      </c>
      <c r="I139" s="92">
        <f t="shared" si="228"/>
        <v>103</v>
      </c>
      <c r="J139" s="93">
        <f t="shared" si="246"/>
        <v>347</v>
      </c>
      <c r="K139" s="94"/>
      <c r="L139" s="94"/>
      <c r="M139" s="94"/>
      <c r="N139" s="95">
        <f t="shared" si="229"/>
        <v>0</v>
      </c>
      <c r="O139" s="95">
        <f t="shared" si="247"/>
        <v>0</v>
      </c>
      <c r="P139" s="95">
        <f t="shared" si="248"/>
        <v>1</v>
      </c>
      <c r="Q139" s="96" t="str">
        <f t="shared" si="230"/>
        <v>Ok</v>
      </c>
      <c r="R139" s="97">
        <f t="shared" si="231"/>
        <v>0.76340000000000008</v>
      </c>
      <c r="S139" s="131">
        <f t="shared" si="187"/>
        <v>1.0000000000000002E-3</v>
      </c>
      <c r="T139" s="99">
        <v>3</v>
      </c>
      <c r="U139" s="100">
        <v>28</v>
      </c>
      <c r="V139" s="101" t="str">
        <f t="shared" si="219"/>
        <v>+</v>
      </c>
      <c r="W139" s="99">
        <v>3</v>
      </c>
      <c r="X139" s="100">
        <v>28</v>
      </c>
      <c r="Y139" s="102">
        <f t="shared" si="249"/>
        <v>36.945129606215971</v>
      </c>
      <c r="Z139" s="103" t="str">
        <f t="shared" si="220"/>
        <v>Ok</v>
      </c>
      <c r="AA139" s="93">
        <f t="shared" si="232"/>
        <v>330.07722813585804</v>
      </c>
      <c r="AB139" s="93">
        <f t="shared" si="250"/>
        <v>328.76424667935936</v>
      </c>
      <c r="AC139" s="89" t="str">
        <f t="shared" si="188"/>
        <v>Ok</v>
      </c>
      <c r="AD139" s="98">
        <f t="shared" si="251"/>
        <v>3.7318312733551483E-2</v>
      </c>
      <c r="AE139" s="98">
        <f t="shared" si="233"/>
        <v>1.9281988961466403E-2</v>
      </c>
      <c r="AF139" s="104" t="str">
        <f t="shared" si="252"/>
        <v>No-Ok</v>
      </c>
      <c r="AG139" s="100">
        <v>10</v>
      </c>
      <c r="AH139" s="105">
        <v>2</v>
      </c>
      <c r="AI139" s="105">
        <v>200</v>
      </c>
      <c r="AJ139" s="104">
        <f t="shared" si="234"/>
        <v>7.8500000000000005</v>
      </c>
      <c r="AK139" s="60" t="str">
        <f t="shared" si="235"/>
        <v>OK</v>
      </c>
      <c r="AL139" s="109">
        <f t="shared" si="236"/>
        <v>300</v>
      </c>
      <c r="AT139" s="133" t="str">
        <f t="shared" si="237"/>
        <v>no need</v>
      </c>
      <c r="AV139" s="61">
        <f t="shared" si="189"/>
        <v>389.334</v>
      </c>
      <c r="AW139" s="61" t="str">
        <f t="shared" si="190"/>
        <v>OK</v>
      </c>
      <c r="AX139" s="63" t="e">
        <f t="shared" si="191"/>
        <v>#DIV/0!</v>
      </c>
      <c r="AY139" s="63">
        <f t="shared" si="192"/>
        <v>173.5</v>
      </c>
      <c r="AZ139" s="63">
        <f t="shared" si="193"/>
        <v>372.33201581027674</v>
      </c>
      <c r="BA139" s="63">
        <f t="shared" si="194"/>
        <v>63.249999999999993</v>
      </c>
      <c r="BB139" s="63">
        <f t="shared" si="195"/>
        <v>235.5</v>
      </c>
      <c r="BC139" s="63" t="str">
        <f t="shared" si="196"/>
        <v>OK</v>
      </c>
      <c r="BD139" s="63">
        <f t="shared" si="197"/>
        <v>508.63855582042862</v>
      </c>
      <c r="BE139" s="63">
        <f t="shared" si="198"/>
        <v>280.76637499999998</v>
      </c>
      <c r="BF139" s="63">
        <f t="shared" si="199"/>
        <v>192.97537499999996</v>
      </c>
      <c r="BG139" s="63">
        <f t="shared" si="200"/>
        <v>273.59841317088518</v>
      </c>
      <c r="BH139" s="63">
        <f t="shared" si="201"/>
        <v>166.47324999999998</v>
      </c>
      <c r="BI139" s="63">
        <f t="shared" si="202"/>
        <v>166.47324999999998</v>
      </c>
      <c r="BJ139" s="63">
        <f t="shared" si="203"/>
        <v>166.47324999999998</v>
      </c>
      <c r="BK139" s="63" t="str">
        <f t="shared" si="204"/>
        <v>OK</v>
      </c>
      <c r="BL139" s="63">
        <f t="shared" si="205"/>
        <v>208.2</v>
      </c>
      <c r="BM139" s="63">
        <f t="shared" si="206"/>
        <v>347</v>
      </c>
      <c r="BN139" s="63">
        <f t="shared" si="207"/>
        <v>694</v>
      </c>
      <c r="BO139" s="63">
        <f t="shared" si="208"/>
        <v>1041</v>
      </c>
      <c r="BP139" s="63">
        <f t="shared" si="209"/>
        <v>43.895499999999991</v>
      </c>
      <c r="BQ139" s="63">
        <f t="shared" si="210"/>
        <v>417.99631252325759</v>
      </c>
      <c r="BR139" s="63" t="str">
        <f t="shared" si="211"/>
        <v>OK</v>
      </c>
      <c r="BW139" s="70">
        <f t="shared" si="238"/>
        <v>37.02600000000001</v>
      </c>
    </row>
    <row r="140" spans="4:104" ht="12.75" customHeight="1">
      <c r="D140" s="176" t="s">
        <v>90</v>
      </c>
      <c r="E140" s="176" t="s">
        <v>90</v>
      </c>
      <c r="F140" s="67" t="s">
        <v>15</v>
      </c>
      <c r="G140" s="78">
        <v>220</v>
      </c>
      <c r="H140" s="78">
        <v>450</v>
      </c>
      <c r="I140" s="79">
        <f t="shared" si="228"/>
        <v>91.8</v>
      </c>
      <c r="J140" s="80">
        <f>H140-I140</f>
        <v>358.2</v>
      </c>
      <c r="K140" s="81"/>
      <c r="L140" s="81"/>
      <c r="M140" s="81"/>
      <c r="N140" s="82">
        <f t="shared" si="229"/>
        <v>0</v>
      </c>
      <c r="O140" s="82">
        <f>ROUND(1-SQRT(1-2*N140),3)</f>
        <v>0</v>
      </c>
      <c r="P140" s="82">
        <f>1-0.5*O140</f>
        <v>1</v>
      </c>
      <c r="Q140" s="83" t="str">
        <f t="shared" si="230"/>
        <v>Ok</v>
      </c>
      <c r="R140" s="84">
        <f t="shared" si="231"/>
        <v>0.78804000000000007</v>
      </c>
      <c r="S140" s="131">
        <f t="shared" si="187"/>
        <v>1.0000000000000002E-3</v>
      </c>
      <c r="T140" s="86">
        <v>3</v>
      </c>
      <c r="U140" s="77">
        <v>22</v>
      </c>
      <c r="V140" s="87" t="str">
        <f t="shared" si="219"/>
        <v>+</v>
      </c>
      <c r="W140" s="86">
        <v>2</v>
      </c>
      <c r="X140" s="77">
        <v>22</v>
      </c>
      <c r="Y140" s="88">
        <f>(T140*PI()*U140^2/4+W140*PI()*X140^2/4)/100</f>
        <v>19.006635554218249</v>
      </c>
      <c r="Z140" s="89" t="str">
        <f t="shared" si="220"/>
        <v>Ok</v>
      </c>
      <c r="AA140" s="90">
        <f t="shared" si="232"/>
        <v>193.66154713506063</v>
      </c>
      <c r="AB140" s="80">
        <f>($J$11*$H$4*G140*ABS(AA140)*(J140-0.5*ABS(AA140))+$H$6*(T141*PI()*U141^2/4)*(J140-I141))*10^-6</f>
        <v>221.14029973282626</v>
      </c>
      <c r="AC140" s="89" t="str">
        <f t="shared" si="188"/>
        <v>Ok</v>
      </c>
      <c r="AD140" s="85">
        <f>(Y140*100)/(G140*H140)</f>
        <v>1.9198621771937624E-2</v>
      </c>
      <c r="AE140" s="85">
        <f t="shared" si="233"/>
        <v>1.9281988961466403E-2</v>
      </c>
      <c r="AF140" s="60" t="str">
        <f>IF(AND(AD140&gt;0.1%,AD140&lt;AE140),"Ok","No-Ok")</f>
        <v>Ok</v>
      </c>
      <c r="AG140" s="77">
        <v>10</v>
      </c>
      <c r="AH140" s="76">
        <v>2</v>
      </c>
      <c r="AI140" s="76">
        <v>100</v>
      </c>
      <c r="AJ140" s="60">
        <f t="shared" si="234"/>
        <v>15.700000000000001</v>
      </c>
      <c r="AK140" s="60" t="str">
        <f t="shared" si="235"/>
        <v>OK</v>
      </c>
      <c r="AL140" s="109">
        <f t="shared" si="236"/>
        <v>300</v>
      </c>
      <c r="AT140" s="133" t="str">
        <f t="shared" si="237"/>
        <v>no need</v>
      </c>
      <c r="AV140" s="61">
        <f t="shared" si="189"/>
        <v>401.90039999999999</v>
      </c>
      <c r="AW140" s="61" t="str">
        <f t="shared" si="190"/>
        <v>OK</v>
      </c>
      <c r="AX140" s="63" t="e">
        <f t="shared" si="191"/>
        <v>#DIV/0!</v>
      </c>
      <c r="AY140" s="63">
        <f t="shared" si="192"/>
        <v>179.1</v>
      </c>
      <c r="AZ140" s="63">
        <f t="shared" si="193"/>
        <v>744.66403162055349</v>
      </c>
      <c r="BA140" s="63">
        <f t="shared" si="194"/>
        <v>63.249999999999993</v>
      </c>
      <c r="BB140" s="63">
        <f t="shared" si="195"/>
        <v>471</v>
      </c>
      <c r="BC140" s="63" t="str">
        <f t="shared" si="196"/>
        <v>OK</v>
      </c>
      <c r="BD140" s="63">
        <f t="shared" si="197"/>
        <v>371.27045166597185</v>
      </c>
      <c r="BE140" s="63">
        <f t="shared" si="198"/>
        <v>353.09564999999998</v>
      </c>
      <c r="BF140" s="63">
        <f t="shared" si="199"/>
        <v>262.47104999999993</v>
      </c>
      <c r="BG140" s="63">
        <f t="shared" si="200"/>
        <v>399.41528329169569</v>
      </c>
      <c r="BH140" s="63">
        <f t="shared" si="201"/>
        <v>298.38059999999996</v>
      </c>
      <c r="BI140" s="63">
        <f t="shared" si="202"/>
        <v>298.38059999999996</v>
      </c>
      <c r="BJ140" s="63">
        <f t="shared" si="203"/>
        <v>262.47104999999993</v>
      </c>
      <c r="BK140" s="63" t="str">
        <f t="shared" si="204"/>
        <v>OK</v>
      </c>
      <c r="BL140" s="63">
        <f t="shared" si="205"/>
        <v>214.92</v>
      </c>
      <c r="BM140" s="63">
        <f t="shared" si="206"/>
        <v>358.2</v>
      </c>
      <c r="BN140" s="63">
        <f t="shared" si="207"/>
        <v>716.4</v>
      </c>
      <c r="BO140" s="63">
        <f t="shared" si="208"/>
        <v>1074.5999999999999</v>
      </c>
      <c r="BP140" s="63">
        <f t="shared" si="209"/>
        <v>45.312299999999993</v>
      </c>
      <c r="BQ140" s="63">
        <f t="shared" si="210"/>
        <v>516.07959270692425</v>
      </c>
      <c r="BR140" s="63" t="str">
        <f t="shared" si="211"/>
        <v>OK</v>
      </c>
      <c r="BU140" s="70">
        <v>12</v>
      </c>
      <c r="BV140" s="70">
        <v>1</v>
      </c>
      <c r="BW140" s="70">
        <f t="shared" si="238"/>
        <v>37.02600000000001</v>
      </c>
      <c r="BX140" s="70" t="str">
        <f>IF(BW140&gt;AT140,"OK","NOT OK")</f>
        <v>NOT OK</v>
      </c>
      <c r="BY140" s="70">
        <f>G140</f>
        <v>220</v>
      </c>
      <c r="BZ140" s="70">
        <f>H140</f>
        <v>450</v>
      </c>
      <c r="CA140" s="70">
        <f>BY140/(2*BZ140+BY140)</f>
        <v>0.19642857142857142</v>
      </c>
      <c r="CB140" s="27">
        <f>O127*AJ140/10</f>
        <v>0</v>
      </c>
      <c r="CE140" s="71">
        <f>CB140*CA140*BY140*BZ140/1000000</f>
        <v>0</v>
      </c>
      <c r="CF140" s="71"/>
      <c r="CG140" s="71"/>
      <c r="CH140" s="70">
        <f>T141*3.14*U141^2/4</f>
        <v>401.92</v>
      </c>
      <c r="CI140" s="71">
        <f>0.5*$H$6*CH140*BZ140/1000000</f>
        <v>39.337919999999997</v>
      </c>
      <c r="CJ140" s="70" t="str">
        <f>IF((CI140+CE140)&gt;AT140,"OK","NOT OK")</f>
        <v>NOT OK</v>
      </c>
      <c r="CK140" s="27">
        <f>BZ140</f>
        <v>450</v>
      </c>
      <c r="CL140" s="27">
        <f>BY140</f>
        <v>220</v>
      </c>
      <c r="CM140" s="74">
        <f>CK140/(2*CL140+CK140)</f>
        <v>0.5056179775280899</v>
      </c>
      <c r="CN140" s="74"/>
      <c r="CO140" s="27">
        <f>O127*AJ140/10</f>
        <v>0</v>
      </c>
      <c r="CP140" s="74">
        <f>CO140*CM140*CK140*CL140/1000000</f>
        <v>0</v>
      </c>
      <c r="CQ140" s="27">
        <f>3.14*U141^2/4+3.14*U140^2/4+BV140*3.14*BU140^2/4</f>
        <v>693.93999999999994</v>
      </c>
      <c r="CT140" s="71">
        <f>0.5*$H$6*CQ140*CL140/1000000</f>
        <v>33.205028999999996</v>
      </c>
      <c r="CU140" s="71"/>
      <c r="CV140" s="70" t="str">
        <f>IF((CT140+CP140)&gt;U140,"OK","NOT OK")</f>
        <v>OK</v>
      </c>
      <c r="CW140" s="74">
        <f>MIN((CP140+CT140),(CE140+CI140))</f>
        <v>33.205028999999996</v>
      </c>
      <c r="CX140" s="71">
        <f>AB140</f>
        <v>221.14029973282626</v>
      </c>
      <c r="CY140" s="71">
        <f>(BG140+BO140*J140)/1000</f>
        <v>385.32113528329171</v>
      </c>
      <c r="CZ140" s="62">
        <f>CW140*SQRT(1-(K140/CX140)^1)</f>
        <v>33.205028999999996</v>
      </c>
    </row>
    <row r="141" spans="4:104">
      <c r="D141" s="177"/>
      <c r="E141" s="177"/>
      <c r="F141" s="68" t="s">
        <v>16</v>
      </c>
      <c r="G141" s="78">
        <v>220</v>
      </c>
      <c r="H141" s="78">
        <v>450</v>
      </c>
      <c r="I141" s="79">
        <f t="shared" si="228"/>
        <v>68</v>
      </c>
      <c r="J141" s="80">
        <f t="shared" ref="J141:J151" si="253">H141-I141</f>
        <v>382</v>
      </c>
      <c r="K141" s="81"/>
      <c r="L141" s="81"/>
      <c r="M141" s="81"/>
      <c r="N141" s="82">
        <f t="shared" si="229"/>
        <v>0</v>
      </c>
      <c r="O141" s="82">
        <f t="shared" ref="O141:O151" si="254">ROUND(1-SQRT(1-2*N141),3)</f>
        <v>0</v>
      </c>
      <c r="P141" s="82">
        <f t="shared" ref="P141:P151" si="255">1-0.5*O141</f>
        <v>1</v>
      </c>
      <c r="Q141" s="83" t="str">
        <f t="shared" si="230"/>
        <v>Ok</v>
      </c>
      <c r="R141" s="84">
        <f t="shared" si="231"/>
        <v>0.84040000000000004</v>
      </c>
      <c r="S141" s="131">
        <f t="shared" si="187"/>
        <v>1E-3</v>
      </c>
      <c r="T141" s="86">
        <v>2</v>
      </c>
      <c r="U141" s="77">
        <v>16</v>
      </c>
      <c r="V141" s="87" t="str">
        <f t="shared" si="219"/>
        <v>+</v>
      </c>
      <c r="W141" s="86">
        <v>0</v>
      </c>
      <c r="X141" s="77">
        <v>0</v>
      </c>
      <c r="Y141" s="88">
        <f t="shared" ref="Y141:Y151" si="256">(T141*PI()*U141^2/4+W141*PI()*X141^2/4)/100</f>
        <v>4.0212385965949355</v>
      </c>
      <c r="Z141" s="89" t="str">
        <f t="shared" si="220"/>
        <v>Ok</v>
      </c>
      <c r="AA141" s="80">
        <f t="shared" si="232"/>
        <v>-186.75956327490127</v>
      </c>
      <c r="AB141" s="80">
        <f t="shared" ref="AB141:AB151" si="257">($J$11*$H$4*G141*AA141*(J141-0.5*AA141)+$H$6*(T142*PI()*U142^2/4)*(J141-I142))*10^-6</f>
        <v>-51.343847662391958</v>
      </c>
      <c r="AC141" s="89" t="str">
        <f t="shared" si="188"/>
        <v>Not Ok</v>
      </c>
      <c r="AD141" s="85">
        <f t="shared" ref="AD141:AD151" si="258">(Y141*100)/(G141*H141)</f>
        <v>4.0618571682777133E-3</v>
      </c>
      <c r="AE141" s="85">
        <f t="shared" si="233"/>
        <v>1.9281988961466403E-2</v>
      </c>
      <c r="AF141" s="60" t="str">
        <f t="shared" ref="AF141:AF151" si="259">IF(AND(AD141&gt;0.1%,AD141&lt;AE141),"Ok","No-Ok")</f>
        <v>Ok</v>
      </c>
      <c r="AG141" s="77">
        <v>10</v>
      </c>
      <c r="AH141" s="76">
        <v>2</v>
      </c>
      <c r="AI141" s="76">
        <v>200</v>
      </c>
      <c r="AJ141" s="60">
        <f t="shared" si="234"/>
        <v>7.8500000000000005</v>
      </c>
      <c r="AK141" s="60" t="str">
        <f t="shared" si="235"/>
        <v>OK</v>
      </c>
      <c r="AL141" s="109">
        <f t="shared" si="236"/>
        <v>300</v>
      </c>
      <c r="AT141" s="133" t="str">
        <f t="shared" si="237"/>
        <v>no need</v>
      </c>
      <c r="AV141" s="61">
        <f t="shared" si="189"/>
        <v>428.60399999999998</v>
      </c>
      <c r="AW141" s="61" t="str">
        <f t="shared" si="190"/>
        <v>OK</v>
      </c>
      <c r="AX141" s="63" t="e">
        <f t="shared" si="191"/>
        <v>#DIV/0!</v>
      </c>
      <c r="AY141" s="63">
        <f t="shared" si="192"/>
        <v>191</v>
      </c>
      <c r="AZ141" s="63">
        <f t="shared" si="193"/>
        <v>372.33201581027674</v>
      </c>
      <c r="BA141" s="63">
        <f t="shared" si="194"/>
        <v>63.249999999999993</v>
      </c>
      <c r="BB141" s="63">
        <f t="shared" si="195"/>
        <v>235.5</v>
      </c>
      <c r="BC141" s="63" t="str">
        <f t="shared" si="196"/>
        <v>OK</v>
      </c>
      <c r="BD141" s="63">
        <f t="shared" si="197"/>
        <v>559.94215655159576</v>
      </c>
      <c r="BE141" s="63">
        <f t="shared" si="198"/>
        <v>309.08575000000002</v>
      </c>
      <c r="BF141" s="63">
        <f t="shared" si="199"/>
        <v>212.43974999999995</v>
      </c>
      <c r="BG141" s="63">
        <f t="shared" si="200"/>
        <v>301.19479490281884</v>
      </c>
      <c r="BH141" s="63">
        <f t="shared" si="201"/>
        <v>183.2645</v>
      </c>
      <c r="BI141" s="63">
        <f t="shared" si="202"/>
        <v>183.2645</v>
      </c>
      <c r="BJ141" s="63">
        <f t="shared" si="203"/>
        <v>183.2645</v>
      </c>
      <c r="BK141" s="63" t="str">
        <f t="shared" si="204"/>
        <v>OK</v>
      </c>
      <c r="BL141" s="63">
        <f t="shared" si="205"/>
        <v>229.2</v>
      </c>
      <c r="BM141" s="63">
        <f t="shared" si="206"/>
        <v>382</v>
      </c>
      <c r="BN141" s="63">
        <f t="shared" si="207"/>
        <v>764</v>
      </c>
      <c r="BO141" s="63">
        <f t="shared" si="208"/>
        <v>1146</v>
      </c>
      <c r="BP141" s="63">
        <f t="shared" si="209"/>
        <v>48.322999999999993</v>
      </c>
      <c r="BQ141" s="63">
        <f t="shared" si="210"/>
        <v>296.75647891364622</v>
      </c>
      <c r="BR141" s="63" t="str">
        <f t="shared" si="211"/>
        <v>OK</v>
      </c>
      <c r="BW141" s="70">
        <f t="shared" si="238"/>
        <v>37.02600000000001</v>
      </c>
    </row>
    <row r="142" spans="4:104">
      <c r="D142" s="178"/>
      <c r="E142" s="178"/>
      <c r="F142" s="67" t="s">
        <v>15</v>
      </c>
      <c r="G142" s="78">
        <v>220</v>
      </c>
      <c r="H142" s="78">
        <v>450</v>
      </c>
      <c r="I142" s="79">
        <f t="shared" si="228"/>
        <v>74</v>
      </c>
      <c r="J142" s="80">
        <f t="shared" si="253"/>
        <v>376</v>
      </c>
      <c r="K142" s="81"/>
      <c r="L142" s="81"/>
      <c r="M142" s="81"/>
      <c r="N142" s="82">
        <f t="shared" si="229"/>
        <v>0</v>
      </c>
      <c r="O142" s="82">
        <f t="shared" si="254"/>
        <v>0</v>
      </c>
      <c r="P142" s="82">
        <f t="shared" si="255"/>
        <v>1</v>
      </c>
      <c r="Q142" s="83" t="str">
        <f t="shared" si="230"/>
        <v>Ok</v>
      </c>
      <c r="R142" s="84">
        <f t="shared" si="231"/>
        <v>0.82719999999999994</v>
      </c>
      <c r="S142" s="131">
        <f t="shared" si="187"/>
        <v>9.999999999999998E-4</v>
      </c>
      <c r="T142" s="86">
        <v>3</v>
      </c>
      <c r="U142" s="77">
        <v>28</v>
      </c>
      <c r="V142" s="87" t="str">
        <f t="shared" si="219"/>
        <v>+</v>
      </c>
      <c r="W142" s="86">
        <v>0</v>
      </c>
      <c r="X142" s="77">
        <v>0</v>
      </c>
      <c r="Y142" s="88">
        <f t="shared" si="256"/>
        <v>18.472564803107986</v>
      </c>
      <c r="Z142" s="89" t="str">
        <f t="shared" si="220"/>
        <v>Ok</v>
      </c>
      <c r="AA142" s="80">
        <f t="shared" si="232"/>
        <v>0</v>
      </c>
      <c r="AB142" s="80">
        <f t="shared" si="257"/>
        <v>219.37094331930888</v>
      </c>
      <c r="AC142" s="89" t="str">
        <f t="shared" si="188"/>
        <v>Ok</v>
      </c>
      <c r="AD142" s="85">
        <f t="shared" si="258"/>
        <v>1.8659156366775741E-2</v>
      </c>
      <c r="AE142" s="85">
        <f t="shared" si="233"/>
        <v>1.9281988961466403E-2</v>
      </c>
      <c r="AF142" s="60" t="str">
        <f t="shared" si="259"/>
        <v>Ok</v>
      </c>
      <c r="AG142" s="77">
        <v>10</v>
      </c>
      <c r="AH142" s="76">
        <v>2</v>
      </c>
      <c r="AI142" s="76">
        <v>200</v>
      </c>
      <c r="AJ142" s="60">
        <f t="shared" si="234"/>
        <v>7.8500000000000005</v>
      </c>
      <c r="AK142" s="60" t="str">
        <f t="shared" si="235"/>
        <v>OK</v>
      </c>
      <c r="AL142" s="109">
        <f t="shared" si="236"/>
        <v>300</v>
      </c>
      <c r="AT142" s="133" t="str">
        <f t="shared" si="237"/>
        <v>no need</v>
      </c>
      <c r="AV142" s="61">
        <f t="shared" si="189"/>
        <v>421.87200000000001</v>
      </c>
      <c r="AW142" s="61" t="str">
        <f t="shared" si="190"/>
        <v>OK</v>
      </c>
      <c r="AX142" s="63" t="e">
        <f t="shared" si="191"/>
        <v>#DIV/0!</v>
      </c>
      <c r="AY142" s="63">
        <f t="shared" si="192"/>
        <v>188</v>
      </c>
      <c r="AZ142" s="63">
        <f t="shared" si="193"/>
        <v>372.33201581027674</v>
      </c>
      <c r="BA142" s="63">
        <f t="shared" si="194"/>
        <v>63.249999999999993</v>
      </c>
      <c r="BB142" s="63">
        <f t="shared" si="195"/>
        <v>235.5</v>
      </c>
      <c r="BC142" s="63" t="str">
        <f t="shared" si="196"/>
        <v>OK</v>
      </c>
      <c r="BD142" s="63">
        <f t="shared" si="197"/>
        <v>551.14725356910992</v>
      </c>
      <c r="BE142" s="63">
        <f t="shared" si="198"/>
        <v>304.23099999999999</v>
      </c>
      <c r="BF142" s="63">
        <f t="shared" si="199"/>
        <v>209.10299999999998</v>
      </c>
      <c r="BG142" s="63">
        <f t="shared" si="200"/>
        <v>296.46398660591598</v>
      </c>
      <c r="BH142" s="63">
        <f t="shared" si="201"/>
        <v>180.386</v>
      </c>
      <c r="BI142" s="63">
        <f t="shared" si="202"/>
        <v>180.386</v>
      </c>
      <c r="BJ142" s="63">
        <f t="shared" si="203"/>
        <v>180.386</v>
      </c>
      <c r="BK142" s="63" t="str">
        <f t="shared" si="204"/>
        <v>OK</v>
      </c>
      <c r="BL142" s="63">
        <f t="shared" si="205"/>
        <v>225.6</v>
      </c>
      <c r="BM142" s="63">
        <f t="shared" si="206"/>
        <v>376</v>
      </c>
      <c r="BN142" s="63">
        <f t="shared" si="207"/>
        <v>752</v>
      </c>
      <c r="BO142" s="63">
        <f t="shared" si="208"/>
        <v>1128</v>
      </c>
      <c r="BP142" s="63">
        <f t="shared" si="209"/>
        <v>47.563999999999993</v>
      </c>
      <c r="BQ142" s="63">
        <f t="shared" si="210"/>
        <v>77.321380583656236</v>
      </c>
      <c r="BR142" s="63" t="str">
        <f t="shared" si="211"/>
        <v>OK</v>
      </c>
      <c r="BW142" s="70">
        <f t="shared" si="238"/>
        <v>37.02600000000001</v>
      </c>
    </row>
    <row r="143" spans="4:104">
      <c r="D143" s="179" t="s">
        <v>90</v>
      </c>
      <c r="E143" s="179" t="s">
        <v>90</v>
      </c>
      <c r="F143" s="91" t="s">
        <v>15</v>
      </c>
      <c r="G143" s="78">
        <v>220</v>
      </c>
      <c r="H143" s="78">
        <v>450</v>
      </c>
      <c r="I143" s="92">
        <f t="shared" si="228"/>
        <v>103</v>
      </c>
      <c r="J143" s="93">
        <f t="shared" si="253"/>
        <v>347</v>
      </c>
      <c r="K143" s="94"/>
      <c r="L143" s="94"/>
      <c r="M143" s="94"/>
      <c r="N143" s="95">
        <f t="shared" si="229"/>
        <v>0</v>
      </c>
      <c r="O143" s="95">
        <f t="shared" si="254"/>
        <v>0</v>
      </c>
      <c r="P143" s="95">
        <f t="shared" si="255"/>
        <v>1</v>
      </c>
      <c r="Q143" s="96" t="str">
        <f t="shared" si="230"/>
        <v>Ok</v>
      </c>
      <c r="R143" s="97">
        <f t="shared" si="231"/>
        <v>0.76340000000000008</v>
      </c>
      <c r="S143" s="131">
        <f t="shared" si="187"/>
        <v>1.0000000000000002E-3</v>
      </c>
      <c r="T143" s="99">
        <v>3</v>
      </c>
      <c r="U143" s="100">
        <v>28</v>
      </c>
      <c r="V143" s="101" t="str">
        <f t="shared" si="219"/>
        <v>+</v>
      </c>
      <c r="W143" s="99">
        <v>3</v>
      </c>
      <c r="X143" s="100">
        <v>28</v>
      </c>
      <c r="Y143" s="102">
        <f t="shared" si="256"/>
        <v>36.945129606215971</v>
      </c>
      <c r="Z143" s="103" t="str">
        <f t="shared" si="220"/>
        <v>Ok</v>
      </c>
      <c r="AA143" s="93">
        <f t="shared" si="232"/>
        <v>330.07722813585804</v>
      </c>
      <c r="AB143" s="93">
        <f t="shared" si="257"/>
        <v>326.18466610194088</v>
      </c>
      <c r="AC143" s="89" t="str">
        <f t="shared" si="188"/>
        <v>Ok</v>
      </c>
      <c r="AD143" s="98">
        <f t="shared" si="258"/>
        <v>3.7318312733551483E-2</v>
      </c>
      <c r="AE143" s="98">
        <f t="shared" si="233"/>
        <v>1.9281988961466403E-2</v>
      </c>
      <c r="AF143" s="104" t="str">
        <f t="shared" si="259"/>
        <v>No-Ok</v>
      </c>
      <c r="AG143" s="100">
        <v>10</v>
      </c>
      <c r="AH143" s="105">
        <v>2</v>
      </c>
      <c r="AI143" s="105">
        <v>200</v>
      </c>
      <c r="AJ143" s="104">
        <f t="shared" si="234"/>
        <v>7.8500000000000005</v>
      </c>
      <c r="AK143" s="60" t="str">
        <f t="shared" si="235"/>
        <v>OK</v>
      </c>
      <c r="AL143" s="109">
        <f t="shared" si="236"/>
        <v>300</v>
      </c>
      <c r="AT143" s="133" t="str">
        <f t="shared" si="237"/>
        <v>no need</v>
      </c>
      <c r="AV143" s="61">
        <f t="shared" si="189"/>
        <v>389.334</v>
      </c>
      <c r="AW143" s="61" t="str">
        <f t="shared" si="190"/>
        <v>OK</v>
      </c>
      <c r="AX143" s="63" t="e">
        <f t="shared" si="191"/>
        <v>#DIV/0!</v>
      </c>
      <c r="AY143" s="63">
        <f t="shared" si="192"/>
        <v>173.5</v>
      </c>
      <c r="AZ143" s="63">
        <f t="shared" si="193"/>
        <v>372.33201581027674</v>
      </c>
      <c r="BA143" s="63">
        <f t="shared" si="194"/>
        <v>63.249999999999993</v>
      </c>
      <c r="BB143" s="63">
        <f t="shared" si="195"/>
        <v>235.5</v>
      </c>
      <c r="BC143" s="63" t="str">
        <f t="shared" si="196"/>
        <v>OK</v>
      </c>
      <c r="BD143" s="63">
        <f t="shared" si="197"/>
        <v>508.63855582042862</v>
      </c>
      <c r="BE143" s="63">
        <f t="shared" si="198"/>
        <v>280.76637499999998</v>
      </c>
      <c r="BF143" s="63">
        <f t="shared" si="199"/>
        <v>192.97537499999996</v>
      </c>
      <c r="BG143" s="63">
        <f t="shared" si="200"/>
        <v>273.59841317088518</v>
      </c>
      <c r="BH143" s="63">
        <f t="shared" si="201"/>
        <v>166.47324999999998</v>
      </c>
      <c r="BI143" s="63">
        <f t="shared" si="202"/>
        <v>166.47324999999998</v>
      </c>
      <c r="BJ143" s="63">
        <f t="shared" si="203"/>
        <v>166.47324999999998</v>
      </c>
      <c r="BK143" s="63" t="str">
        <f t="shared" si="204"/>
        <v>OK</v>
      </c>
      <c r="BL143" s="63">
        <f t="shared" si="205"/>
        <v>208.2</v>
      </c>
      <c r="BM143" s="63">
        <f t="shared" si="206"/>
        <v>347</v>
      </c>
      <c r="BN143" s="63">
        <f t="shared" si="207"/>
        <v>694</v>
      </c>
      <c r="BO143" s="63">
        <f t="shared" si="208"/>
        <v>1041</v>
      </c>
      <c r="BP143" s="63">
        <f t="shared" si="209"/>
        <v>43.895499999999991</v>
      </c>
      <c r="BQ143" s="63">
        <f t="shared" si="210"/>
        <v>288.57056692767077</v>
      </c>
      <c r="BR143" s="63" t="str">
        <f t="shared" si="211"/>
        <v>OK</v>
      </c>
      <c r="BW143" s="70">
        <f t="shared" si="238"/>
        <v>37.02600000000001</v>
      </c>
    </row>
    <row r="144" spans="4:104">
      <c r="D144" s="180"/>
      <c r="E144" s="180"/>
      <c r="F144" s="106" t="s">
        <v>16</v>
      </c>
      <c r="G144" s="78">
        <v>220</v>
      </c>
      <c r="H144" s="78">
        <v>450</v>
      </c>
      <c r="I144" s="92">
        <f t="shared" si="228"/>
        <v>97</v>
      </c>
      <c r="J144" s="93">
        <f t="shared" si="253"/>
        <v>353</v>
      </c>
      <c r="K144" s="94"/>
      <c r="L144" s="94"/>
      <c r="M144" s="94"/>
      <c r="N144" s="95">
        <f t="shared" si="229"/>
        <v>0</v>
      </c>
      <c r="O144" s="95">
        <f t="shared" si="254"/>
        <v>0</v>
      </c>
      <c r="P144" s="95">
        <f t="shared" si="255"/>
        <v>1</v>
      </c>
      <c r="Q144" s="96" t="str">
        <f t="shared" si="230"/>
        <v>Ok</v>
      </c>
      <c r="R144" s="97">
        <f t="shared" si="231"/>
        <v>0.77659999999999996</v>
      </c>
      <c r="S144" s="131">
        <f t="shared" si="187"/>
        <v>1E-3</v>
      </c>
      <c r="T144" s="99">
        <v>3</v>
      </c>
      <c r="U144" s="100">
        <v>22</v>
      </c>
      <c r="V144" s="101" t="str">
        <f t="shared" si="219"/>
        <v>+</v>
      </c>
      <c r="W144" s="99">
        <v>3</v>
      </c>
      <c r="X144" s="100">
        <v>22</v>
      </c>
      <c r="Y144" s="102">
        <f t="shared" si="256"/>
        <v>22.807962665061901</v>
      </c>
      <c r="Z144" s="103" t="str">
        <f t="shared" si="220"/>
        <v>Ok</v>
      </c>
      <c r="AA144" s="93">
        <f t="shared" si="232"/>
        <v>147.37765536693294</v>
      </c>
      <c r="AB144" s="93">
        <f t="shared" si="257"/>
        <v>265.55351980439576</v>
      </c>
      <c r="AC144" s="89" t="str">
        <f t="shared" si="188"/>
        <v>Ok</v>
      </c>
      <c r="AD144" s="98">
        <f t="shared" si="258"/>
        <v>2.3038346126325153E-2</v>
      </c>
      <c r="AE144" s="98">
        <f t="shared" si="233"/>
        <v>1.9281988961466403E-2</v>
      </c>
      <c r="AF144" s="104" t="str">
        <f t="shared" si="259"/>
        <v>No-Ok</v>
      </c>
      <c r="AG144" s="100">
        <v>10</v>
      </c>
      <c r="AH144" s="105">
        <v>2</v>
      </c>
      <c r="AI144" s="105">
        <v>200</v>
      </c>
      <c r="AJ144" s="104">
        <f t="shared" si="234"/>
        <v>7.8500000000000005</v>
      </c>
      <c r="AK144" s="60" t="str">
        <f t="shared" si="235"/>
        <v>OK</v>
      </c>
      <c r="AL144" s="109">
        <f t="shared" si="236"/>
        <v>300</v>
      </c>
      <c r="AT144" s="133" t="str">
        <f t="shared" si="237"/>
        <v>no need</v>
      </c>
      <c r="AV144" s="61">
        <f t="shared" si="189"/>
        <v>396.06599999999997</v>
      </c>
      <c r="AW144" s="61" t="str">
        <f t="shared" si="190"/>
        <v>OK</v>
      </c>
      <c r="AX144" s="63" t="e">
        <f t="shared" si="191"/>
        <v>#DIV/0!</v>
      </c>
      <c r="AY144" s="63">
        <f t="shared" si="192"/>
        <v>176.5</v>
      </c>
      <c r="AZ144" s="63">
        <f t="shared" si="193"/>
        <v>372.33201581027674</v>
      </c>
      <c r="BA144" s="63">
        <f t="shared" si="194"/>
        <v>63.249999999999993</v>
      </c>
      <c r="BB144" s="63">
        <f t="shared" si="195"/>
        <v>235.5</v>
      </c>
      <c r="BC144" s="63" t="str">
        <f t="shared" si="196"/>
        <v>OK</v>
      </c>
      <c r="BD144" s="63">
        <f t="shared" si="197"/>
        <v>517.4334588029144</v>
      </c>
      <c r="BE144" s="63">
        <f t="shared" si="198"/>
        <v>285.62112500000001</v>
      </c>
      <c r="BF144" s="63">
        <f t="shared" si="199"/>
        <v>196.31212499999998</v>
      </c>
      <c r="BG144" s="63">
        <f t="shared" si="200"/>
        <v>278.3292214677881</v>
      </c>
      <c r="BH144" s="63">
        <f t="shared" si="201"/>
        <v>169.35174999999998</v>
      </c>
      <c r="BI144" s="63">
        <f t="shared" si="202"/>
        <v>169.35174999999998</v>
      </c>
      <c r="BJ144" s="63">
        <f t="shared" si="203"/>
        <v>169.35174999999998</v>
      </c>
      <c r="BK144" s="63" t="str">
        <f t="shared" si="204"/>
        <v>OK</v>
      </c>
      <c r="BL144" s="63">
        <f t="shared" si="205"/>
        <v>211.79999999999998</v>
      </c>
      <c r="BM144" s="63">
        <f t="shared" si="206"/>
        <v>353</v>
      </c>
      <c r="BN144" s="63">
        <f t="shared" si="207"/>
        <v>706</v>
      </c>
      <c r="BO144" s="63">
        <f t="shared" si="208"/>
        <v>1059</v>
      </c>
      <c r="BP144" s="63">
        <f t="shared" si="209"/>
        <v>44.654499999999992</v>
      </c>
      <c r="BQ144" s="63">
        <f t="shared" si="210"/>
        <v>516.07959270692425</v>
      </c>
      <c r="BR144" s="63" t="str">
        <f t="shared" si="211"/>
        <v>OK</v>
      </c>
      <c r="BW144" s="70">
        <f t="shared" si="238"/>
        <v>37.02600000000001</v>
      </c>
    </row>
    <row r="145" spans="4:104">
      <c r="D145" s="181"/>
      <c r="E145" s="181"/>
      <c r="F145" s="91" t="s">
        <v>15</v>
      </c>
      <c r="G145" s="78">
        <v>220</v>
      </c>
      <c r="H145" s="78">
        <v>450</v>
      </c>
      <c r="I145" s="92">
        <f t="shared" si="228"/>
        <v>97</v>
      </c>
      <c r="J145" s="93">
        <f t="shared" si="253"/>
        <v>353</v>
      </c>
      <c r="K145" s="94"/>
      <c r="L145" s="94"/>
      <c r="M145" s="94"/>
      <c r="N145" s="95">
        <f t="shared" si="229"/>
        <v>0</v>
      </c>
      <c r="O145" s="95">
        <f t="shared" si="254"/>
        <v>0</v>
      </c>
      <c r="P145" s="95">
        <f t="shared" si="255"/>
        <v>1</v>
      </c>
      <c r="Q145" s="96" t="str">
        <f t="shared" si="230"/>
        <v>Ok</v>
      </c>
      <c r="R145" s="97">
        <f t="shared" si="231"/>
        <v>0.77659999999999996</v>
      </c>
      <c r="S145" s="131">
        <f t="shared" si="187"/>
        <v>1E-3</v>
      </c>
      <c r="T145" s="99">
        <v>3</v>
      </c>
      <c r="U145" s="100">
        <v>22</v>
      </c>
      <c r="V145" s="101" t="str">
        <f t="shared" si="219"/>
        <v>+</v>
      </c>
      <c r="W145" s="99">
        <v>3</v>
      </c>
      <c r="X145" s="100">
        <v>22</v>
      </c>
      <c r="Y145" s="102">
        <f t="shared" si="256"/>
        <v>22.807962665061901</v>
      </c>
      <c r="Z145" s="103" t="str">
        <f t="shared" si="220"/>
        <v>Ok</v>
      </c>
      <c r="AA145" s="93">
        <f t="shared" si="232"/>
        <v>147.37765536693294</v>
      </c>
      <c r="AB145" s="93">
        <f t="shared" si="257"/>
        <v>265.55351980439576</v>
      </c>
      <c r="AC145" s="89" t="str">
        <f t="shared" si="188"/>
        <v>Ok</v>
      </c>
      <c r="AD145" s="98">
        <f t="shared" si="258"/>
        <v>2.3038346126325153E-2</v>
      </c>
      <c r="AE145" s="98">
        <f t="shared" si="233"/>
        <v>1.9281988961466403E-2</v>
      </c>
      <c r="AF145" s="104" t="str">
        <f t="shared" si="259"/>
        <v>No-Ok</v>
      </c>
      <c r="AG145" s="100">
        <v>10</v>
      </c>
      <c r="AH145" s="105">
        <v>2</v>
      </c>
      <c r="AI145" s="105">
        <v>200</v>
      </c>
      <c r="AJ145" s="104">
        <f t="shared" si="234"/>
        <v>7.8500000000000005</v>
      </c>
      <c r="AK145" s="60" t="str">
        <f t="shared" si="235"/>
        <v>OK</v>
      </c>
      <c r="AL145" s="109">
        <f t="shared" si="236"/>
        <v>300</v>
      </c>
      <c r="AT145" s="133" t="str">
        <f t="shared" si="237"/>
        <v>no need</v>
      </c>
      <c r="AV145" s="61">
        <f t="shared" si="189"/>
        <v>396.06599999999997</v>
      </c>
      <c r="AW145" s="61" t="str">
        <f t="shared" si="190"/>
        <v>OK</v>
      </c>
      <c r="AX145" s="63" t="e">
        <f t="shared" si="191"/>
        <v>#DIV/0!</v>
      </c>
      <c r="AY145" s="63">
        <f t="shared" si="192"/>
        <v>176.5</v>
      </c>
      <c r="AZ145" s="63">
        <f t="shared" si="193"/>
        <v>372.33201581027674</v>
      </c>
      <c r="BA145" s="63">
        <f t="shared" si="194"/>
        <v>63.249999999999993</v>
      </c>
      <c r="BB145" s="63">
        <f t="shared" si="195"/>
        <v>235.5</v>
      </c>
      <c r="BC145" s="63" t="str">
        <f t="shared" si="196"/>
        <v>OK</v>
      </c>
      <c r="BD145" s="63">
        <f t="shared" si="197"/>
        <v>517.4334588029144</v>
      </c>
      <c r="BE145" s="63">
        <f t="shared" si="198"/>
        <v>285.62112500000001</v>
      </c>
      <c r="BF145" s="63">
        <f t="shared" si="199"/>
        <v>196.31212499999998</v>
      </c>
      <c r="BG145" s="63">
        <f t="shared" si="200"/>
        <v>278.3292214677881</v>
      </c>
      <c r="BH145" s="63">
        <f t="shared" si="201"/>
        <v>169.35174999999998</v>
      </c>
      <c r="BI145" s="63">
        <f t="shared" si="202"/>
        <v>169.35174999999998</v>
      </c>
      <c r="BJ145" s="63">
        <f t="shared" si="203"/>
        <v>169.35174999999998</v>
      </c>
      <c r="BK145" s="63" t="str">
        <f t="shared" si="204"/>
        <v>OK</v>
      </c>
      <c r="BL145" s="63">
        <f t="shared" si="205"/>
        <v>211.79999999999998</v>
      </c>
      <c r="BM145" s="63">
        <f t="shared" si="206"/>
        <v>353</v>
      </c>
      <c r="BN145" s="63">
        <f t="shared" si="207"/>
        <v>706</v>
      </c>
      <c r="BO145" s="63">
        <f t="shared" si="208"/>
        <v>1059</v>
      </c>
      <c r="BP145" s="63">
        <f t="shared" si="209"/>
        <v>44.654499999999992</v>
      </c>
      <c r="BQ145" s="63">
        <f t="shared" si="210"/>
        <v>329.87761338302221</v>
      </c>
      <c r="BR145" s="63" t="str">
        <f t="shared" si="211"/>
        <v>OK</v>
      </c>
      <c r="BW145" s="70">
        <f t="shared" si="238"/>
        <v>37.02600000000001</v>
      </c>
    </row>
    <row r="146" spans="4:104">
      <c r="D146" s="176" t="s">
        <v>90</v>
      </c>
      <c r="E146" s="176" t="s">
        <v>90</v>
      </c>
      <c r="F146" s="67" t="s">
        <v>15</v>
      </c>
      <c r="G146" s="78">
        <v>220</v>
      </c>
      <c r="H146" s="78">
        <v>450</v>
      </c>
      <c r="I146" s="79">
        <f t="shared" si="228"/>
        <v>97</v>
      </c>
      <c r="J146" s="80">
        <f t="shared" si="253"/>
        <v>353</v>
      </c>
      <c r="K146" s="81"/>
      <c r="L146" s="81"/>
      <c r="M146" s="81"/>
      <c r="N146" s="82">
        <f t="shared" si="229"/>
        <v>0</v>
      </c>
      <c r="O146" s="82">
        <f t="shared" si="254"/>
        <v>0</v>
      </c>
      <c r="P146" s="82">
        <f t="shared" si="255"/>
        <v>1</v>
      </c>
      <c r="Q146" s="83" t="str">
        <f t="shared" si="230"/>
        <v>Ok</v>
      </c>
      <c r="R146" s="84">
        <f t="shared" si="231"/>
        <v>0.77659999999999996</v>
      </c>
      <c r="S146" s="131">
        <f t="shared" si="187"/>
        <v>1E-3</v>
      </c>
      <c r="T146" s="86">
        <v>3</v>
      </c>
      <c r="U146" s="77">
        <v>22</v>
      </c>
      <c r="V146" s="87" t="str">
        <f t="shared" si="219"/>
        <v>+</v>
      </c>
      <c r="W146" s="86">
        <v>3</v>
      </c>
      <c r="X146" s="77">
        <v>22</v>
      </c>
      <c r="Y146" s="88">
        <f t="shared" si="256"/>
        <v>22.807962665061901</v>
      </c>
      <c r="Z146" s="89" t="str">
        <f t="shared" si="220"/>
        <v>Ok</v>
      </c>
      <c r="AA146" s="80">
        <f t="shared" si="232"/>
        <v>104.44325576623555</v>
      </c>
      <c r="AB146" s="80">
        <f t="shared" si="257"/>
        <v>267.80980644614226</v>
      </c>
      <c r="AC146" s="89" t="str">
        <f t="shared" si="188"/>
        <v>Ok</v>
      </c>
      <c r="AD146" s="85">
        <f t="shared" si="258"/>
        <v>2.3038346126325153E-2</v>
      </c>
      <c r="AE146" s="85">
        <f t="shared" si="233"/>
        <v>1.9281988961466403E-2</v>
      </c>
      <c r="AF146" s="60" t="str">
        <f t="shared" si="259"/>
        <v>No-Ok</v>
      </c>
      <c r="AG146" s="77">
        <v>10</v>
      </c>
      <c r="AH146" s="76">
        <v>2</v>
      </c>
      <c r="AI146" s="76">
        <v>200</v>
      </c>
      <c r="AJ146" s="60">
        <f t="shared" si="234"/>
        <v>7.8500000000000005</v>
      </c>
      <c r="AK146" s="60" t="str">
        <f t="shared" si="235"/>
        <v>OK</v>
      </c>
      <c r="AL146" s="109">
        <f t="shared" si="236"/>
        <v>300</v>
      </c>
      <c r="AT146" s="133" t="str">
        <f t="shared" si="237"/>
        <v>no need</v>
      </c>
      <c r="AV146" s="61">
        <f t="shared" si="189"/>
        <v>396.06599999999997</v>
      </c>
      <c r="AW146" s="61" t="str">
        <f t="shared" si="190"/>
        <v>OK</v>
      </c>
      <c r="AX146" s="63" t="e">
        <f t="shared" si="191"/>
        <v>#DIV/0!</v>
      </c>
      <c r="AY146" s="63">
        <f t="shared" si="192"/>
        <v>176.5</v>
      </c>
      <c r="AZ146" s="63">
        <f t="shared" si="193"/>
        <v>372.33201581027674</v>
      </c>
      <c r="BA146" s="63">
        <f t="shared" si="194"/>
        <v>63.249999999999993</v>
      </c>
      <c r="BB146" s="63">
        <f t="shared" si="195"/>
        <v>235.5</v>
      </c>
      <c r="BC146" s="63" t="str">
        <f t="shared" si="196"/>
        <v>OK</v>
      </c>
      <c r="BD146" s="63">
        <f t="shared" si="197"/>
        <v>517.4334588029144</v>
      </c>
      <c r="BE146" s="63">
        <f t="shared" si="198"/>
        <v>285.62112500000001</v>
      </c>
      <c r="BF146" s="63">
        <f t="shared" si="199"/>
        <v>196.31212499999998</v>
      </c>
      <c r="BG146" s="63">
        <f t="shared" si="200"/>
        <v>278.3292214677881</v>
      </c>
      <c r="BH146" s="63">
        <f t="shared" si="201"/>
        <v>169.35174999999998</v>
      </c>
      <c r="BI146" s="63">
        <f t="shared" si="202"/>
        <v>169.35174999999998</v>
      </c>
      <c r="BJ146" s="63">
        <f t="shared" si="203"/>
        <v>169.35174999999998</v>
      </c>
      <c r="BK146" s="63" t="str">
        <f t="shared" si="204"/>
        <v>OK</v>
      </c>
      <c r="BL146" s="63">
        <f t="shared" si="205"/>
        <v>211.79999999999998</v>
      </c>
      <c r="BM146" s="63">
        <f t="shared" si="206"/>
        <v>353</v>
      </c>
      <c r="BN146" s="63">
        <f t="shared" si="207"/>
        <v>706</v>
      </c>
      <c r="BO146" s="63">
        <f t="shared" si="208"/>
        <v>1059</v>
      </c>
      <c r="BP146" s="63">
        <f t="shared" si="209"/>
        <v>44.654499999999992</v>
      </c>
      <c r="BQ146" s="63">
        <f t="shared" si="210"/>
        <v>329.87761338302221</v>
      </c>
      <c r="BR146" s="63" t="str">
        <f t="shared" si="211"/>
        <v>OK</v>
      </c>
      <c r="BW146" s="70">
        <f t="shared" si="238"/>
        <v>37.02600000000001</v>
      </c>
    </row>
    <row r="147" spans="4:104">
      <c r="D147" s="177"/>
      <c r="E147" s="177"/>
      <c r="F147" s="68" t="s">
        <v>16</v>
      </c>
      <c r="G147" s="78">
        <v>220</v>
      </c>
      <c r="H147" s="78">
        <v>450</v>
      </c>
      <c r="I147" s="79">
        <f t="shared" si="228"/>
        <v>100</v>
      </c>
      <c r="J147" s="80">
        <f t="shared" si="253"/>
        <v>350</v>
      </c>
      <c r="K147" s="81"/>
      <c r="L147" s="81"/>
      <c r="M147" s="81"/>
      <c r="N147" s="82">
        <f t="shared" si="229"/>
        <v>0</v>
      </c>
      <c r="O147" s="82">
        <f t="shared" si="254"/>
        <v>0</v>
      </c>
      <c r="P147" s="82">
        <f t="shared" si="255"/>
        <v>1</v>
      </c>
      <c r="Q147" s="83" t="str">
        <f t="shared" si="230"/>
        <v>Ok</v>
      </c>
      <c r="R147" s="84">
        <f t="shared" si="231"/>
        <v>0.77</v>
      </c>
      <c r="S147" s="131">
        <f t="shared" si="187"/>
        <v>1E-3</v>
      </c>
      <c r="T147" s="86">
        <v>3</v>
      </c>
      <c r="U147" s="77">
        <v>25</v>
      </c>
      <c r="V147" s="87" t="str">
        <f t="shared" si="219"/>
        <v>+</v>
      </c>
      <c r="W147" s="86">
        <v>3</v>
      </c>
      <c r="X147" s="77">
        <v>25</v>
      </c>
      <c r="Y147" s="88">
        <f t="shared" si="256"/>
        <v>29.45243112740431</v>
      </c>
      <c r="Z147" s="89" t="str">
        <f t="shared" si="220"/>
        <v>Ok</v>
      </c>
      <c r="AA147" s="80">
        <f t="shared" si="232"/>
        <v>141.89666818386522</v>
      </c>
      <c r="AB147" s="80">
        <f t="shared" si="257"/>
        <v>331.76029705905461</v>
      </c>
      <c r="AC147" s="89" t="str">
        <f t="shared" si="188"/>
        <v>Ok</v>
      </c>
      <c r="AD147" s="85">
        <f t="shared" si="258"/>
        <v>2.9749930431721527E-2</v>
      </c>
      <c r="AE147" s="85">
        <f t="shared" si="233"/>
        <v>1.9281988961466403E-2</v>
      </c>
      <c r="AF147" s="60" t="str">
        <f t="shared" si="259"/>
        <v>No-Ok</v>
      </c>
      <c r="AG147" s="77">
        <v>10</v>
      </c>
      <c r="AH147" s="76">
        <v>2</v>
      </c>
      <c r="AI147" s="76">
        <v>200</v>
      </c>
      <c r="AJ147" s="60">
        <f t="shared" si="234"/>
        <v>7.8500000000000005</v>
      </c>
      <c r="AK147" s="60" t="str">
        <f t="shared" si="235"/>
        <v>OK</v>
      </c>
      <c r="AL147" s="109">
        <f t="shared" si="236"/>
        <v>300</v>
      </c>
      <c r="AT147" s="133" t="str">
        <f t="shared" si="237"/>
        <v>no need</v>
      </c>
      <c r="AV147" s="61">
        <f t="shared" si="189"/>
        <v>392.7</v>
      </c>
      <c r="AW147" s="61" t="str">
        <f t="shared" si="190"/>
        <v>OK</v>
      </c>
      <c r="AX147" s="63" t="e">
        <f t="shared" si="191"/>
        <v>#DIV/0!</v>
      </c>
      <c r="AY147" s="63">
        <f t="shared" si="192"/>
        <v>175</v>
      </c>
      <c r="AZ147" s="63">
        <f t="shared" si="193"/>
        <v>372.33201581027674</v>
      </c>
      <c r="BA147" s="63">
        <f t="shared" si="194"/>
        <v>63.249999999999993</v>
      </c>
      <c r="BB147" s="63">
        <f t="shared" si="195"/>
        <v>235.5</v>
      </c>
      <c r="BC147" s="63" t="str">
        <f t="shared" si="196"/>
        <v>OK</v>
      </c>
      <c r="BD147" s="63">
        <f t="shared" si="197"/>
        <v>513.03600731167148</v>
      </c>
      <c r="BE147" s="63">
        <f t="shared" si="198"/>
        <v>283.19375000000002</v>
      </c>
      <c r="BF147" s="63">
        <f t="shared" si="199"/>
        <v>194.64374999999995</v>
      </c>
      <c r="BG147" s="63">
        <f t="shared" si="200"/>
        <v>275.96381731933667</v>
      </c>
      <c r="BH147" s="63">
        <f t="shared" si="201"/>
        <v>167.91249999999999</v>
      </c>
      <c r="BI147" s="63">
        <f t="shared" si="202"/>
        <v>167.91249999999999</v>
      </c>
      <c r="BJ147" s="63">
        <f t="shared" si="203"/>
        <v>167.91249999999999</v>
      </c>
      <c r="BK147" s="63" t="str">
        <f t="shared" si="204"/>
        <v>OK</v>
      </c>
      <c r="BL147" s="63">
        <f t="shared" si="205"/>
        <v>210</v>
      </c>
      <c r="BM147" s="63">
        <f t="shared" si="206"/>
        <v>350</v>
      </c>
      <c r="BN147" s="63">
        <f t="shared" si="207"/>
        <v>700</v>
      </c>
      <c r="BO147" s="63">
        <f t="shared" si="208"/>
        <v>1050</v>
      </c>
      <c r="BP147" s="63">
        <f t="shared" si="209"/>
        <v>44.274999999999991</v>
      </c>
      <c r="BQ147" s="63">
        <f t="shared" si="210"/>
        <v>329.87761338302221</v>
      </c>
      <c r="BR147" s="63" t="str">
        <f t="shared" si="211"/>
        <v>OK</v>
      </c>
      <c r="BW147" s="70">
        <f t="shared" si="238"/>
        <v>37.02600000000001</v>
      </c>
    </row>
    <row r="148" spans="4:104">
      <c r="D148" s="178"/>
      <c r="E148" s="178"/>
      <c r="F148" s="67" t="s">
        <v>15</v>
      </c>
      <c r="G148" s="78">
        <v>220</v>
      </c>
      <c r="H148" s="78">
        <v>450</v>
      </c>
      <c r="I148" s="79">
        <f t="shared" ref="I148:I163" si="260">$J$12+((T148*fi(U148)*U148/2+W148*fi(X148)*(U148+30+X148/2)))/(T148*fi(U148)+W148*fi(X148))</f>
        <v>103</v>
      </c>
      <c r="J148" s="80">
        <f t="shared" si="253"/>
        <v>347</v>
      </c>
      <c r="K148" s="81"/>
      <c r="L148" s="81"/>
      <c r="M148" s="81"/>
      <c r="N148" s="82">
        <f t="shared" ref="N148:N163" si="261">ABS(K148)*10^6/($J$11*$H$4*G148*J148^2)</f>
        <v>0</v>
      </c>
      <c r="O148" s="82">
        <f t="shared" si="254"/>
        <v>0</v>
      </c>
      <c r="P148" s="82">
        <f t="shared" si="255"/>
        <v>1</v>
      </c>
      <c r="Q148" s="83" t="str">
        <f t="shared" ref="Q148:Q163" si="262">IF(O148&lt;$J$13,"Ok","Not Ok")</f>
        <v>Ok</v>
      </c>
      <c r="R148" s="84">
        <f t="shared" ref="R148:R163" si="263">MAX(ABS(K148)*10^6/($H$6*P148*J148),0.001*G148*J148)/100</f>
        <v>0.76340000000000008</v>
      </c>
      <c r="S148" s="131">
        <f t="shared" si="187"/>
        <v>1.0000000000000002E-3</v>
      </c>
      <c r="T148" s="86">
        <v>3</v>
      </c>
      <c r="U148" s="77">
        <v>28</v>
      </c>
      <c r="V148" s="87" t="str">
        <f t="shared" si="219"/>
        <v>+</v>
      </c>
      <c r="W148" s="86">
        <v>3</v>
      </c>
      <c r="X148" s="77">
        <v>28</v>
      </c>
      <c r="Y148" s="88">
        <f t="shared" si="256"/>
        <v>36.945129606215971</v>
      </c>
      <c r="Z148" s="89" t="str">
        <f t="shared" si="220"/>
        <v>Ok</v>
      </c>
      <c r="AA148" s="80">
        <f t="shared" ref="AA148:AA163" si="264">($H$6*Y148*100-$H$6*(T149*PI()*U149^2/4))/($J$11*$H$4*G148)</f>
        <v>330.07722813585804</v>
      </c>
      <c r="AB148" s="80">
        <f t="shared" si="257"/>
        <v>326.18466610194088</v>
      </c>
      <c r="AC148" s="89" t="str">
        <f t="shared" si="188"/>
        <v>Ok</v>
      </c>
      <c r="AD148" s="85">
        <f t="shared" si="258"/>
        <v>3.7318312733551483E-2</v>
      </c>
      <c r="AE148" s="85">
        <f t="shared" ref="AE148:AE163" si="265">$J$13*$H$4/$H$6</f>
        <v>1.9281988961466403E-2</v>
      </c>
      <c r="AF148" s="60" t="str">
        <f t="shared" si="259"/>
        <v>No-Ok</v>
      </c>
      <c r="AG148" s="77">
        <v>10</v>
      </c>
      <c r="AH148" s="76">
        <v>2</v>
      </c>
      <c r="AI148" s="76">
        <v>200</v>
      </c>
      <c r="AJ148" s="60">
        <f t="shared" ref="AJ148:AJ163" si="266">(10/AI148)*2*(3.14*AG148^2)/4</f>
        <v>7.8500000000000005</v>
      </c>
      <c r="AK148" s="60" t="str">
        <f t="shared" ref="AK148:AK163" si="267">IF(AND(AV148&gt;L148,BB148&gt;BA148,BJ148&gt;L148),"OK","NOT OK")</f>
        <v>OK</v>
      </c>
      <c r="AL148" s="109">
        <f t="shared" ref="AL148:AL163" si="268">IF(AG148&lt;10,$O$7,$O$8)</f>
        <v>300</v>
      </c>
      <c r="AT148" s="133" t="str">
        <f t="shared" ref="AT148:AT163" si="269">IF(L148&gt;BP148, "need","no need")</f>
        <v>no need</v>
      </c>
      <c r="AV148" s="61">
        <f t="shared" si="189"/>
        <v>389.334</v>
      </c>
      <c r="AW148" s="61" t="str">
        <f t="shared" si="190"/>
        <v>OK</v>
      </c>
      <c r="AX148" s="63" t="e">
        <f t="shared" si="191"/>
        <v>#DIV/0!</v>
      </c>
      <c r="AY148" s="63">
        <f t="shared" si="192"/>
        <v>173.5</v>
      </c>
      <c r="AZ148" s="63">
        <f t="shared" si="193"/>
        <v>372.33201581027674</v>
      </c>
      <c r="BA148" s="63">
        <f t="shared" si="194"/>
        <v>63.249999999999993</v>
      </c>
      <c r="BB148" s="63">
        <f t="shared" si="195"/>
        <v>235.5</v>
      </c>
      <c r="BC148" s="63" t="str">
        <f t="shared" si="196"/>
        <v>OK</v>
      </c>
      <c r="BD148" s="63">
        <f t="shared" si="197"/>
        <v>508.63855582042862</v>
      </c>
      <c r="BE148" s="63">
        <f t="shared" si="198"/>
        <v>280.76637499999998</v>
      </c>
      <c r="BF148" s="63">
        <f t="shared" si="199"/>
        <v>192.97537499999996</v>
      </c>
      <c r="BG148" s="63">
        <f t="shared" si="200"/>
        <v>273.59841317088518</v>
      </c>
      <c r="BH148" s="63">
        <f t="shared" si="201"/>
        <v>166.47324999999998</v>
      </c>
      <c r="BI148" s="63">
        <f t="shared" si="202"/>
        <v>166.47324999999998</v>
      </c>
      <c r="BJ148" s="63">
        <f t="shared" si="203"/>
        <v>166.47324999999998</v>
      </c>
      <c r="BK148" s="63" t="str">
        <f t="shared" si="204"/>
        <v>OK</v>
      </c>
      <c r="BL148" s="63">
        <f t="shared" si="205"/>
        <v>208.2</v>
      </c>
      <c r="BM148" s="63">
        <f t="shared" si="206"/>
        <v>347</v>
      </c>
      <c r="BN148" s="63">
        <f t="shared" si="207"/>
        <v>694</v>
      </c>
      <c r="BO148" s="63">
        <f t="shared" si="208"/>
        <v>1041</v>
      </c>
      <c r="BP148" s="63">
        <f t="shared" si="209"/>
        <v>43.895499999999991</v>
      </c>
      <c r="BQ148" s="63">
        <f t="shared" si="210"/>
        <v>417.99631252325759</v>
      </c>
      <c r="BR148" s="63" t="str">
        <f t="shared" si="211"/>
        <v>OK</v>
      </c>
      <c r="BW148" s="70">
        <f t="shared" ref="BW148:BW163" si="270">0.1*$H$4*G148^2*H148/1000000</f>
        <v>37.02600000000001</v>
      </c>
    </row>
    <row r="149" spans="4:104">
      <c r="D149" s="179" t="s">
        <v>90</v>
      </c>
      <c r="E149" s="179" t="s">
        <v>90</v>
      </c>
      <c r="F149" s="91" t="s">
        <v>15</v>
      </c>
      <c r="G149" s="78">
        <v>220</v>
      </c>
      <c r="H149" s="78">
        <v>450</v>
      </c>
      <c r="I149" s="92">
        <f t="shared" si="260"/>
        <v>97</v>
      </c>
      <c r="J149" s="93">
        <f t="shared" si="253"/>
        <v>353</v>
      </c>
      <c r="K149" s="94"/>
      <c r="L149" s="94"/>
      <c r="M149" s="94"/>
      <c r="N149" s="95">
        <f t="shared" si="261"/>
        <v>0</v>
      </c>
      <c r="O149" s="95">
        <f t="shared" si="254"/>
        <v>0</v>
      </c>
      <c r="P149" s="95">
        <f t="shared" si="255"/>
        <v>1</v>
      </c>
      <c r="Q149" s="96" t="str">
        <f t="shared" si="262"/>
        <v>Ok</v>
      </c>
      <c r="R149" s="97">
        <f t="shared" si="263"/>
        <v>0.77659999999999996</v>
      </c>
      <c r="S149" s="131">
        <f t="shared" ref="S149:S163" si="271">(R149)/(G149*J149/100)</f>
        <v>1E-3</v>
      </c>
      <c r="T149" s="99">
        <v>3</v>
      </c>
      <c r="U149" s="100">
        <v>22</v>
      </c>
      <c r="V149" s="101" t="str">
        <f t="shared" si="219"/>
        <v>+</v>
      </c>
      <c r="W149" s="99">
        <v>3</v>
      </c>
      <c r="X149" s="100">
        <v>22</v>
      </c>
      <c r="Y149" s="102">
        <f t="shared" si="256"/>
        <v>22.807962665061901</v>
      </c>
      <c r="Z149" s="103" t="str">
        <f t="shared" si="220"/>
        <v>Ok</v>
      </c>
      <c r="AA149" s="93">
        <f t="shared" si="264"/>
        <v>104.44325576623555</v>
      </c>
      <c r="AB149" s="93">
        <f t="shared" si="257"/>
        <v>267.80980644614226</v>
      </c>
      <c r="AC149" s="89" t="str">
        <f t="shared" ref="AC149:AC163" si="272">IF(ABS(K149)&lt;AB149,"Ok","Not Ok")</f>
        <v>Ok</v>
      </c>
      <c r="AD149" s="98">
        <f t="shared" si="258"/>
        <v>2.3038346126325153E-2</v>
      </c>
      <c r="AE149" s="98">
        <f t="shared" si="265"/>
        <v>1.9281988961466403E-2</v>
      </c>
      <c r="AF149" s="104" t="str">
        <f t="shared" si="259"/>
        <v>No-Ok</v>
      </c>
      <c r="AG149" s="100">
        <v>10</v>
      </c>
      <c r="AH149" s="105">
        <v>2</v>
      </c>
      <c r="AI149" s="105">
        <v>200</v>
      </c>
      <c r="AJ149" s="104">
        <f t="shared" si="266"/>
        <v>7.8500000000000005</v>
      </c>
      <c r="AK149" s="60" t="str">
        <f t="shared" si="267"/>
        <v>OK</v>
      </c>
      <c r="AL149" s="109">
        <f t="shared" si="268"/>
        <v>300</v>
      </c>
      <c r="AT149" s="133" t="str">
        <f t="shared" si="269"/>
        <v>no need</v>
      </c>
      <c r="AV149" s="61">
        <f t="shared" ref="AV149:AV163" si="273">0.3*$H$4*G149*J149/1000</f>
        <v>396.06599999999997</v>
      </c>
      <c r="AW149" s="61" t="str">
        <f t="shared" ref="AW149:AW163" si="274">IF(L149&lt;AV149,"OK","Not ok")</f>
        <v>OK</v>
      </c>
      <c r="AX149" s="63" t="e">
        <f t="shared" ref="AX149:AX163" si="275">$K$4*G149*J149^2/(L149*1000)</f>
        <v>#DIV/0!</v>
      </c>
      <c r="AY149" s="63">
        <f t="shared" ref="AY149:AY163" si="276">MIN(1/2*J149,300)</f>
        <v>176.5</v>
      </c>
      <c r="AZ149" s="63">
        <f t="shared" ref="AZ149:AZ163" si="277">AL149*AJ149*10/BA149</f>
        <v>372.33201581027674</v>
      </c>
      <c r="BA149" s="63">
        <f t="shared" ref="BA149:BA163" si="278">0.25*$K$4*G149</f>
        <v>63.249999999999993</v>
      </c>
      <c r="BB149" s="63">
        <f t="shared" ref="BB149:BB163" si="279">(AL149*AH149*(3.14*AG149^2/4)/AI149)</f>
        <v>235.5</v>
      </c>
      <c r="BC149" s="63" t="str">
        <f t="shared" ref="BC149:BC163" si="280">IF(BB149&gt;BA149,"OK","NOT OK")</f>
        <v>OK</v>
      </c>
      <c r="BD149" s="63">
        <f t="shared" ref="BD149:BD163" si="281">SQRT((2*$K$4*G149*J149^2)/BB149)</f>
        <v>517.4334588029144</v>
      </c>
      <c r="BE149" s="63">
        <f t="shared" ref="BE149:BE163" si="282">2.5*$K$4*G149*J149/1000+(0.75*BB149*J149)/1000</f>
        <v>285.62112500000001</v>
      </c>
      <c r="BF149" s="63">
        <f t="shared" ref="BF149:BF163" si="283">1.5*$K$4*G149*J149/1000+(0.75*BB149*J149)/1000</f>
        <v>196.31212499999998</v>
      </c>
      <c r="BG149" s="63">
        <f t="shared" ref="BG149:BG163" si="284">IF(BD149&lt;J149,BF149,IF(BD149&lt;2*J149,(1.5*$K$4*H149*J149*J149/BD149)/1000+(0.75*BB149*BD149)/1000,(0.75*$K$4*H149*J149*J149/BD149)/1000+(1.5*BB149*BD149)/1000))</f>
        <v>278.3292214677881</v>
      </c>
      <c r="BH149" s="63">
        <f t="shared" ref="BH149:BH163" si="285">0.5*$K$4*G149*J149/1000+(1.5*BB149*J149)/1000</f>
        <v>169.35174999999998</v>
      </c>
      <c r="BI149" s="63">
        <f t="shared" ref="BI149:BI163" si="286">0.5*$K$4*G149*J149/1000+(1.5*BB149*J149)/1000</f>
        <v>169.35174999999998</v>
      </c>
      <c r="BJ149" s="63">
        <f t="shared" ref="BJ149:BJ163" si="287">MIN(BE149:BI149)</f>
        <v>169.35174999999998</v>
      </c>
      <c r="BK149" s="63" t="str">
        <f t="shared" ref="BK149:BK163" si="288">IF(BJ149&gt;L149,"OK","NOT OK")</f>
        <v>OK</v>
      </c>
      <c r="BL149" s="63">
        <f t="shared" ref="BL149:BL163" si="289">0.6*J149</f>
        <v>211.79999999999998</v>
      </c>
      <c r="BM149" s="63">
        <f t="shared" ref="BM149:BM163" si="290">J149</f>
        <v>353</v>
      </c>
      <c r="BN149" s="63">
        <f t="shared" ref="BN149:BN163" si="291">2*J149</f>
        <v>706</v>
      </c>
      <c r="BO149" s="63">
        <f t="shared" ref="BO149:BO163" si="292">3*J149</f>
        <v>1059</v>
      </c>
      <c r="BP149" s="63">
        <f t="shared" ref="BP149:BP163" si="293">0.5*$K$4*G149*J149/1000</f>
        <v>44.654499999999992</v>
      </c>
      <c r="BQ149" s="63">
        <f t="shared" si="210"/>
        <v>516.07959270692425</v>
      </c>
      <c r="BR149" s="63" t="str">
        <f t="shared" si="211"/>
        <v>OK</v>
      </c>
      <c r="BW149" s="70">
        <f t="shared" si="270"/>
        <v>37.02600000000001</v>
      </c>
    </row>
    <row r="150" spans="4:104">
      <c r="D150" s="180"/>
      <c r="E150" s="180"/>
      <c r="F150" s="106" t="s">
        <v>16</v>
      </c>
      <c r="G150" s="78">
        <v>220</v>
      </c>
      <c r="H150" s="78">
        <v>450</v>
      </c>
      <c r="I150" s="92">
        <f t="shared" si="260"/>
        <v>100</v>
      </c>
      <c r="J150" s="93">
        <f t="shared" si="253"/>
        <v>350</v>
      </c>
      <c r="K150" s="94"/>
      <c r="L150" s="94"/>
      <c r="M150" s="94"/>
      <c r="N150" s="95">
        <f t="shared" si="261"/>
        <v>0</v>
      </c>
      <c r="O150" s="95">
        <f t="shared" si="254"/>
        <v>0</v>
      </c>
      <c r="P150" s="95">
        <f t="shared" si="255"/>
        <v>1</v>
      </c>
      <c r="Q150" s="96" t="str">
        <f t="shared" si="262"/>
        <v>Ok</v>
      </c>
      <c r="R150" s="97">
        <f t="shared" si="263"/>
        <v>0.77</v>
      </c>
      <c r="S150" s="131">
        <f t="shared" si="271"/>
        <v>1E-3</v>
      </c>
      <c r="T150" s="99">
        <v>3</v>
      </c>
      <c r="U150" s="100">
        <v>25</v>
      </c>
      <c r="V150" s="101" t="str">
        <f t="shared" si="219"/>
        <v>+</v>
      </c>
      <c r="W150" s="99">
        <v>3</v>
      </c>
      <c r="X150" s="100">
        <v>25</v>
      </c>
      <c r="Y150" s="102">
        <f t="shared" si="256"/>
        <v>29.45243112740431</v>
      </c>
      <c r="Z150" s="103" t="str">
        <f t="shared" si="220"/>
        <v>Ok</v>
      </c>
      <c r="AA150" s="93">
        <f t="shared" si="264"/>
        <v>141.89666818386522</v>
      </c>
      <c r="AB150" s="93">
        <f t="shared" si="257"/>
        <v>331.76029705905461</v>
      </c>
      <c r="AC150" s="89" t="str">
        <f t="shared" si="272"/>
        <v>Ok</v>
      </c>
      <c r="AD150" s="98">
        <f t="shared" si="258"/>
        <v>2.9749930431721527E-2</v>
      </c>
      <c r="AE150" s="98">
        <f t="shared" si="265"/>
        <v>1.9281988961466403E-2</v>
      </c>
      <c r="AF150" s="104" t="str">
        <f t="shared" si="259"/>
        <v>No-Ok</v>
      </c>
      <c r="AG150" s="100">
        <v>10</v>
      </c>
      <c r="AH150" s="105">
        <v>2</v>
      </c>
      <c r="AI150" s="105">
        <v>200</v>
      </c>
      <c r="AJ150" s="104">
        <f t="shared" si="266"/>
        <v>7.8500000000000005</v>
      </c>
      <c r="AK150" s="60" t="str">
        <f t="shared" si="267"/>
        <v>OK</v>
      </c>
      <c r="AL150" s="109">
        <f t="shared" si="268"/>
        <v>300</v>
      </c>
      <c r="AT150" s="133" t="str">
        <f t="shared" si="269"/>
        <v>no need</v>
      </c>
      <c r="AV150" s="61">
        <f t="shared" si="273"/>
        <v>392.7</v>
      </c>
      <c r="AW150" s="61" t="str">
        <f t="shared" si="274"/>
        <v>OK</v>
      </c>
      <c r="AX150" s="63" t="e">
        <f t="shared" si="275"/>
        <v>#DIV/0!</v>
      </c>
      <c r="AY150" s="63">
        <f t="shared" si="276"/>
        <v>175</v>
      </c>
      <c r="AZ150" s="63">
        <f t="shared" si="277"/>
        <v>372.33201581027674</v>
      </c>
      <c r="BA150" s="63">
        <f t="shared" si="278"/>
        <v>63.249999999999993</v>
      </c>
      <c r="BB150" s="63">
        <f t="shared" si="279"/>
        <v>235.5</v>
      </c>
      <c r="BC150" s="63" t="str">
        <f t="shared" si="280"/>
        <v>OK</v>
      </c>
      <c r="BD150" s="63">
        <f t="shared" si="281"/>
        <v>513.03600731167148</v>
      </c>
      <c r="BE150" s="63">
        <f t="shared" si="282"/>
        <v>283.19375000000002</v>
      </c>
      <c r="BF150" s="63">
        <f t="shared" si="283"/>
        <v>194.64374999999995</v>
      </c>
      <c r="BG150" s="63">
        <f t="shared" si="284"/>
        <v>275.96381731933667</v>
      </c>
      <c r="BH150" s="63">
        <f t="shared" si="285"/>
        <v>167.91249999999999</v>
      </c>
      <c r="BI150" s="63">
        <f t="shared" si="286"/>
        <v>167.91249999999999</v>
      </c>
      <c r="BJ150" s="63">
        <f t="shared" si="287"/>
        <v>167.91249999999999</v>
      </c>
      <c r="BK150" s="63" t="str">
        <f t="shared" si="288"/>
        <v>OK</v>
      </c>
      <c r="BL150" s="63">
        <f t="shared" si="289"/>
        <v>210</v>
      </c>
      <c r="BM150" s="63">
        <f t="shared" si="290"/>
        <v>350</v>
      </c>
      <c r="BN150" s="63">
        <f t="shared" si="291"/>
        <v>700</v>
      </c>
      <c r="BO150" s="63">
        <f t="shared" si="292"/>
        <v>1050</v>
      </c>
      <c r="BP150" s="63">
        <f t="shared" si="293"/>
        <v>44.274999999999991</v>
      </c>
      <c r="BQ150" s="63">
        <f t="shared" ref="BQ150:BQ163" si="294">($H$6*Y149*100*0.9*J149+0.5*BB149*J149^2)/10^6</f>
        <v>329.87761338302221</v>
      </c>
      <c r="BR150" s="63" t="str">
        <f t="shared" ref="BR150:BR163" si="295">IF(K149&lt;=BQ150,"OK","NOT OK")</f>
        <v>OK</v>
      </c>
      <c r="BW150" s="70">
        <f t="shared" si="270"/>
        <v>37.02600000000001</v>
      </c>
    </row>
    <row r="151" spans="4:104">
      <c r="D151" s="181"/>
      <c r="E151" s="181"/>
      <c r="F151" s="91" t="s">
        <v>15</v>
      </c>
      <c r="G151" s="78">
        <v>220</v>
      </c>
      <c r="H151" s="78">
        <v>450</v>
      </c>
      <c r="I151" s="92">
        <f t="shared" si="260"/>
        <v>103</v>
      </c>
      <c r="J151" s="93">
        <f t="shared" si="253"/>
        <v>347</v>
      </c>
      <c r="K151" s="94"/>
      <c r="L151" s="94"/>
      <c r="M151" s="94"/>
      <c r="N151" s="95">
        <f t="shared" si="261"/>
        <v>0</v>
      </c>
      <c r="O151" s="95">
        <f t="shared" si="254"/>
        <v>0</v>
      </c>
      <c r="P151" s="95">
        <f t="shared" si="255"/>
        <v>1</v>
      </c>
      <c r="Q151" s="96" t="str">
        <f t="shared" si="262"/>
        <v>Ok</v>
      </c>
      <c r="R151" s="97">
        <f t="shared" si="263"/>
        <v>0.76340000000000008</v>
      </c>
      <c r="S151" s="131">
        <f t="shared" si="271"/>
        <v>1.0000000000000002E-3</v>
      </c>
      <c r="T151" s="99">
        <v>3</v>
      </c>
      <c r="U151" s="100">
        <v>28</v>
      </c>
      <c r="V151" s="101" t="str">
        <f t="shared" si="219"/>
        <v>+</v>
      </c>
      <c r="W151" s="99">
        <v>3</v>
      </c>
      <c r="X151" s="100">
        <v>28</v>
      </c>
      <c r="Y151" s="102">
        <f t="shared" si="256"/>
        <v>36.945129606215971</v>
      </c>
      <c r="Z151" s="103" t="str">
        <f t="shared" si="220"/>
        <v>Ok</v>
      </c>
      <c r="AA151" s="93">
        <f t="shared" si="264"/>
        <v>330.07722813585804</v>
      </c>
      <c r="AB151" s="93">
        <f t="shared" si="257"/>
        <v>328.76424667935936</v>
      </c>
      <c r="AC151" s="89" t="str">
        <f t="shared" si="272"/>
        <v>Ok</v>
      </c>
      <c r="AD151" s="98">
        <f t="shared" si="258"/>
        <v>3.7318312733551483E-2</v>
      </c>
      <c r="AE151" s="98">
        <f t="shared" si="265"/>
        <v>1.9281988961466403E-2</v>
      </c>
      <c r="AF151" s="104" t="str">
        <f t="shared" si="259"/>
        <v>No-Ok</v>
      </c>
      <c r="AG151" s="100">
        <v>10</v>
      </c>
      <c r="AH151" s="105">
        <v>2</v>
      </c>
      <c r="AI151" s="105">
        <v>200</v>
      </c>
      <c r="AJ151" s="104">
        <f t="shared" si="266"/>
        <v>7.8500000000000005</v>
      </c>
      <c r="AK151" s="60" t="str">
        <f t="shared" si="267"/>
        <v>OK</v>
      </c>
      <c r="AL151" s="109">
        <f t="shared" si="268"/>
        <v>300</v>
      </c>
      <c r="AT151" s="133" t="str">
        <f t="shared" si="269"/>
        <v>no need</v>
      </c>
      <c r="AV151" s="61">
        <f t="shared" si="273"/>
        <v>389.334</v>
      </c>
      <c r="AW151" s="61" t="str">
        <f t="shared" si="274"/>
        <v>OK</v>
      </c>
      <c r="AX151" s="63" t="e">
        <f t="shared" si="275"/>
        <v>#DIV/0!</v>
      </c>
      <c r="AY151" s="63">
        <f t="shared" si="276"/>
        <v>173.5</v>
      </c>
      <c r="AZ151" s="63">
        <f t="shared" si="277"/>
        <v>372.33201581027674</v>
      </c>
      <c r="BA151" s="63">
        <f t="shared" si="278"/>
        <v>63.249999999999993</v>
      </c>
      <c r="BB151" s="63">
        <f t="shared" si="279"/>
        <v>235.5</v>
      </c>
      <c r="BC151" s="63" t="str">
        <f t="shared" si="280"/>
        <v>OK</v>
      </c>
      <c r="BD151" s="63">
        <f t="shared" si="281"/>
        <v>508.63855582042862</v>
      </c>
      <c r="BE151" s="63">
        <f t="shared" si="282"/>
        <v>280.76637499999998</v>
      </c>
      <c r="BF151" s="63">
        <f t="shared" si="283"/>
        <v>192.97537499999996</v>
      </c>
      <c r="BG151" s="63">
        <f t="shared" si="284"/>
        <v>273.59841317088518</v>
      </c>
      <c r="BH151" s="63">
        <f t="shared" si="285"/>
        <v>166.47324999999998</v>
      </c>
      <c r="BI151" s="63">
        <f t="shared" si="286"/>
        <v>166.47324999999998</v>
      </c>
      <c r="BJ151" s="63">
        <f t="shared" si="287"/>
        <v>166.47324999999998</v>
      </c>
      <c r="BK151" s="63" t="str">
        <f t="shared" si="288"/>
        <v>OK</v>
      </c>
      <c r="BL151" s="63">
        <f t="shared" si="289"/>
        <v>208.2</v>
      </c>
      <c r="BM151" s="63">
        <f t="shared" si="290"/>
        <v>347</v>
      </c>
      <c r="BN151" s="63">
        <f t="shared" si="291"/>
        <v>694</v>
      </c>
      <c r="BO151" s="63">
        <f t="shared" si="292"/>
        <v>1041</v>
      </c>
      <c r="BP151" s="63">
        <f t="shared" si="293"/>
        <v>43.895499999999991</v>
      </c>
      <c r="BQ151" s="63">
        <f t="shared" si="294"/>
        <v>417.99631252325759</v>
      </c>
      <c r="BR151" s="63" t="str">
        <f t="shared" si="295"/>
        <v>OK</v>
      </c>
      <c r="BW151" s="70">
        <f t="shared" si="270"/>
        <v>37.02600000000001</v>
      </c>
    </row>
    <row r="152" spans="4:104" ht="12.75" customHeight="1">
      <c r="D152" s="176" t="s">
        <v>90</v>
      </c>
      <c r="E152" s="176" t="s">
        <v>90</v>
      </c>
      <c r="F152" s="67" t="s">
        <v>15</v>
      </c>
      <c r="G152" s="78">
        <v>220</v>
      </c>
      <c r="H152" s="78">
        <v>450</v>
      </c>
      <c r="I152" s="79">
        <f t="shared" si="260"/>
        <v>91.8</v>
      </c>
      <c r="J152" s="80">
        <f>H152-I152</f>
        <v>358.2</v>
      </c>
      <c r="K152" s="81"/>
      <c r="L152" s="81"/>
      <c r="M152" s="81"/>
      <c r="N152" s="82">
        <f t="shared" si="261"/>
        <v>0</v>
      </c>
      <c r="O152" s="82">
        <f>ROUND(1-SQRT(1-2*N152),3)</f>
        <v>0</v>
      </c>
      <c r="P152" s="82">
        <f>1-0.5*O152</f>
        <v>1</v>
      </c>
      <c r="Q152" s="83" t="str">
        <f t="shared" si="262"/>
        <v>Ok</v>
      </c>
      <c r="R152" s="84">
        <f t="shared" si="263"/>
        <v>0.78804000000000007</v>
      </c>
      <c r="S152" s="131">
        <f t="shared" si="271"/>
        <v>1.0000000000000002E-3</v>
      </c>
      <c r="T152" s="86">
        <v>3</v>
      </c>
      <c r="U152" s="77">
        <v>22</v>
      </c>
      <c r="V152" s="87" t="str">
        <f t="shared" si="219"/>
        <v>+</v>
      </c>
      <c r="W152" s="86">
        <v>2</v>
      </c>
      <c r="X152" s="77">
        <v>22</v>
      </c>
      <c r="Y152" s="88">
        <f>(T152*PI()*U152^2/4+W152*PI()*X152^2/4)/100</f>
        <v>19.006635554218249</v>
      </c>
      <c r="Z152" s="89" t="str">
        <f t="shared" si="220"/>
        <v>Ok</v>
      </c>
      <c r="AA152" s="90">
        <f t="shared" si="264"/>
        <v>193.66154713506063</v>
      </c>
      <c r="AB152" s="80">
        <f>($J$11*$H$4*G152*ABS(AA152)*(J152-0.5*ABS(AA152))+$H$6*(T153*PI()*U153^2/4)*(J152-I153))*10^-6</f>
        <v>221.14029973282626</v>
      </c>
      <c r="AC152" s="89" t="str">
        <f t="shared" si="272"/>
        <v>Ok</v>
      </c>
      <c r="AD152" s="85">
        <f>(Y152*100)/(G152*H152)</f>
        <v>1.9198621771937624E-2</v>
      </c>
      <c r="AE152" s="85">
        <f t="shared" si="265"/>
        <v>1.9281988961466403E-2</v>
      </c>
      <c r="AF152" s="60" t="str">
        <f>IF(AND(AD152&gt;0.1%,AD152&lt;AE152),"Ok","No-Ok")</f>
        <v>Ok</v>
      </c>
      <c r="AG152" s="77">
        <v>10</v>
      </c>
      <c r="AH152" s="76">
        <v>2</v>
      </c>
      <c r="AI152" s="76">
        <v>100</v>
      </c>
      <c r="AJ152" s="60">
        <f t="shared" si="266"/>
        <v>15.700000000000001</v>
      </c>
      <c r="AK152" s="60" t="str">
        <f t="shared" si="267"/>
        <v>OK</v>
      </c>
      <c r="AL152" s="109">
        <f t="shared" si="268"/>
        <v>300</v>
      </c>
      <c r="AT152" s="133" t="str">
        <f t="shared" si="269"/>
        <v>no need</v>
      </c>
      <c r="AV152" s="61">
        <f t="shared" si="273"/>
        <v>401.90039999999999</v>
      </c>
      <c r="AW152" s="61" t="str">
        <f t="shared" si="274"/>
        <v>OK</v>
      </c>
      <c r="AX152" s="63" t="e">
        <f t="shared" si="275"/>
        <v>#DIV/0!</v>
      </c>
      <c r="AY152" s="63">
        <f t="shared" si="276"/>
        <v>179.1</v>
      </c>
      <c r="AZ152" s="63">
        <f t="shared" si="277"/>
        <v>744.66403162055349</v>
      </c>
      <c r="BA152" s="63">
        <f t="shared" si="278"/>
        <v>63.249999999999993</v>
      </c>
      <c r="BB152" s="63">
        <f t="shared" si="279"/>
        <v>471</v>
      </c>
      <c r="BC152" s="63" t="str">
        <f t="shared" si="280"/>
        <v>OK</v>
      </c>
      <c r="BD152" s="63">
        <f t="shared" si="281"/>
        <v>371.27045166597185</v>
      </c>
      <c r="BE152" s="63">
        <f t="shared" si="282"/>
        <v>353.09564999999998</v>
      </c>
      <c r="BF152" s="63">
        <f t="shared" si="283"/>
        <v>262.47104999999993</v>
      </c>
      <c r="BG152" s="63">
        <f t="shared" si="284"/>
        <v>399.41528329169569</v>
      </c>
      <c r="BH152" s="63">
        <f t="shared" si="285"/>
        <v>298.38059999999996</v>
      </c>
      <c r="BI152" s="63">
        <f t="shared" si="286"/>
        <v>298.38059999999996</v>
      </c>
      <c r="BJ152" s="63">
        <f t="shared" si="287"/>
        <v>262.47104999999993</v>
      </c>
      <c r="BK152" s="63" t="str">
        <f t="shared" si="288"/>
        <v>OK</v>
      </c>
      <c r="BL152" s="63">
        <f t="shared" si="289"/>
        <v>214.92</v>
      </c>
      <c r="BM152" s="63">
        <f t="shared" si="290"/>
        <v>358.2</v>
      </c>
      <c r="BN152" s="63">
        <f t="shared" si="291"/>
        <v>716.4</v>
      </c>
      <c r="BO152" s="63">
        <f t="shared" si="292"/>
        <v>1074.5999999999999</v>
      </c>
      <c r="BP152" s="63">
        <f t="shared" si="293"/>
        <v>45.312299999999993</v>
      </c>
      <c r="BQ152" s="63">
        <f t="shared" si="294"/>
        <v>516.07959270692425</v>
      </c>
      <c r="BR152" s="63" t="str">
        <f t="shared" si="295"/>
        <v>OK</v>
      </c>
      <c r="BU152" s="70">
        <v>12</v>
      </c>
      <c r="BV152" s="70">
        <v>1</v>
      </c>
      <c r="BW152" s="70">
        <f t="shared" si="270"/>
        <v>37.02600000000001</v>
      </c>
      <c r="BX152" s="70" t="str">
        <f>IF(BW152&gt;AT152,"OK","NOT OK")</f>
        <v>NOT OK</v>
      </c>
      <c r="BY152" s="70">
        <f>G152</f>
        <v>220</v>
      </c>
      <c r="BZ152" s="70">
        <f>H152</f>
        <v>450</v>
      </c>
      <c r="CA152" s="70">
        <f>BY152/(2*BZ152+BY152)</f>
        <v>0.19642857142857142</v>
      </c>
      <c r="CB152" s="27">
        <f>O139*AJ152/10</f>
        <v>0</v>
      </c>
      <c r="CE152" s="71">
        <f>CB152*CA152*BY152*BZ152/1000000</f>
        <v>0</v>
      </c>
      <c r="CF152" s="71"/>
      <c r="CG152" s="71"/>
      <c r="CH152" s="70">
        <f>T153*3.14*U153^2/4</f>
        <v>401.92</v>
      </c>
      <c r="CI152" s="71">
        <f>0.5*$H$6*CH152*BZ152/1000000</f>
        <v>39.337919999999997</v>
      </c>
      <c r="CJ152" s="70" t="str">
        <f>IF((CI152+CE152)&gt;AT152,"OK","NOT OK")</f>
        <v>NOT OK</v>
      </c>
      <c r="CK152" s="27">
        <f>BZ152</f>
        <v>450</v>
      </c>
      <c r="CL152" s="27">
        <f>BY152</f>
        <v>220</v>
      </c>
      <c r="CM152" s="74">
        <f>CK152/(2*CL152+CK152)</f>
        <v>0.5056179775280899</v>
      </c>
      <c r="CN152" s="74"/>
      <c r="CO152" s="27">
        <f>O139*AJ152/10</f>
        <v>0</v>
      </c>
      <c r="CP152" s="74">
        <f>CO152*CM152*CK152*CL152/1000000</f>
        <v>0</v>
      </c>
      <c r="CQ152" s="27">
        <f>3.14*U153^2/4+3.14*U152^2/4+BV152*3.14*BU152^2/4</f>
        <v>693.93999999999994</v>
      </c>
      <c r="CT152" s="71">
        <f>0.5*$H$6*CQ152*CL152/1000000</f>
        <v>33.205028999999996</v>
      </c>
      <c r="CU152" s="71"/>
      <c r="CV152" s="70" t="str">
        <f>IF((CT152+CP152)&gt;U152,"OK","NOT OK")</f>
        <v>OK</v>
      </c>
      <c r="CW152" s="74">
        <f>MIN((CP152+CT152),(CE152+CI152))</f>
        <v>33.205028999999996</v>
      </c>
      <c r="CX152" s="71">
        <f>AB152</f>
        <v>221.14029973282626</v>
      </c>
      <c r="CY152" s="71">
        <f>(BG152+BO152*J152)/1000</f>
        <v>385.32113528329171</v>
      </c>
      <c r="CZ152" s="62">
        <f>CW152*SQRT(1-(K152/CX152)^1)</f>
        <v>33.205028999999996</v>
      </c>
    </row>
    <row r="153" spans="4:104">
      <c r="D153" s="177"/>
      <c r="E153" s="177"/>
      <c r="F153" s="68" t="s">
        <v>16</v>
      </c>
      <c r="G153" s="78">
        <v>220</v>
      </c>
      <c r="H153" s="78">
        <v>450</v>
      </c>
      <c r="I153" s="79">
        <f t="shared" si="260"/>
        <v>68</v>
      </c>
      <c r="J153" s="80">
        <f t="shared" ref="J153:J163" si="296">H153-I153</f>
        <v>382</v>
      </c>
      <c r="K153" s="81"/>
      <c r="L153" s="81"/>
      <c r="M153" s="81"/>
      <c r="N153" s="82">
        <f t="shared" si="261"/>
        <v>0</v>
      </c>
      <c r="O153" s="82">
        <f t="shared" ref="O153:O163" si="297">ROUND(1-SQRT(1-2*N153),3)</f>
        <v>0</v>
      </c>
      <c r="P153" s="82">
        <f t="shared" ref="P153:P163" si="298">1-0.5*O153</f>
        <v>1</v>
      </c>
      <c r="Q153" s="83" t="str">
        <f t="shared" si="262"/>
        <v>Ok</v>
      </c>
      <c r="R153" s="84">
        <f t="shared" si="263"/>
        <v>0.84040000000000004</v>
      </c>
      <c r="S153" s="131">
        <f t="shared" si="271"/>
        <v>1E-3</v>
      </c>
      <c r="T153" s="86">
        <v>2</v>
      </c>
      <c r="U153" s="77">
        <v>16</v>
      </c>
      <c r="V153" s="87" t="str">
        <f t="shared" si="219"/>
        <v>+</v>
      </c>
      <c r="W153" s="86">
        <v>0</v>
      </c>
      <c r="X153" s="77">
        <v>0</v>
      </c>
      <c r="Y153" s="88">
        <f t="shared" ref="Y153:Y163" si="299">(T153*PI()*U153^2/4+W153*PI()*X153^2/4)/100</f>
        <v>4.0212385965949355</v>
      </c>
      <c r="Z153" s="89" t="str">
        <f t="shared" si="220"/>
        <v>Ok</v>
      </c>
      <c r="AA153" s="80">
        <f t="shared" si="264"/>
        <v>-186.75956327490127</v>
      </c>
      <c r="AB153" s="80">
        <f t="shared" ref="AB153:AB163" si="300">($J$11*$H$4*G153*AA153*(J153-0.5*AA153)+$H$6*(T154*PI()*U154^2/4)*(J153-I154))*10^-6</f>
        <v>-51.343847662391958</v>
      </c>
      <c r="AC153" s="89" t="str">
        <f t="shared" si="272"/>
        <v>Not Ok</v>
      </c>
      <c r="AD153" s="85">
        <f t="shared" ref="AD153:AD163" si="301">(Y153*100)/(G153*H153)</f>
        <v>4.0618571682777133E-3</v>
      </c>
      <c r="AE153" s="85">
        <f t="shared" si="265"/>
        <v>1.9281988961466403E-2</v>
      </c>
      <c r="AF153" s="60" t="str">
        <f t="shared" ref="AF153:AF163" si="302">IF(AND(AD153&gt;0.1%,AD153&lt;AE153),"Ok","No-Ok")</f>
        <v>Ok</v>
      </c>
      <c r="AG153" s="77">
        <v>10</v>
      </c>
      <c r="AH153" s="76">
        <v>2</v>
      </c>
      <c r="AI153" s="76">
        <v>200</v>
      </c>
      <c r="AJ153" s="60">
        <f t="shared" si="266"/>
        <v>7.8500000000000005</v>
      </c>
      <c r="AK153" s="60" t="str">
        <f t="shared" si="267"/>
        <v>OK</v>
      </c>
      <c r="AL153" s="109">
        <f t="shared" si="268"/>
        <v>300</v>
      </c>
      <c r="AT153" s="133" t="str">
        <f t="shared" si="269"/>
        <v>no need</v>
      </c>
      <c r="AV153" s="61">
        <f t="shared" si="273"/>
        <v>428.60399999999998</v>
      </c>
      <c r="AW153" s="61" t="str">
        <f t="shared" si="274"/>
        <v>OK</v>
      </c>
      <c r="AX153" s="63" t="e">
        <f t="shared" si="275"/>
        <v>#DIV/0!</v>
      </c>
      <c r="AY153" s="63">
        <f t="shared" si="276"/>
        <v>191</v>
      </c>
      <c r="AZ153" s="63">
        <f t="shared" si="277"/>
        <v>372.33201581027674</v>
      </c>
      <c r="BA153" s="63">
        <f t="shared" si="278"/>
        <v>63.249999999999993</v>
      </c>
      <c r="BB153" s="63">
        <f t="shared" si="279"/>
        <v>235.5</v>
      </c>
      <c r="BC153" s="63" t="str">
        <f t="shared" si="280"/>
        <v>OK</v>
      </c>
      <c r="BD153" s="63">
        <f t="shared" si="281"/>
        <v>559.94215655159576</v>
      </c>
      <c r="BE153" s="63">
        <f t="shared" si="282"/>
        <v>309.08575000000002</v>
      </c>
      <c r="BF153" s="63">
        <f t="shared" si="283"/>
        <v>212.43974999999995</v>
      </c>
      <c r="BG153" s="63">
        <f t="shared" si="284"/>
        <v>301.19479490281884</v>
      </c>
      <c r="BH153" s="63">
        <f t="shared" si="285"/>
        <v>183.2645</v>
      </c>
      <c r="BI153" s="63">
        <f t="shared" si="286"/>
        <v>183.2645</v>
      </c>
      <c r="BJ153" s="63">
        <f t="shared" si="287"/>
        <v>183.2645</v>
      </c>
      <c r="BK153" s="63" t="str">
        <f t="shared" si="288"/>
        <v>OK</v>
      </c>
      <c r="BL153" s="63">
        <f t="shared" si="289"/>
        <v>229.2</v>
      </c>
      <c r="BM153" s="63">
        <f t="shared" si="290"/>
        <v>382</v>
      </c>
      <c r="BN153" s="63">
        <f t="shared" si="291"/>
        <v>764</v>
      </c>
      <c r="BO153" s="63">
        <f t="shared" si="292"/>
        <v>1146</v>
      </c>
      <c r="BP153" s="63">
        <f t="shared" si="293"/>
        <v>48.322999999999993</v>
      </c>
      <c r="BQ153" s="63">
        <f t="shared" si="294"/>
        <v>296.75647891364622</v>
      </c>
      <c r="BR153" s="63" t="str">
        <f t="shared" si="295"/>
        <v>OK</v>
      </c>
      <c r="BW153" s="70">
        <f t="shared" si="270"/>
        <v>37.02600000000001</v>
      </c>
    </row>
    <row r="154" spans="4:104">
      <c r="D154" s="178"/>
      <c r="E154" s="178"/>
      <c r="F154" s="67" t="s">
        <v>15</v>
      </c>
      <c r="G154" s="78">
        <v>220</v>
      </c>
      <c r="H154" s="78">
        <v>450</v>
      </c>
      <c r="I154" s="79">
        <f t="shared" si="260"/>
        <v>74</v>
      </c>
      <c r="J154" s="80">
        <f t="shared" si="296"/>
        <v>376</v>
      </c>
      <c r="K154" s="81"/>
      <c r="L154" s="81"/>
      <c r="M154" s="81"/>
      <c r="N154" s="82">
        <f t="shared" si="261"/>
        <v>0</v>
      </c>
      <c r="O154" s="82">
        <f t="shared" si="297"/>
        <v>0</v>
      </c>
      <c r="P154" s="82">
        <f t="shared" si="298"/>
        <v>1</v>
      </c>
      <c r="Q154" s="83" t="str">
        <f t="shared" si="262"/>
        <v>Ok</v>
      </c>
      <c r="R154" s="84">
        <f t="shared" si="263"/>
        <v>0.82719999999999994</v>
      </c>
      <c r="S154" s="131">
        <f t="shared" si="271"/>
        <v>9.999999999999998E-4</v>
      </c>
      <c r="T154" s="86">
        <v>3</v>
      </c>
      <c r="U154" s="77">
        <v>28</v>
      </c>
      <c r="V154" s="87" t="str">
        <f t="shared" si="219"/>
        <v>+</v>
      </c>
      <c r="W154" s="86">
        <v>0</v>
      </c>
      <c r="X154" s="77">
        <v>0</v>
      </c>
      <c r="Y154" s="88">
        <f t="shared" si="299"/>
        <v>18.472564803107986</v>
      </c>
      <c r="Z154" s="89" t="str">
        <f t="shared" si="220"/>
        <v>Ok</v>
      </c>
      <c r="AA154" s="80">
        <f t="shared" si="264"/>
        <v>0</v>
      </c>
      <c r="AB154" s="80">
        <f t="shared" si="300"/>
        <v>219.37094331930888</v>
      </c>
      <c r="AC154" s="89" t="str">
        <f t="shared" si="272"/>
        <v>Ok</v>
      </c>
      <c r="AD154" s="85">
        <f t="shared" si="301"/>
        <v>1.8659156366775741E-2</v>
      </c>
      <c r="AE154" s="85">
        <f t="shared" si="265"/>
        <v>1.9281988961466403E-2</v>
      </c>
      <c r="AF154" s="60" t="str">
        <f t="shared" si="302"/>
        <v>Ok</v>
      </c>
      <c r="AG154" s="77">
        <v>10</v>
      </c>
      <c r="AH154" s="76">
        <v>2</v>
      </c>
      <c r="AI154" s="76">
        <v>200</v>
      </c>
      <c r="AJ154" s="60">
        <f t="shared" si="266"/>
        <v>7.8500000000000005</v>
      </c>
      <c r="AK154" s="60" t="str">
        <f t="shared" si="267"/>
        <v>OK</v>
      </c>
      <c r="AL154" s="109">
        <f t="shared" si="268"/>
        <v>300</v>
      </c>
      <c r="AT154" s="133" t="str">
        <f t="shared" si="269"/>
        <v>no need</v>
      </c>
      <c r="AV154" s="61">
        <f t="shared" si="273"/>
        <v>421.87200000000001</v>
      </c>
      <c r="AW154" s="61" t="str">
        <f t="shared" si="274"/>
        <v>OK</v>
      </c>
      <c r="AX154" s="63" t="e">
        <f t="shared" si="275"/>
        <v>#DIV/0!</v>
      </c>
      <c r="AY154" s="63">
        <f t="shared" si="276"/>
        <v>188</v>
      </c>
      <c r="AZ154" s="63">
        <f t="shared" si="277"/>
        <v>372.33201581027674</v>
      </c>
      <c r="BA154" s="63">
        <f t="shared" si="278"/>
        <v>63.249999999999993</v>
      </c>
      <c r="BB154" s="63">
        <f t="shared" si="279"/>
        <v>235.5</v>
      </c>
      <c r="BC154" s="63" t="str">
        <f t="shared" si="280"/>
        <v>OK</v>
      </c>
      <c r="BD154" s="63">
        <f t="shared" si="281"/>
        <v>551.14725356910992</v>
      </c>
      <c r="BE154" s="63">
        <f t="shared" si="282"/>
        <v>304.23099999999999</v>
      </c>
      <c r="BF154" s="63">
        <f t="shared" si="283"/>
        <v>209.10299999999998</v>
      </c>
      <c r="BG154" s="63">
        <f t="shared" si="284"/>
        <v>296.46398660591598</v>
      </c>
      <c r="BH154" s="63">
        <f t="shared" si="285"/>
        <v>180.386</v>
      </c>
      <c r="BI154" s="63">
        <f t="shared" si="286"/>
        <v>180.386</v>
      </c>
      <c r="BJ154" s="63">
        <f t="shared" si="287"/>
        <v>180.386</v>
      </c>
      <c r="BK154" s="63" t="str">
        <f t="shared" si="288"/>
        <v>OK</v>
      </c>
      <c r="BL154" s="63">
        <f t="shared" si="289"/>
        <v>225.6</v>
      </c>
      <c r="BM154" s="63">
        <f t="shared" si="290"/>
        <v>376</v>
      </c>
      <c r="BN154" s="63">
        <f t="shared" si="291"/>
        <v>752</v>
      </c>
      <c r="BO154" s="63">
        <f t="shared" si="292"/>
        <v>1128</v>
      </c>
      <c r="BP154" s="63">
        <f t="shared" si="293"/>
        <v>47.563999999999993</v>
      </c>
      <c r="BQ154" s="63">
        <f t="shared" si="294"/>
        <v>77.321380583656236</v>
      </c>
      <c r="BR154" s="63" t="str">
        <f t="shared" si="295"/>
        <v>OK</v>
      </c>
      <c r="BW154" s="70">
        <f t="shared" si="270"/>
        <v>37.02600000000001</v>
      </c>
    </row>
    <row r="155" spans="4:104">
      <c r="D155" s="179" t="s">
        <v>90</v>
      </c>
      <c r="E155" s="179" t="s">
        <v>90</v>
      </c>
      <c r="F155" s="91" t="s">
        <v>15</v>
      </c>
      <c r="G155" s="78">
        <v>220</v>
      </c>
      <c r="H155" s="78">
        <v>450</v>
      </c>
      <c r="I155" s="92">
        <f t="shared" si="260"/>
        <v>103</v>
      </c>
      <c r="J155" s="93">
        <f t="shared" si="296"/>
        <v>347</v>
      </c>
      <c r="K155" s="94"/>
      <c r="L155" s="94"/>
      <c r="M155" s="94"/>
      <c r="N155" s="95">
        <f t="shared" si="261"/>
        <v>0</v>
      </c>
      <c r="O155" s="95">
        <f t="shared" si="297"/>
        <v>0</v>
      </c>
      <c r="P155" s="95">
        <f t="shared" si="298"/>
        <v>1</v>
      </c>
      <c r="Q155" s="96" t="str">
        <f t="shared" si="262"/>
        <v>Ok</v>
      </c>
      <c r="R155" s="97">
        <f t="shared" si="263"/>
        <v>0.76340000000000008</v>
      </c>
      <c r="S155" s="131">
        <f t="shared" si="271"/>
        <v>1.0000000000000002E-3</v>
      </c>
      <c r="T155" s="99">
        <v>3</v>
      </c>
      <c r="U155" s="100">
        <v>28</v>
      </c>
      <c r="V155" s="101" t="str">
        <f t="shared" si="219"/>
        <v>+</v>
      </c>
      <c r="W155" s="99">
        <v>3</v>
      </c>
      <c r="X155" s="100">
        <v>28</v>
      </c>
      <c r="Y155" s="102">
        <f t="shared" si="299"/>
        <v>36.945129606215971</v>
      </c>
      <c r="Z155" s="103" t="str">
        <f t="shared" si="220"/>
        <v>Ok</v>
      </c>
      <c r="AA155" s="93">
        <f t="shared" si="264"/>
        <v>330.07722813585804</v>
      </c>
      <c r="AB155" s="93">
        <f t="shared" si="300"/>
        <v>326.18466610194088</v>
      </c>
      <c r="AC155" s="89" t="str">
        <f t="shared" si="272"/>
        <v>Ok</v>
      </c>
      <c r="AD155" s="98">
        <f t="shared" si="301"/>
        <v>3.7318312733551483E-2</v>
      </c>
      <c r="AE155" s="98">
        <f t="shared" si="265"/>
        <v>1.9281988961466403E-2</v>
      </c>
      <c r="AF155" s="104" t="str">
        <f t="shared" si="302"/>
        <v>No-Ok</v>
      </c>
      <c r="AG155" s="100">
        <v>10</v>
      </c>
      <c r="AH155" s="105">
        <v>2</v>
      </c>
      <c r="AI155" s="105">
        <v>200</v>
      </c>
      <c r="AJ155" s="104">
        <f t="shared" si="266"/>
        <v>7.8500000000000005</v>
      </c>
      <c r="AK155" s="60" t="str">
        <f t="shared" si="267"/>
        <v>OK</v>
      </c>
      <c r="AL155" s="109">
        <f t="shared" si="268"/>
        <v>300</v>
      </c>
      <c r="AT155" s="133" t="str">
        <f t="shared" si="269"/>
        <v>no need</v>
      </c>
      <c r="AV155" s="61">
        <f t="shared" si="273"/>
        <v>389.334</v>
      </c>
      <c r="AW155" s="61" t="str">
        <f t="shared" si="274"/>
        <v>OK</v>
      </c>
      <c r="AX155" s="63" t="e">
        <f t="shared" si="275"/>
        <v>#DIV/0!</v>
      </c>
      <c r="AY155" s="63">
        <f t="shared" si="276"/>
        <v>173.5</v>
      </c>
      <c r="AZ155" s="63">
        <f t="shared" si="277"/>
        <v>372.33201581027674</v>
      </c>
      <c r="BA155" s="63">
        <f t="shared" si="278"/>
        <v>63.249999999999993</v>
      </c>
      <c r="BB155" s="63">
        <f t="shared" si="279"/>
        <v>235.5</v>
      </c>
      <c r="BC155" s="63" t="str">
        <f t="shared" si="280"/>
        <v>OK</v>
      </c>
      <c r="BD155" s="63">
        <f t="shared" si="281"/>
        <v>508.63855582042862</v>
      </c>
      <c r="BE155" s="63">
        <f t="shared" si="282"/>
        <v>280.76637499999998</v>
      </c>
      <c r="BF155" s="63">
        <f t="shared" si="283"/>
        <v>192.97537499999996</v>
      </c>
      <c r="BG155" s="63">
        <f t="shared" si="284"/>
        <v>273.59841317088518</v>
      </c>
      <c r="BH155" s="63">
        <f t="shared" si="285"/>
        <v>166.47324999999998</v>
      </c>
      <c r="BI155" s="63">
        <f t="shared" si="286"/>
        <v>166.47324999999998</v>
      </c>
      <c r="BJ155" s="63">
        <f t="shared" si="287"/>
        <v>166.47324999999998</v>
      </c>
      <c r="BK155" s="63" t="str">
        <f t="shared" si="288"/>
        <v>OK</v>
      </c>
      <c r="BL155" s="63">
        <f t="shared" si="289"/>
        <v>208.2</v>
      </c>
      <c r="BM155" s="63">
        <f t="shared" si="290"/>
        <v>347</v>
      </c>
      <c r="BN155" s="63">
        <f t="shared" si="291"/>
        <v>694</v>
      </c>
      <c r="BO155" s="63">
        <f t="shared" si="292"/>
        <v>1041</v>
      </c>
      <c r="BP155" s="63">
        <f t="shared" si="293"/>
        <v>43.895499999999991</v>
      </c>
      <c r="BQ155" s="63">
        <f t="shared" si="294"/>
        <v>288.57056692767077</v>
      </c>
      <c r="BR155" s="63" t="str">
        <f t="shared" si="295"/>
        <v>OK</v>
      </c>
      <c r="BW155" s="70">
        <f t="shared" si="270"/>
        <v>37.02600000000001</v>
      </c>
    </row>
    <row r="156" spans="4:104">
      <c r="D156" s="180"/>
      <c r="E156" s="180"/>
      <c r="F156" s="106" t="s">
        <v>16</v>
      </c>
      <c r="G156" s="78">
        <v>220</v>
      </c>
      <c r="H156" s="78">
        <v>450</v>
      </c>
      <c r="I156" s="92">
        <f t="shared" si="260"/>
        <v>97</v>
      </c>
      <c r="J156" s="93">
        <f t="shared" si="296"/>
        <v>353</v>
      </c>
      <c r="K156" s="94"/>
      <c r="L156" s="94"/>
      <c r="M156" s="94"/>
      <c r="N156" s="95">
        <f t="shared" si="261"/>
        <v>0</v>
      </c>
      <c r="O156" s="95">
        <f t="shared" si="297"/>
        <v>0</v>
      </c>
      <c r="P156" s="95">
        <f t="shared" si="298"/>
        <v>1</v>
      </c>
      <c r="Q156" s="96" t="str">
        <f t="shared" si="262"/>
        <v>Ok</v>
      </c>
      <c r="R156" s="97">
        <f t="shared" si="263"/>
        <v>0.77659999999999996</v>
      </c>
      <c r="S156" s="131">
        <f t="shared" si="271"/>
        <v>1E-3</v>
      </c>
      <c r="T156" s="99">
        <v>3</v>
      </c>
      <c r="U156" s="100">
        <v>22</v>
      </c>
      <c r="V156" s="101" t="str">
        <f t="shared" si="219"/>
        <v>+</v>
      </c>
      <c r="W156" s="99">
        <v>3</v>
      </c>
      <c r="X156" s="100">
        <v>22</v>
      </c>
      <c r="Y156" s="102">
        <f t="shared" si="299"/>
        <v>22.807962665061901</v>
      </c>
      <c r="Z156" s="103" t="str">
        <f t="shared" si="220"/>
        <v>Ok</v>
      </c>
      <c r="AA156" s="93">
        <f t="shared" si="264"/>
        <v>147.37765536693294</v>
      </c>
      <c r="AB156" s="93">
        <f t="shared" si="300"/>
        <v>265.55351980439576</v>
      </c>
      <c r="AC156" s="89" t="str">
        <f t="shared" si="272"/>
        <v>Ok</v>
      </c>
      <c r="AD156" s="98">
        <f t="shared" si="301"/>
        <v>2.3038346126325153E-2</v>
      </c>
      <c r="AE156" s="98">
        <f t="shared" si="265"/>
        <v>1.9281988961466403E-2</v>
      </c>
      <c r="AF156" s="104" t="str">
        <f t="shared" si="302"/>
        <v>No-Ok</v>
      </c>
      <c r="AG156" s="100">
        <v>10</v>
      </c>
      <c r="AH156" s="105">
        <v>2</v>
      </c>
      <c r="AI156" s="105">
        <v>200</v>
      </c>
      <c r="AJ156" s="104">
        <f t="shared" si="266"/>
        <v>7.8500000000000005</v>
      </c>
      <c r="AK156" s="60" t="str">
        <f t="shared" si="267"/>
        <v>OK</v>
      </c>
      <c r="AL156" s="109">
        <f t="shared" si="268"/>
        <v>300</v>
      </c>
      <c r="AT156" s="133" t="str">
        <f t="shared" si="269"/>
        <v>no need</v>
      </c>
      <c r="AV156" s="61">
        <f t="shared" si="273"/>
        <v>396.06599999999997</v>
      </c>
      <c r="AW156" s="61" t="str">
        <f t="shared" si="274"/>
        <v>OK</v>
      </c>
      <c r="AX156" s="63" t="e">
        <f t="shared" si="275"/>
        <v>#DIV/0!</v>
      </c>
      <c r="AY156" s="63">
        <f t="shared" si="276"/>
        <v>176.5</v>
      </c>
      <c r="AZ156" s="63">
        <f t="shared" si="277"/>
        <v>372.33201581027674</v>
      </c>
      <c r="BA156" s="63">
        <f t="shared" si="278"/>
        <v>63.249999999999993</v>
      </c>
      <c r="BB156" s="63">
        <f t="shared" si="279"/>
        <v>235.5</v>
      </c>
      <c r="BC156" s="63" t="str">
        <f t="shared" si="280"/>
        <v>OK</v>
      </c>
      <c r="BD156" s="63">
        <f t="shared" si="281"/>
        <v>517.4334588029144</v>
      </c>
      <c r="BE156" s="63">
        <f t="shared" si="282"/>
        <v>285.62112500000001</v>
      </c>
      <c r="BF156" s="63">
        <f t="shared" si="283"/>
        <v>196.31212499999998</v>
      </c>
      <c r="BG156" s="63">
        <f t="shared" si="284"/>
        <v>278.3292214677881</v>
      </c>
      <c r="BH156" s="63">
        <f t="shared" si="285"/>
        <v>169.35174999999998</v>
      </c>
      <c r="BI156" s="63">
        <f t="shared" si="286"/>
        <v>169.35174999999998</v>
      </c>
      <c r="BJ156" s="63">
        <f t="shared" si="287"/>
        <v>169.35174999999998</v>
      </c>
      <c r="BK156" s="63" t="str">
        <f t="shared" si="288"/>
        <v>OK</v>
      </c>
      <c r="BL156" s="63">
        <f t="shared" si="289"/>
        <v>211.79999999999998</v>
      </c>
      <c r="BM156" s="63">
        <f t="shared" si="290"/>
        <v>353</v>
      </c>
      <c r="BN156" s="63">
        <f t="shared" si="291"/>
        <v>706</v>
      </c>
      <c r="BO156" s="63">
        <f t="shared" si="292"/>
        <v>1059</v>
      </c>
      <c r="BP156" s="63">
        <f t="shared" si="293"/>
        <v>44.654499999999992</v>
      </c>
      <c r="BQ156" s="63">
        <f t="shared" si="294"/>
        <v>516.07959270692425</v>
      </c>
      <c r="BR156" s="63" t="str">
        <f t="shared" si="295"/>
        <v>OK</v>
      </c>
      <c r="BW156" s="70">
        <f t="shared" si="270"/>
        <v>37.02600000000001</v>
      </c>
    </row>
    <row r="157" spans="4:104">
      <c r="D157" s="181"/>
      <c r="E157" s="181"/>
      <c r="F157" s="91" t="s">
        <v>15</v>
      </c>
      <c r="G157" s="78">
        <v>220</v>
      </c>
      <c r="H157" s="78">
        <v>450</v>
      </c>
      <c r="I157" s="92">
        <f t="shared" si="260"/>
        <v>97</v>
      </c>
      <c r="J157" s="93">
        <f t="shared" si="296"/>
        <v>353</v>
      </c>
      <c r="K157" s="94"/>
      <c r="L157" s="94"/>
      <c r="M157" s="94"/>
      <c r="N157" s="95">
        <f t="shared" si="261"/>
        <v>0</v>
      </c>
      <c r="O157" s="95">
        <f t="shared" si="297"/>
        <v>0</v>
      </c>
      <c r="P157" s="95">
        <f t="shared" si="298"/>
        <v>1</v>
      </c>
      <c r="Q157" s="96" t="str">
        <f t="shared" si="262"/>
        <v>Ok</v>
      </c>
      <c r="R157" s="97">
        <f t="shared" si="263"/>
        <v>0.77659999999999996</v>
      </c>
      <c r="S157" s="131">
        <f t="shared" si="271"/>
        <v>1E-3</v>
      </c>
      <c r="T157" s="99">
        <v>3</v>
      </c>
      <c r="U157" s="100">
        <v>22</v>
      </c>
      <c r="V157" s="101" t="str">
        <f t="shared" si="219"/>
        <v>+</v>
      </c>
      <c r="W157" s="99">
        <v>3</v>
      </c>
      <c r="X157" s="100">
        <v>22</v>
      </c>
      <c r="Y157" s="102">
        <f t="shared" si="299"/>
        <v>22.807962665061901</v>
      </c>
      <c r="Z157" s="103" t="str">
        <f t="shared" si="220"/>
        <v>Ok</v>
      </c>
      <c r="AA157" s="93">
        <f t="shared" si="264"/>
        <v>147.37765536693294</v>
      </c>
      <c r="AB157" s="93">
        <f t="shared" si="300"/>
        <v>265.55351980439576</v>
      </c>
      <c r="AC157" s="89" t="str">
        <f t="shared" si="272"/>
        <v>Ok</v>
      </c>
      <c r="AD157" s="98">
        <f t="shared" si="301"/>
        <v>2.3038346126325153E-2</v>
      </c>
      <c r="AE157" s="98">
        <f t="shared" si="265"/>
        <v>1.9281988961466403E-2</v>
      </c>
      <c r="AF157" s="104" t="str">
        <f t="shared" si="302"/>
        <v>No-Ok</v>
      </c>
      <c r="AG157" s="100">
        <v>10</v>
      </c>
      <c r="AH157" s="105">
        <v>2</v>
      </c>
      <c r="AI157" s="105">
        <v>200</v>
      </c>
      <c r="AJ157" s="104">
        <f t="shared" si="266"/>
        <v>7.8500000000000005</v>
      </c>
      <c r="AK157" s="60" t="str">
        <f t="shared" si="267"/>
        <v>OK</v>
      </c>
      <c r="AL157" s="109">
        <f t="shared" si="268"/>
        <v>300</v>
      </c>
      <c r="AT157" s="133" t="str">
        <f t="shared" si="269"/>
        <v>no need</v>
      </c>
      <c r="AV157" s="61">
        <f t="shared" si="273"/>
        <v>396.06599999999997</v>
      </c>
      <c r="AW157" s="61" t="str">
        <f t="shared" si="274"/>
        <v>OK</v>
      </c>
      <c r="AX157" s="63" t="e">
        <f t="shared" si="275"/>
        <v>#DIV/0!</v>
      </c>
      <c r="AY157" s="63">
        <f t="shared" si="276"/>
        <v>176.5</v>
      </c>
      <c r="AZ157" s="63">
        <f t="shared" si="277"/>
        <v>372.33201581027674</v>
      </c>
      <c r="BA157" s="63">
        <f t="shared" si="278"/>
        <v>63.249999999999993</v>
      </c>
      <c r="BB157" s="63">
        <f t="shared" si="279"/>
        <v>235.5</v>
      </c>
      <c r="BC157" s="63" t="str">
        <f t="shared" si="280"/>
        <v>OK</v>
      </c>
      <c r="BD157" s="63">
        <f t="shared" si="281"/>
        <v>517.4334588029144</v>
      </c>
      <c r="BE157" s="63">
        <f t="shared" si="282"/>
        <v>285.62112500000001</v>
      </c>
      <c r="BF157" s="63">
        <f t="shared" si="283"/>
        <v>196.31212499999998</v>
      </c>
      <c r="BG157" s="63">
        <f t="shared" si="284"/>
        <v>278.3292214677881</v>
      </c>
      <c r="BH157" s="63">
        <f t="shared" si="285"/>
        <v>169.35174999999998</v>
      </c>
      <c r="BI157" s="63">
        <f t="shared" si="286"/>
        <v>169.35174999999998</v>
      </c>
      <c r="BJ157" s="63">
        <f t="shared" si="287"/>
        <v>169.35174999999998</v>
      </c>
      <c r="BK157" s="63" t="str">
        <f t="shared" si="288"/>
        <v>OK</v>
      </c>
      <c r="BL157" s="63">
        <f t="shared" si="289"/>
        <v>211.79999999999998</v>
      </c>
      <c r="BM157" s="63">
        <f t="shared" si="290"/>
        <v>353</v>
      </c>
      <c r="BN157" s="63">
        <f t="shared" si="291"/>
        <v>706</v>
      </c>
      <c r="BO157" s="63">
        <f t="shared" si="292"/>
        <v>1059</v>
      </c>
      <c r="BP157" s="63">
        <f t="shared" si="293"/>
        <v>44.654499999999992</v>
      </c>
      <c r="BQ157" s="63">
        <f t="shared" si="294"/>
        <v>329.87761338302221</v>
      </c>
      <c r="BR157" s="63" t="str">
        <f t="shared" si="295"/>
        <v>OK</v>
      </c>
      <c r="BW157" s="70">
        <f t="shared" si="270"/>
        <v>37.02600000000001</v>
      </c>
    </row>
    <row r="158" spans="4:104">
      <c r="D158" s="176" t="s">
        <v>90</v>
      </c>
      <c r="E158" s="176" t="s">
        <v>90</v>
      </c>
      <c r="F158" s="67" t="s">
        <v>15</v>
      </c>
      <c r="G158" s="78">
        <v>220</v>
      </c>
      <c r="H158" s="78">
        <v>450</v>
      </c>
      <c r="I158" s="79">
        <f t="shared" si="260"/>
        <v>97</v>
      </c>
      <c r="J158" s="80">
        <f t="shared" si="296"/>
        <v>353</v>
      </c>
      <c r="K158" s="81"/>
      <c r="L158" s="81"/>
      <c r="M158" s="81"/>
      <c r="N158" s="82">
        <f t="shared" si="261"/>
        <v>0</v>
      </c>
      <c r="O158" s="82">
        <f t="shared" si="297"/>
        <v>0</v>
      </c>
      <c r="P158" s="82">
        <f t="shared" si="298"/>
        <v>1</v>
      </c>
      <c r="Q158" s="83" t="str">
        <f t="shared" si="262"/>
        <v>Ok</v>
      </c>
      <c r="R158" s="84">
        <f t="shared" si="263"/>
        <v>0.77659999999999996</v>
      </c>
      <c r="S158" s="131">
        <f t="shared" si="271"/>
        <v>1E-3</v>
      </c>
      <c r="T158" s="86">
        <v>3</v>
      </c>
      <c r="U158" s="77">
        <v>22</v>
      </c>
      <c r="V158" s="87" t="str">
        <f t="shared" si="219"/>
        <v>+</v>
      </c>
      <c r="W158" s="86">
        <v>3</v>
      </c>
      <c r="X158" s="77">
        <v>22</v>
      </c>
      <c r="Y158" s="88">
        <f t="shared" si="299"/>
        <v>22.807962665061901</v>
      </c>
      <c r="Z158" s="89" t="str">
        <f t="shared" si="220"/>
        <v>Ok</v>
      </c>
      <c r="AA158" s="80">
        <f t="shared" si="264"/>
        <v>104.44325576623555</v>
      </c>
      <c r="AB158" s="80">
        <f t="shared" si="300"/>
        <v>267.80980644614226</v>
      </c>
      <c r="AC158" s="89" t="str">
        <f t="shared" si="272"/>
        <v>Ok</v>
      </c>
      <c r="AD158" s="85">
        <f t="shared" si="301"/>
        <v>2.3038346126325153E-2</v>
      </c>
      <c r="AE158" s="85">
        <f t="shared" si="265"/>
        <v>1.9281988961466403E-2</v>
      </c>
      <c r="AF158" s="60" t="str">
        <f t="shared" si="302"/>
        <v>No-Ok</v>
      </c>
      <c r="AG158" s="77">
        <v>10</v>
      </c>
      <c r="AH158" s="76">
        <v>2</v>
      </c>
      <c r="AI158" s="76">
        <v>200</v>
      </c>
      <c r="AJ158" s="60">
        <f t="shared" si="266"/>
        <v>7.8500000000000005</v>
      </c>
      <c r="AK158" s="60" t="str">
        <f t="shared" si="267"/>
        <v>OK</v>
      </c>
      <c r="AL158" s="109">
        <f t="shared" si="268"/>
        <v>300</v>
      </c>
      <c r="AT158" s="133" t="str">
        <f t="shared" si="269"/>
        <v>no need</v>
      </c>
      <c r="AV158" s="61">
        <f t="shared" si="273"/>
        <v>396.06599999999997</v>
      </c>
      <c r="AW158" s="61" t="str">
        <f t="shared" si="274"/>
        <v>OK</v>
      </c>
      <c r="AX158" s="63" t="e">
        <f t="shared" si="275"/>
        <v>#DIV/0!</v>
      </c>
      <c r="AY158" s="63">
        <f t="shared" si="276"/>
        <v>176.5</v>
      </c>
      <c r="AZ158" s="63">
        <f t="shared" si="277"/>
        <v>372.33201581027674</v>
      </c>
      <c r="BA158" s="63">
        <f t="shared" si="278"/>
        <v>63.249999999999993</v>
      </c>
      <c r="BB158" s="63">
        <f t="shared" si="279"/>
        <v>235.5</v>
      </c>
      <c r="BC158" s="63" t="str">
        <f t="shared" si="280"/>
        <v>OK</v>
      </c>
      <c r="BD158" s="63">
        <f t="shared" si="281"/>
        <v>517.4334588029144</v>
      </c>
      <c r="BE158" s="63">
        <f t="shared" si="282"/>
        <v>285.62112500000001</v>
      </c>
      <c r="BF158" s="63">
        <f t="shared" si="283"/>
        <v>196.31212499999998</v>
      </c>
      <c r="BG158" s="63">
        <f t="shared" si="284"/>
        <v>278.3292214677881</v>
      </c>
      <c r="BH158" s="63">
        <f t="shared" si="285"/>
        <v>169.35174999999998</v>
      </c>
      <c r="BI158" s="63">
        <f t="shared" si="286"/>
        <v>169.35174999999998</v>
      </c>
      <c r="BJ158" s="63">
        <f t="shared" si="287"/>
        <v>169.35174999999998</v>
      </c>
      <c r="BK158" s="63" t="str">
        <f t="shared" si="288"/>
        <v>OK</v>
      </c>
      <c r="BL158" s="63">
        <f t="shared" si="289"/>
        <v>211.79999999999998</v>
      </c>
      <c r="BM158" s="63">
        <f t="shared" si="290"/>
        <v>353</v>
      </c>
      <c r="BN158" s="63">
        <f t="shared" si="291"/>
        <v>706</v>
      </c>
      <c r="BO158" s="63">
        <f t="shared" si="292"/>
        <v>1059</v>
      </c>
      <c r="BP158" s="63">
        <f t="shared" si="293"/>
        <v>44.654499999999992</v>
      </c>
      <c r="BQ158" s="63">
        <f t="shared" si="294"/>
        <v>329.87761338302221</v>
      </c>
      <c r="BR158" s="63" t="str">
        <f t="shared" si="295"/>
        <v>OK</v>
      </c>
      <c r="BW158" s="70">
        <f t="shared" si="270"/>
        <v>37.02600000000001</v>
      </c>
    </row>
    <row r="159" spans="4:104">
      <c r="D159" s="177"/>
      <c r="E159" s="177"/>
      <c r="F159" s="68" t="s">
        <v>16</v>
      </c>
      <c r="G159" s="78">
        <v>220</v>
      </c>
      <c r="H159" s="78">
        <v>450</v>
      </c>
      <c r="I159" s="79">
        <f t="shared" si="260"/>
        <v>100</v>
      </c>
      <c r="J159" s="80">
        <f t="shared" si="296"/>
        <v>350</v>
      </c>
      <c r="K159" s="81"/>
      <c r="L159" s="81"/>
      <c r="M159" s="81"/>
      <c r="N159" s="82">
        <f t="shared" si="261"/>
        <v>0</v>
      </c>
      <c r="O159" s="82">
        <f t="shared" si="297"/>
        <v>0</v>
      </c>
      <c r="P159" s="82">
        <f t="shared" si="298"/>
        <v>1</v>
      </c>
      <c r="Q159" s="83" t="str">
        <f t="shared" si="262"/>
        <v>Ok</v>
      </c>
      <c r="R159" s="84">
        <f t="shared" si="263"/>
        <v>0.77</v>
      </c>
      <c r="S159" s="131">
        <f t="shared" si="271"/>
        <v>1E-3</v>
      </c>
      <c r="T159" s="86">
        <v>3</v>
      </c>
      <c r="U159" s="77">
        <v>25</v>
      </c>
      <c r="V159" s="87" t="str">
        <f t="shared" si="219"/>
        <v>+</v>
      </c>
      <c r="W159" s="86">
        <v>3</v>
      </c>
      <c r="X159" s="77">
        <v>25</v>
      </c>
      <c r="Y159" s="88">
        <f t="shared" si="299"/>
        <v>29.45243112740431</v>
      </c>
      <c r="Z159" s="89" t="str">
        <f t="shared" si="220"/>
        <v>Ok</v>
      </c>
      <c r="AA159" s="80">
        <f t="shared" si="264"/>
        <v>141.89666818386522</v>
      </c>
      <c r="AB159" s="80">
        <f t="shared" si="300"/>
        <v>331.76029705905461</v>
      </c>
      <c r="AC159" s="89" t="str">
        <f t="shared" si="272"/>
        <v>Ok</v>
      </c>
      <c r="AD159" s="85">
        <f t="shared" si="301"/>
        <v>2.9749930431721527E-2</v>
      </c>
      <c r="AE159" s="85">
        <f t="shared" si="265"/>
        <v>1.9281988961466403E-2</v>
      </c>
      <c r="AF159" s="60" t="str">
        <f t="shared" si="302"/>
        <v>No-Ok</v>
      </c>
      <c r="AG159" s="77">
        <v>10</v>
      </c>
      <c r="AH159" s="76">
        <v>2</v>
      </c>
      <c r="AI159" s="76">
        <v>200</v>
      </c>
      <c r="AJ159" s="60">
        <f t="shared" si="266"/>
        <v>7.8500000000000005</v>
      </c>
      <c r="AK159" s="60" t="str">
        <f t="shared" si="267"/>
        <v>OK</v>
      </c>
      <c r="AL159" s="109">
        <f t="shared" si="268"/>
        <v>300</v>
      </c>
      <c r="AT159" s="133" t="str">
        <f t="shared" si="269"/>
        <v>no need</v>
      </c>
      <c r="AV159" s="61">
        <f t="shared" si="273"/>
        <v>392.7</v>
      </c>
      <c r="AW159" s="61" t="str">
        <f t="shared" si="274"/>
        <v>OK</v>
      </c>
      <c r="AX159" s="63" t="e">
        <f t="shared" si="275"/>
        <v>#DIV/0!</v>
      </c>
      <c r="AY159" s="63">
        <f t="shared" si="276"/>
        <v>175</v>
      </c>
      <c r="AZ159" s="63">
        <f t="shared" si="277"/>
        <v>372.33201581027674</v>
      </c>
      <c r="BA159" s="63">
        <f t="shared" si="278"/>
        <v>63.249999999999993</v>
      </c>
      <c r="BB159" s="63">
        <f t="shared" si="279"/>
        <v>235.5</v>
      </c>
      <c r="BC159" s="63" t="str">
        <f t="shared" si="280"/>
        <v>OK</v>
      </c>
      <c r="BD159" s="63">
        <f t="shared" si="281"/>
        <v>513.03600731167148</v>
      </c>
      <c r="BE159" s="63">
        <f t="shared" si="282"/>
        <v>283.19375000000002</v>
      </c>
      <c r="BF159" s="63">
        <f t="shared" si="283"/>
        <v>194.64374999999995</v>
      </c>
      <c r="BG159" s="63">
        <f t="shared" si="284"/>
        <v>275.96381731933667</v>
      </c>
      <c r="BH159" s="63">
        <f t="shared" si="285"/>
        <v>167.91249999999999</v>
      </c>
      <c r="BI159" s="63">
        <f t="shared" si="286"/>
        <v>167.91249999999999</v>
      </c>
      <c r="BJ159" s="63">
        <f t="shared" si="287"/>
        <v>167.91249999999999</v>
      </c>
      <c r="BK159" s="63" t="str">
        <f t="shared" si="288"/>
        <v>OK</v>
      </c>
      <c r="BL159" s="63">
        <f t="shared" si="289"/>
        <v>210</v>
      </c>
      <c r="BM159" s="63">
        <f t="shared" si="290"/>
        <v>350</v>
      </c>
      <c r="BN159" s="63">
        <f t="shared" si="291"/>
        <v>700</v>
      </c>
      <c r="BO159" s="63">
        <f t="shared" si="292"/>
        <v>1050</v>
      </c>
      <c r="BP159" s="63">
        <f t="shared" si="293"/>
        <v>44.274999999999991</v>
      </c>
      <c r="BQ159" s="63">
        <f t="shared" si="294"/>
        <v>329.87761338302221</v>
      </c>
      <c r="BR159" s="63" t="str">
        <f t="shared" si="295"/>
        <v>OK</v>
      </c>
      <c r="BW159" s="70">
        <f t="shared" si="270"/>
        <v>37.02600000000001</v>
      </c>
    </row>
    <row r="160" spans="4:104">
      <c r="D160" s="178"/>
      <c r="E160" s="178"/>
      <c r="F160" s="67" t="s">
        <v>15</v>
      </c>
      <c r="G160" s="78">
        <v>220</v>
      </c>
      <c r="H160" s="78">
        <v>450</v>
      </c>
      <c r="I160" s="79">
        <f t="shared" si="260"/>
        <v>103</v>
      </c>
      <c r="J160" s="80">
        <f t="shared" si="296"/>
        <v>347</v>
      </c>
      <c r="K160" s="81"/>
      <c r="L160" s="81"/>
      <c r="M160" s="81"/>
      <c r="N160" s="82">
        <f t="shared" si="261"/>
        <v>0</v>
      </c>
      <c r="O160" s="82">
        <f t="shared" si="297"/>
        <v>0</v>
      </c>
      <c r="P160" s="82">
        <f t="shared" si="298"/>
        <v>1</v>
      </c>
      <c r="Q160" s="83" t="str">
        <f t="shared" si="262"/>
        <v>Ok</v>
      </c>
      <c r="R160" s="84">
        <f t="shared" si="263"/>
        <v>0.76340000000000008</v>
      </c>
      <c r="S160" s="131">
        <f t="shared" si="271"/>
        <v>1.0000000000000002E-3</v>
      </c>
      <c r="T160" s="86">
        <v>3</v>
      </c>
      <c r="U160" s="77">
        <v>28</v>
      </c>
      <c r="V160" s="87" t="str">
        <f t="shared" ref="V160:V163" si="303">IF(X160="","","+")</f>
        <v>+</v>
      </c>
      <c r="W160" s="86">
        <v>3</v>
      </c>
      <c r="X160" s="77">
        <v>28</v>
      </c>
      <c r="Y160" s="88">
        <f t="shared" si="299"/>
        <v>36.945129606215971</v>
      </c>
      <c r="Z160" s="89" t="str">
        <f t="shared" ref="Z160:Z163" si="304">IF(Y160&gt;R160,"Ok","Not Ok")</f>
        <v>Ok</v>
      </c>
      <c r="AA160" s="80">
        <f t="shared" si="264"/>
        <v>330.07722813585804</v>
      </c>
      <c r="AB160" s="80">
        <f t="shared" si="300"/>
        <v>326.18466610194088</v>
      </c>
      <c r="AC160" s="89" t="str">
        <f t="shared" si="272"/>
        <v>Ok</v>
      </c>
      <c r="AD160" s="85">
        <f t="shared" si="301"/>
        <v>3.7318312733551483E-2</v>
      </c>
      <c r="AE160" s="85">
        <f t="shared" si="265"/>
        <v>1.9281988961466403E-2</v>
      </c>
      <c r="AF160" s="60" t="str">
        <f t="shared" si="302"/>
        <v>No-Ok</v>
      </c>
      <c r="AG160" s="77">
        <v>10</v>
      </c>
      <c r="AH160" s="76">
        <v>2</v>
      </c>
      <c r="AI160" s="76">
        <v>200</v>
      </c>
      <c r="AJ160" s="60">
        <f t="shared" si="266"/>
        <v>7.8500000000000005</v>
      </c>
      <c r="AK160" s="60" t="str">
        <f t="shared" si="267"/>
        <v>OK</v>
      </c>
      <c r="AL160" s="109">
        <f t="shared" si="268"/>
        <v>300</v>
      </c>
      <c r="AT160" s="133" t="str">
        <f t="shared" si="269"/>
        <v>no need</v>
      </c>
      <c r="AV160" s="61">
        <f t="shared" si="273"/>
        <v>389.334</v>
      </c>
      <c r="AW160" s="61" t="str">
        <f t="shared" si="274"/>
        <v>OK</v>
      </c>
      <c r="AX160" s="63" t="e">
        <f t="shared" si="275"/>
        <v>#DIV/0!</v>
      </c>
      <c r="AY160" s="63">
        <f t="shared" si="276"/>
        <v>173.5</v>
      </c>
      <c r="AZ160" s="63">
        <f t="shared" si="277"/>
        <v>372.33201581027674</v>
      </c>
      <c r="BA160" s="63">
        <f t="shared" si="278"/>
        <v>63.249999999999993</v>
      </c>
      <c r="BB160" s="63">
        <f t="shared" si="279"/>
        <v>235.5</v>
      </c>
      <c r="BC160" s="63" t="str">
        <f t="shared" si="280"/>
        <v>OK</v>
      </c>
      <c r="BD160" s="63">
        <f t="shared" si="281"/>
        <v>508.63855582042862</v>
      </c>
      <c r="BE160" s="63">
        <f t="shared" si="282"/>
        <v>280.76637499999998</v>
      </c>
      <c r="BF160" s="63">
        <f t="shared" si="283"/>
        <v>192.97537499999996</v>
      </c>
      <c r="BG160" s="63">
        <f t="shared" si="284"/>
        <v>273.59841317088518</v>
      </c>
      <c r="BH160" s="63">
        <f t="shared" si="285"/>
        <v>166.47324999999998</v>
      </c>
      <c r="BI160" s="63">
        <f t="shared" si="286"/>
        <v>166.47324999999998</v>
      </c>
      <c r="BJ160" s="63">
        <f t="shared" si="287"/>
        <v>166.47324999999998</v>
      </c>
      <c r="BK160" s="63" t="str">
        <f t="shared" si="288"/>
        <v>OK</v>
      </c>
      <c r="BL160" s="63">
        <f t="shared" si="289"/>
        <v>208.2</v>
      </c>
      <c r="BM160" s="63">
        <f t="shared" si="290"/>
        <v>347</v>
      </c>
      <c r="BN160" s="63">
        <f t="shared" si="291"/>
        <v>694</v>
      </c>
      <c r="BO160" s="63">
        <f t="shared" si="292"/>
        <v>1041</v>
      </c>
      <c r="BP160" s="63">
        <f t="shared" si="293"/>
        <v>43.895499999999991</v>
      </c>
      <c r="BQ160" s="63">
        <f t="shared" si="294"/>
        <v>417.99631252325759</v>
      </c>
      <c r="BR160" s="63" t="str">
        <f t="shared" si="295"/>
        <v>OK</v>
      </c>
      <c r="BW160" s="70">
        <f t="shared" si="270"/>
        <v>37.02600000000001</v>
      </c>
    </row>
    <row r="161" spans="4:75">
      <c r="D161" s="179" t="s">
        <v>90</v>
      </c>
      <c r="E161" s="179" t="s">
        <v>90</v>
      </c>
      <c r="F161" s="91" t="s">
        <v>15</v>
      </c>
      <c r="G161" s="78">
        <v>220</v>
      </c>
      <c r="H161" s="78">
        <v>450</v>
      </c>
      <c r="I161" s="92">
        <f t="shared" si="260"/>
        <v>97</v>
      </c>
      <c r="J161" s="93">
        <f t="shared" si="296"/>
        <v>353</v>
      </c>
      <c r="K161" s="94"/>
      <c r="L161" s="94"/>
      <c r="M161" s="94"/>
      <c r="N161" s="95">
        <f t="shared" si="261"/>
        <v>0</v>
      </c>
      <c r="O161" s="95">
        <f t="shared" si="297"/>
        <v>0</v>
      </c>
      <c r="P161" s="95">
        <f t="shared" si="298"/>
        <v>1</v>
      </c>
      <c r="Q161" s="96" t="str">
        <f t="shared" si="262"/>
        <v>Ok</v>
      </c>
      <c r="R161" s="97">
        <f t="shared" si="263"/>
        <v>0.77659999999999996</v>
      </c>
      <c r="S161" s="131">
        <f t="shared" si="271"/>
        <v>1E-3</v>
      </c>
      <c r="T161" s="99">
        <v>3</v>
      </c>
      <c r="U161" s="100">
        <v>22</v>
      </c>
      <c r="V161" s="101" t="str">
        <f t="shared" si="303"/>
        <v>+</v>
      </c>
      <c r="W161" s="99">
        <v>3</v>
      </c>
      <c r="X161" s="100">
        <v>22</v>
      </c>
      <c r="Y161" s="102">
        <f t="shared" si="299"/>
        <v>22.807962665061901</v>
      </c>
      <c r="Z161" s="103" t="str">
        <f t="shared" si="304"/>
        <v>Ok</v>
      </c>
      <c r="AA161" s="93">
        <f t="shared" si="264"/>
        <v>104.44325576623555</v>
      </c>
      <c r="AB161" s="93">
        <f t="shared" si="300"/>
        <v>267.80980644614226</v>
      </c>
      <c r="AC161" s="89" t="str">
        <f t="shared" si="272"/>
        <v>Ok</v>
      </c>
      <c r="AD161" s="98">
        <f t="shared" si="301"/>
        <v>2.3038346126325153E-2</v>
      </c>
      <c r="AE161" s="98">
        <f t="shared" si="265"/>
        <v>1.9281988961466403E-2</v>
      </c>
      <c r="AF161" s="104" t="str">
        <f t="shared" si="302"/>
        <v>No-Ok</v>
      </c>
      <c r="AG161" s="100">
        <v>10</v>
      </c>
      <c r="AH161" s="105">
        <v>2</v>
      </c>
      <c r="AI161" s="105">
        <v>200</v>
      </c>
      <c r="AJ161" s="104">
        <f t="shared" si="266"/>
        <v>7.8500000000000005</v>
      </c>
      <c r="AK161" s="60" t="str">
        <f t="shared" si="267"/>
        <v>OK</v>
      </c>
      <c r="AL161" s="109">
        <f t="shared" si="268"/>
        <v>300</v>
      </c>
      <c r="AT161" s="133" t="str">
        <f t="shared" si="269"/>
        <v>no need</v>
      </c>
      <c r="AV161" s="61">
        <f t="shared" si="273"/>
        <v>396.06599999999997</v>
      </c>
      <c r="AW161" s="61" t="str">
        <f t="shared" si="274"/>
        <v>OK</v>
      </c>
      <c r="AX161" s="63" t="e">
        <f t="shared" si="275"/>
        <v>#DIV/0!</v>
      </c>
      <c r="AY161" s="63">
        <f t="shared" si="276"/>
        <v>176.5</v>
      </c>
      <c r="AZ161" s="63">
        <f t="shared" si="277"/>
        <v>372.33201581027674</v>
      </c>
      <c r="BA161" s="63">
        <f t="shared" si="278"/>
        <v>63.249999999999993</v>
      </c>
      <c r="BB161" s="63">
        <f t="shared" si="279"/>
        <v>235.5</v>
      </c>
      <c r="BC161" s="63" t="str">
        <f t="shared" si="280"/>
        <v>OK</v>
      </c>
      <c r="BD161" s="63">
        <f t="shared" si="281"/>
        <v>517.4334588029144</v>
      </c>
      <c r="BE161" s="63">
        <f t="shared" si="282"/>
        <v>285.62112500000001</v>
      </c>
      <c r="BF161" s="63">
        <f t="shared" si="283"/>
        <v>196.31212499999998</v>
      </c>
      <c r="BG161" s="63">
        <f t="shared" si="284"/>
        <v>278.3292214677881</v>
      </c>
      <c r="BH161" s="63">
        <f t="shared" si="285"/>
        <v>169.35174999999998</v>
      </c>
      <c r="BI161" s="63">
        <f t="shared" si="286"/>
        <v>169.35174999999998</v>
      </c>
      <c r="BJ161" s="63">
        <f t="shared" si="287"/>
        <v>169.35174999999998</v>
      </c>
      <c r="BK161" s="63" t="str">
        <f t="shared" si="288"/>
        <v>OK</v>
      </c>
      <c r="BL161" s="63">
        <f t="shared" si="289"/>
        <v>211.79999999999998</v>
      </c>
      <c r="BM161" s="63">
        <f t="shared" si="290"/>
        <v>353</v>
      </c>
      <c r="BN161" s="63">
        <f t="shared" si="291"/>
        <v>706</v>
      </c>
      <c r="BO161" s="63">
        <f t="shared" si="292"/>
        <v>1059</v>
      </c>
      <c r="BP161" s="63">
        <f t="shared" si="293"/>
        <v>44.654499999999992</v>
      </c>
      <c r="BQ161" s="63">
        <f t="shared" si="294"/>
        <v>516.07959270692425</v>
      </c>
      <c r="BR161" s="63" t="str">
        <f t="shared" si="295"/>
        <v>OK</v>
      </c>
      <c r="BW161" s="70">
        <f t="shared" si="270"/>
        <v>37.02600000000001</v>
      </c>
    </row>
    <row r="162" spans="4:75">
      <c r="D162" s="180"/>
      <c r="E162" s="180"/>
      <c r="F162" s="106" t="s">
        <v>16</v>
      </c>
      <c r="G162" s="78">
        <v>220</v>
      </c>
      <c r="H162" s="78">
        <v>450</v>
      </c>
      <c r="I162" s="92">
        <f t="shared" si="260"/>
        <v>100</v>
      </c>
      <c r="J162" s="93">
        <f t="shared" si="296"/>
        <v>350</v>
      </c>
      <c r="K162" s="94"/>
      <c r="L162" s="94"/>
      <c r="M162" s="94"/>
      <c r="N162" s="95">
        <f t="shared" si="261"/>
        <v>0</v>
      </c>
      <c r="O162" s="95">
        <f t="shared" si="297"/>
        <v>0</v>
      </c>
      <c r="P162" s="95">
        <f t="shared" si="298"/>
        <v>1</v>
      </c>
      <c r="Q162" s="96" t="str">
        <f t="shared" si="262"/>
        <v>Ok</v>
      </c>
      <c r="R162" s="97">
        <f t="shared" si="263"/>
        <v>0.77</v>
      </c>
      <c r="S162" s="131">
        <f t="shared" si="271"/>
        <v>1E-3</v>
      </c>
      <c r="T162" s="99">
        <v>3</v>
      </c>
      <c r="U162" s="100">
        <v>25</v>
      </c>
      <c r="V162" s="101" t="str">
        <f t="shared" si="303"/>
        <v>+</v>
      </c>
      <c r="W162" s="99">
        <v>3</v>
      </c>
      <c r="X162" s="100">
        <v>25</v>
      </c>
      <c r="Y162" s="102">
        <f t="shared" si="299"/>
        <v>29.45243112740431</v>
      </c>
      <c r="Z162" s="103" t="str">
        <f t="shared" si="304"/>
        <v>Ok</v>
      </c>
      <c r="AA162" s="93">
        <f t="shared" si="264"/>
        <v>141.89666818386522</v>
      </c>
      <c r="AB162" s="93">
        <f t="shared" si="300"/>
        <v>331.76029705905461</v>
      </c>
      <c r="AC162" s="89" t="str">
        <f t="shared" si="272"/>
        <v>Ok</v>
      </c>
      <c r="AD162" s="98">
        <f t="shared" si="301"/>
        <v>2.9749930431721527E-2</v>
      </c>
      <c r="AE162" s="98">
        <f t="shared" si="265"/>
        <v>1.9281988961466403E-2</v>
      </c>
      <c r="AF162" s="104" t="str">
        <f t="shared" si="302"/>
        <v>No-Ok</v>
      </c>
      <c r="AG162" s="100">
        <v>10</v>
      </c>
      <c r="AH162" s="105">
        <v>2</v>
      </c>
      <c r="AI162" s="105">
        <v>200</v>
      </c>
      <c r="AJ162" s="104">
        <f t="shared" si="266"/>
        <v>7.8500000000000005</v>
      </c>
      <c r="AK162" s="60" t="str">
        <f t="shared" si="267"/>
        <v>OK</v>
      </c>
      <c r="AL162" s="109">
        <f t="shared" si="268"/>
        <v>300</v>
      </c>
      <c r="AT162" s="133" t="str">
        <f t="shared" si="269"/>
        <v>no need</v>
      </c>
      <c r="AV162" s="61">
        <f t="shared" si="273"/>
        <v>392.7</v>
      </c>
      <c r="AW162" s="61" t="str">
        <f t="shared" si="274"/>
        <v>OK</v>
      </c>
      <c r="AX162" s="63" t="e">
        <f t="shared" si="275"/>
        <v>#DIV/0!</v>
      </c>
      <c r="AY162" s="63">
        <f t="shared" si="276"/>
        <v>175</v>
      </c>
      <c r="AZ162" s="63">
        <f t="shared" si="277"/>
        <v>372.33201581027674</v>
      </c>
      <c r="BA162" s="63">
        <f t="shared" si="278"/>
        <v>63.249999999999993</v>
      </c>
      <c r="BB162" s="63">
        <f t="shared" si="279"/>
        <v>235.5</v>
      </c>
      <c r="BC162" s="63" t="str">
        <f t="shared" si="280"/>
        <v>OK</v>
      </c>
      <c r="BD162" s="63">
        <f t="shared" si="281"/>
        <v>513.03600731167148</v>
      </c>
      <c r="BE162" s="63">
        <f t="shared" si="282"/>
        <v>283.19375000000002</v>
      </c>
      <c r="BF162" s="63">
        <f t="shared" si="283"/>
        <v>194.64374999999995</v>
      </c>
      <c r="BG162" s="63">
        <f t="shared" si="284"/>
        <v>275.96381731933667</v>
      </c>
      <c r="BH162" s="63">
        <f t="shared" si="285"/>
        <v>167.91249999999999</v>
      </c>
      <c r="BI162" s="63">
        <f t="shared" si="286"/>
        <v>167.91249999999999</v>
      </c>
      <c r="BJ162" s="63">
        <f t="shared" si="287"/>
        <v>167.91249999999999</v>
      </c>
      <c r="BK162" s="63" t="str">
        <f t="shared" si="288"/>
        <v>OK</v>
      </c>
      <c r="BL162" s="63">
        <f t="shared" si="289"/>
        <v>210</v>
      </c>
      <c r="BM162" s="63">
        <f t="shared" si="290"/>
        <v>350</v>
      </c>
      <c r="BN162" s="63">
        <f t="shared" si="291"/>
        <v>700</v>
      </c>
      <c r="BO162" s="63">
        <f t="shared" si="292"/>
        <v>1050</v>
      </c>
      <c r="BP162" s="63">
        <f t="shared" si="293"/>
        <v>44.274999999999991</v>
      </c>
      <c r="BQ162" s="63">
        <f t="shared" si="294"/>
        <v>329.87761338302221</v>
      </c>
      <c r="BR162" s="63" t="str">
        <f t="shared" si="295"/>
        <v>OK</v>
      </c>
      <c r="BW162" s="70">
        <f t="shared" si="270"/>
        <v>37.02600000000001</v>
      </c>
    </row>
    <row r="163" spans="4:75">
      <c r="D163" s="181"/>
      <c r="E163" s="181"/>
      <c r="F163" s="91" t="s">
        <v>15</v>
      </c>
      <c r="G163" s="78">
        <v>220</v>
      </c>
      <c r="H163" s="78">
        <v>450</v>
      </c>
      <c r="I163" s="92">
        <f t="shared" si="260"/>
        <v>103</v>
      </c>
      <c r="J163" s="93">
        <f t="shared" si="296"/>
        <v>347</v>
      </c>
      <c r="K163" s="94"/>
      <c r="L163" s="94"/>
      <c r="M163" s="94"/>
      <c r="N163" s="95">
        <f t="shared" si="261"/>
        <v>0</v>
      </c>
      <c r="O163" s="95">
        <f t="shared" si="297"/>
        <v>0</v>
      </c>
      <c r="P163" s="95">
        <f t="shared" si="298"/>
        <v>1</v>
      </c>
      <c r="Q163" s="96" t="str">
        <f t="shared" si="262"/>
        <v>Ok</v>
      </c>
      <c r="R163" s="97">
        <f t="shared" si="263"/>
        <v>0.76340000000000008</v>
      </c>
      <c r="S163" s="131">
        <f t="shared" si="271"/>
        <v>1.0000000000000002E-3</v>
      </c>
      <c r="T163" s="99">
        <v>3</v>
      </c>
      <c r="U163" s="100">
        <v>28</v>
      </c>
      <c r="V163" s="101" t="str">
        <f t="shared" si="303"/>
        <v>+</v>
      </c>
      <c r="W163" s="99">
        <v>3</v>
      </c>
      <c r="X163" s="100">
        <v>28</v>
      </c>
      <c r="Y163" s="102">
        <f t="shared" si="299"/>
        <v>36.945129606215971</v>
      </c>
      <c r="Z163" s="103" t="str">
        <f t="shared" si="304"/>
        <v>Ok</v>
      </c>
      <c r="AA163" s="93">
        <f t="shared" si="264"/>
        <v>477.45488350279106</v>
      </c>
      <c r="AB163" s="93">
        <f t="shared" si="300"/>
        <v>174.0062508321698</v>
      </c>
      <c r="AC163" s="89" t="str">
        <f t="shared" si="272"/>
        <v>Ok</v>
      </c>
      <c r="AD163" s="98">
        <f t="shared" si="301"/>
        <v>3.7318312733551483E-2</v>
      </c>
      <c r="AE163" s="98">
        <f t="shared" si="265"/>
        <v>1.9281988961466403E-2</v>
      </c>
      <c r="AF163" s="104" t="str">
        <f t="shared" si="302"/>
        <v>No-Ok</v>
      </c>
      <c r="AG163" s="100">
        <v>10</v>
      </c>
      <c r="AH163" s="105">
        <v>2</v>
      </c>
      <c r="AI163" s="105">
        <v>200</v>
      </c>
      <c r="AJ163" s="104">
        <f t="shared" si="266"/>
        <v>7.8500000000000005</v>
      </c>
      <c r="AK163" s="60" t="str">
        <f t="shared" si="267"/>
        <v>OK</v>
      </c>
      <c r="AL163" s="109">
        <f t="shared" si="268"/>
        <v>300</v>
      </c>
      <c r="AT163" s="133" t="str">
        <f t="shared" si="269"/>
        <v>no need</v>
      </c>
      <c r="AV163" s="61">
        <f t="shared" si="273"/>
        <v>389.334</v>
      </c>
      <c r="AW163" s="61" t="str">
        <f t="shared" si="274"/>
        <v>OK</v>
      </c>
      <c r="AX163" s="63" t="e">
        <f t="shared" si="275"/>
        <v>#DIV/0!</v>
      </c>
      <c r="AY163" s="63">
        <f t="shared" si="276"/>
        <v>173.5</v>
      </c>
      <c r="AZ163" s="63">
        <f t="shared" si="277"/>
        <v>372.33201581027674</v>
      </c>
      <c r="BA163" s="63">
        <f t="shared" si="278"/>
        <v>63.249999999999993</v>
      </c>
      <c r="BB163" s="63">
        <f t="shared" si="279"/>
        <v>235.5</v>
      </c>
      <c r="BC163" s="63" t="str">
        <f t="shared" si="280"/>
        <v>OK</v>
      </c>
      <c r="BD163" s="63">
        <f t="shared" si="281"/>
        <v>508.63855582042862</v>
      </c>
      <c r="BE163" s="63">
        <f t="shared" si="282"/>
        <v>280.76637499999998</v>
      </c>
      <c r="BF163" s="63">
        <f t="shared" si="283"/>
        <v>192.97537499999996</v>
      </c>
      <c r="BG163" s="63">
        <f t="shared" si="284"/>
        <v>273.59841317088518</v>
      </c>
      <c r="BH163" s="63">
        <f t="shared" si="285"/>
        <v>166.47324999999998</v>
      </c>
      <c r="BI163" s="63">
        <f t="shared" si="286"/>
        <v>166.47324999999998</v>
      </c>
      <c r="BJ163" s="63">
        <f t="shared" si="287"/>
        <v>166.47324999999998</v>
      </c>
      <c r="BK163" s="63" t="str">
        <f t="shared" si="288"/>
        <v>OK</v>
      </c>
      <c r="BL163" s="63">
        <f t="shared" si="289"/>
        <v>208.2</v>
      </c>
      <c r="BM163" s="63">
        <f t="shared" si="290"/>
        <v>347</v>
      </c>
      <c r="BN163" s="63">
        <f t="shared" si="291"/>
        <v>694</v>
      </c>
      <c r="BO163" s="63">
        <f t="shared" si="292"/>
        <v>1041</v>
      </c>
      <c r="BP163" s="63">
        <f t="shared" si="293"/>
        <v>43.895499999999991</v>
      </c>
      <c r="BQ163" s="63">
        <f t="shared" si="294"/>
        <v>417.99631252325759</v>
      </c>
      <c r="BR163" s="63" t="str">
        <f t="shared" si="295"/>
        <v>OK</v>
      </c>
      <c r="BW163" s="70">
        <f t="shared" si="270"/>
        <v>37.02600000000001</v>
      </c>
    </row>
  </sheetData>
  <sheetProtection deleteColumns="0" deleteRows="0" selectLockedCells="1" selectUnlockedCells="1"/>
  <sortState ref="A21:BV32">
    <sortCondition ref="E21:E32"/>
  </sortState>
  <mergeCells count="174">
    <mergeCell ref="CZ18:CZ19"/>
    <mergeCell ref="CY18:CY19"/>
    <mergeCell ref="CW16:CZ16"/>
    <mergeCell ref="DA18:DD18"/>
    <mergeCell ref="DE18:DH18"/>
    <mergeCell ref="DA16:DH16"/>
    <mergeCell ref="BY16:CJ16"/>
    <mergeCell ref="CN18:CN19"/>
    <mergeCell ref="CU18:CU19"/>
    <mergeCell ref="CK16:CV16"/>
    <mergeCell ref="CF18:CF19"/>
    <mergeCell ref="CG18:CG19"/>
    <mergeCell ref="CR18:CR19"/>
    <mergeCell ref="CS18:CS19"/>
    <mergeCell ref="CW18:CW19"/>
    <mergeCell ref="CX18:CX19"/>
    <mergeCell ref="BY18:BY19"/>
    <mergeCell ref="BZ18:BZ19"/>
    <mergeCell ref="CA18:CA19"/>
    <mergeCell ref="CK18:CK19"/>
    <mergeCell ref="CB18:CB19"/>
    <mergeCell ref="CE18:CE19"/>
    <mergeCell ref="CH18:CH19"/>
    <mergeCell ref="CI18:CI19"/>
    <mergeCell ref="CJ18:CJ19"/>
    <mergeCell ref="AD18:AD19"/>
    <mergeCell ref="AE18:AE19"/>
    <mergeCell ref="AF18:AF19"/>
    <mergeCell ref="BU18:BV18"/>
    <mergeCell ref="CC18:CC19"/>
    <mergeCell ref="CD18:CD19"/>
    <mergeCell ref="AJ18:AJ19"/>
    <mergeCell ref="AK18:AK19"/>
    <mergeCell ref="BF18:BF19"/>
    <mergeCell ref="BG18:BG19"/>
    <mergeCell ref="AW18:AW19"/>
    <mergeCell ref="AX18:AX19"/>
    <mergeCell ref="AY18:AY19"/>
    <mergeCell ref="AZ18:AZ19"/>
    <mergeCell ref="BA18:BA19"/>
    <mergeCell ref="BW18:BW19"/>
    <mergeCell ref="BX18:BX19"/>
    <mergeCell ref="AV18:AV19"/>
    <mergeCell ref="BC18:BC19"/>
    <mergeCell ref="W3:X3"/>
    <mergeCell ref="Y18:Y19"/>
    <mergeCell ref="T18:X18"/>
    <mergeCell ref="T19:U19"/>
    <mergeCell ref="W19:X19"/>
    <mergeCell ref="AG18:AI18"/>
    <mergeCell ref="AB18:AB19"/>
    <mergeCell ref="AC18:AC19"/>
    <mergeCell ref="N18:P18"/>
    <mergeCell ref="Q18:Q19"/>
    <mergeCell ref="R18:S18"/>
    <mergeCell ref="Z18:Z19"/>
    <mergeCell ref="AA18:AA19"/>
    <mergeCell ref="D1:AK2"/>
    <mergeCell ref="AV1:BR1"/>
    <mergeCell ref="BT1:CZ1"/>
    <mergeCell ref="BP18:BP19"/>
    <mergeCell ref="BQ18:BQ19"/>
    <mergeCell ref="BR18:BR19"/>
    <mergeCell ref="BK18:BK19"/>
    <mergeCell ref="BL18:BL19"/>
    <mergeCell ref="BN18:BN19"/>
    <mergeCell ref="BO18:BO19"/>
    <mergeCell ref="BM18:BM19"/>
    <mergeCell ref="BI18:BI19"/>
    <mergeCell ref="BJ18:BJ19"/>
    <mergeCell ref="BB18:BB19"/>
    <mergeCell ref="BH18:BH19"/>
    <mergeCell ref="BD18:BD19"/>
    <mergeCell ref="BE18:BE19"/>
    <mergeCell ref="CL18:CL19"/>
    <mergeCell ref="CV18:CV19"/>
    <mergeCell ref="CM18:CM19"/>
    <mergeCell ref="CO18:CO19"/>
    <mergeCell ref="CP18:CP19"/>
    <mergeCell ref="CQ18:CQ19"/>
    <mergeCell ref="CT18:CT19"/>
    <mergeCell ref="F18:F19"/>
    <mergeCell ref="G18:J18"/>
    <mergeCell ref="K18:M18"/>
    <mergeCell ref="E74:E79"/>
    <mergeCell ref="E95:E97"/>
    <mergeCell ref="E98:E100"/>
    <mergeCell ref="E101:E103"/>
    <mergeCell ref="E104:E106"/>
    <mergeCell ref="E107:E109"/>
    <mergeCell ref="E86:E88"/>
    <mergeCell ref="E89:E91"/>
    <mergeCell ref="E92:E94"/>
    <mergeCell ref="E80:E85"/>
    <mergeCell ref="E20:E22"/>
    <mergeCell ref="E38:E52"/>
    <mergeCell ref="E65:E67"/>
    <mergeCell ref="E68:E70"/>
    <mergeCell ref="E71:E73"/>
    <mergeCell ref="E62:E64"/>
    <mergeCell ref="E53:E61"/>
    <mergeCell ref="E18:E19"/>
    <mergeCell ref="E23:E25"/>
    <mergeCell ref="E26:E28"/>
    <mergeCell ref="E29:E31"/>
    <mergeCell ref="E149:E151"/>
    <mergeCell ref="E152:E154"/>
    <mergeCell ref="E125:E127"/>
    <mergeCell ref="E128:E130"/>
    <mergeCell ref="E131:E133"/>
    <mergeCell ref="E134:E136"/>
    <mergeCell ref="E137:E139"/>
    <mergeCell ref="E110:E112"/>
    <mergeCell ref="E113:E115"/>
    <mergeCell ref="E116:E118"/>
    <mergeCell ref="E119:E121"/>
    <mergeCell ref="E122:E124"/>
    <mergeCell ref="D56:D58"/>
    <mergeCell ref="D59:D61"/>
    <mergeCell ref="D62:D64"/>
    <mergeCell ref="D65:D67"/>
    <mergeCell ref="D68:D70"/>
    <mergeCell ref="E155:E157"/>
    <mergeCell ref="E158:E160"/>
    <mergeCell ref="E161:E163"/>
    <mergeCell ref="D18:D19"/>
    <mergeCell ref="D20:D22"/>
    <mergeCell ref="D23:D25"/>
    <mergeCell ref="D26:D28"/>
    <mergeCell ref="D29:D31"/>
    <mergeCell ref="D32:D34"/>
    <mergeCell ref="D35:D37"/>
    <mergeCell ref="D38:D40"/>
    <mergeCell ref="D41:D43"/>
    <mergeCell ref="D44:D46"/>
    <mergeCell ref="D47:D49"/>
    <mergeCell ref="D50:D52"/>
    <mergeCell ref="D53:D55"/>
    <mergeCell ref="E140:E142"/>
    <mergeCell ref="E143:E145"/>
    <mergeCell ref="E146:E148"/>
    <mergeCell ref="D89:D91"/>
    <mergeCell ref="D92:D94"/>
    <mergeCell ref="D95:D97"/>
    <mergeCell ref="D98:D100"/>
    <mergeCell ref="D71:D73"/>
    <mergeCell ref="D74:D76"/>
    <mergeCell ref="D77:D79"/>
    <mergeCell ref="D80:D82"/>
    <mergeCell ref="D83:D85"/>
    <mergeCell ref="E32:E34"/>
    <mergeCell ref="E35:E37"/>
    <mergeCell ref="D161:D163"/>
    <mergeCell ref="D146:D148"/>
    <mergeCell ref="D149:D151"/>
    <mergeCell ref="D152:D154"/>
    <mergeCell ref="D155:D157"/>
    <mergeCell ref="D158:D160"/>
    <mergeCell ref="D131:D133"/>
    <mergeCell ref="D134:D136"/>
    <mergeCell ref="D137:D139"/>
    <mergeCell ref="D140:D142"/>
    <mergeCell ref="D143:D145"/>
    <mergeCell ref="D116:D118"/>
    <mergeCell ref="D119:D121"/>
    <mergeCell ref="D122:D124"/>
    <mergeCell ref="D125:D127"/>
    <mergeCell ref="D128:D130"/>
    <mergeCell ref="D101:D103"/>
    <mergeCell ref="D104:D106"/>
    <mergeCell ref="D107:D109"/>
    <mergeCell ref="D110:D112"/>
    <mergeCell ref="D113:D115"/>
    <mergeCell ref="D86:D88"/>
  </mergeCells>
  <conditionalFormatting sqref="AZ9 BG10 BG12 BG14:BG16">
    <cfRule type="cellIs" dxfId="0" priority="1" stopIfTrue="1" operator="equal">
      <formula>"Không đạt"</formula>
    </cfRule>
  </conditionalFormatting>
  <dataValidations disablePrompts="1" count="2">
    <dataValidation errorStyle="warning" allowBlank="1" showInputMessage="1" showErrorMessage="1" promptTitle="HIEU94" prompt="Eb2 = 0.0035 với bê tông cấp độ bền B60 trở xuống. Xem mục 6.14.2 TCVN 5574-2018." sqref="J13"/>
    <dataValidation allowBlank="1" showInputMessage="1" showErrorMessage="1" promptTitle="HIEUHIN94" prompt="Điều kiện đảm bảo bê tông không bị phá vỡ bới ứng suất nén chính do xoắn" sqref="BW18:BW19"/>
  </dataValidations>
  <pageMargins left="0.9" right="0.95" top="0.78740157480314998" bottom="0.39370078740157499" header="0.196850393700787" footer="0.196850393700787"/>
  <pageSetup paperSize="9" scale="93" fitToHeight="0" orientation="landscape" r:id="rId1"/>
  <headerFooter alignWithMargins="0"/>
  <colBreaks count="1" manualBreakCount="1">
    <brk id="19" max="35" man="1"/>
  </colBreaks>
  <ignoredErrors>
    <ignoredError sqref="V20 V21 V22 V23 V24 V25" unlockedFormula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'Bang tra'!$B$14:$I$14</xm:f>
          </x14:formula1>
          <xm:sqref>F6:F9</xm:sqref>
        </x14:dataValidation>
        <x14:dataValidation type="list" allowBlank="1" showInputMessage="1" showErrorMessage="1">
          <x14:formula1>
            <xm:f>'Bang tra'!$B$5:$M$5</xm:f>
          </x14:formula1>
          <xm:sqref>F4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filterMode="1"/>
  <dimension ref="A1:I349"/>
  <sheetViews>
    <sheetView workbookViewId="0">
      <selection activeCell="H325" sqref="H325"/>
    </sheetView>
  </sheetViews>
  <sheetFormatPr defaultRowHeight="12.75"/>
  <sheetData>
    <row r="1" spans="1:9">
      <c r="A1" s="107" t="s">
        <v>103</v>
      </c>
      <c r="B1" s="107" t="s">
        <v>104</v>
      </c>
      <c r="C1" s="107" t="s">
        <v>105</v>
      </c>
      <c r="D1" s="107" t="s">
        <v>106</v>
      </c>
      <c r="E1" s="107" t="s">
        <v>107</v>
      </c>
      <c r="F1" s="125"/>
      <c r="G1" s="107" t="s">
        <v>103</v>
      </c>
      <c r="H1" s="107" t="s">
        <v>104</v>
      </c>
      <c r="I1" s="107" t="s">
        <v>113</v>
      </c>
    </row>
    <row r="2" spans="1:9" ht="15" hidden="1">
      <c r="A2" s="128" t="s">
        <v>114</v>
      </c>
      <c r="B2" s="128" t="s">
        <v>109</v>
      </c>
      <c r="C2" s="128">
        <v>-54.880099999999999</v>
      </c>
      <c r="D2" s="128" t="s">
        <v>110</v>
      </c>
      <c r="E2" s="128">
        <v>48.2791</v>
      </c>
      <c r="F2" s="126"/>
      <c r="G2" s="129" t="s">
        <v>114</v>
      </c>
      <c r="H2" s="129" t="s">
        <v>109</v>
      </c>
      <c r="I2" s="129">
        <v>52.942700000000002</v>
      </c>
    </row>
    <row r="3" spans="1:9" ht="15" hidden="1">
      <c r="A3" s="128" t="s">
        <v>114</v>
      </c>
      <c r="B3" s="128" t="s">
        <v>111</v>
      </c>
      <c r="C3" s="128">
        <v>-17.2742</v>
      </c>
      <c r="D3" s="128" t="s">
        <v>110</v>
      </c>
      <c r="E3" s="128">
        <v>31.314699999999998</v>
      </c>
      <c r="F3" s="126"/>
      <c r="G3" s="129" t="s">
        <v>114</v>
      </c>
      <c r="H3" s="129" t="s">
        <v>111</v>
      </c>
      <c r="I3" s="129">
        <v>31.976700000000001</v>
      </c>
    </row>
    <row r="4" spans="1:9" ht="15" hidden="1">
      <c r="A4" s="128" t="s">
        <v>114</v>
      </c>
      <c r="B4" s="128" t="s">
        <v>112</v>
      </c>
      <c r="C4" s="128">
        <v>0</v>
      </c>
      <c r="D4" s="128" t="s">
        <v>110</v>
      </c>
      <c r="E4" s="128">
        <v>3.7814000000000001</v>
      </c>
      <c r="F4" s="126"/>
      <c r="G4" s="129" t="s">
        <v>114</v>
      </c>
      <c r="H4" s="129" t="s">
        <v>112</v>
      </c>
      <c r="I4" s="129">
        <v>43.286499999999997</v>
      </c>
    </row>
    <row r="5" spans="1:9" ht="15" hidden="1">
      <c r="A5" s="128" t="s">
        <v>115</v>
      </c>
      <c r="B5" s="128" t="s">
        <v>109</v>
      </c>
      <c r="C5" s="128">
        <v>-51.517800000000001</v>
      </c>
      <c r="D5" s="128" t="s">
        <v>110</v>
      </c>
      <c r="E5" s="128">
        <v>66.285499999999999</v>
      </c>
      <c r="F5" s="127"/>
      <c r="G5" s="129" t="s">
        <v>115</v>
      </c>
      <c r="H5" s="129" t="s">
        <v>109</v>
      </c>
      <c r="I5" s="129">
        <v>55.665999999999997</v>
      </c>
    </row>
    <row r="6" spans="1:9" ht="15" hidden="1">
      <c r="A6" s="128" t="s">
        <v>115</v>
      </c>
      <c r="B6" s="128" t="s">
        <v>111</v>
      </c>
      <c r="C6" s="128">
        <v>-13.634600000000001</v>
      </c>
      <c r="D6" s="128" t="s">
        <v>110</v>
      </c>
      <c r="E6" s="128">
        <v>41.062100000000001</v>
      </c>
      <c r="F6" s="127"/>
      <c r="G6" s="129" t="s">
        <v>115</v>
      </c>
      <c r="H6" s="129" t="s">
        <v>111</v>
      </c>
      <c r="I6" s="129">
        <v>35.273800000000001</v>
      </c>
    </row>
    <row r="7" spans="1:9" ht="15" hidden="1">
      <c r="A7" s="128" t="s">
        <v>115</v>
      </c>
      <c r="B7" s="128" t="s">
        <v>112</v>
      </c>
      <c r="C7" s="128">
        <v>-0.8861</v>
      </c>
      <c r="D7" s="128" t="s">
        <v>110</v>
      </c>
      <c r="E7" s="128">
        <v>4.7306999999999997</v>
      </c>
      <c r="F7" s="127"/>
      <c r="G7" s="129" t="s">
        <v>115</v>
      </c>
      <c r="H7" s="129" t="s">
        <v>112</v>
      </c>
      <c r="I7" s="129">
        <v>56.612299999999998</v>
      </c>
    </row>
    <row r="8" spans="1:9" ht="15" hidden="1">
      <c r="A8" s="128" t="s">
        <v>116</v>
      </c>
      <c r="B8" s="128" t="s">
        <v>109</v>
      </c>
      <c r="C8" s="128">
        <v>-22.5352</v>
      </c>
      <c r="D8" s="128" t="s">
        <v>110</v>
      </c>
      <c r="E8" s="128">
        <v>113.34820000000001</v>
      </c>
      <c r="F8" s="127"/>
      <c r="G8" s="129" t="s">
        <v>116</v>
      </c>
      <c r="H8" s="129" t="s">
        <v>109</v>
      </c>
      <c r="I8" s="129">
        <v>62.371699999999997</v>
      </c>
    </row>
    <row r="9" spans="1:9" ht="15" hidden="1">
      <c r="A9" s="128" t="s">
        <v>116</v>
      </c>
      <c r="B9" s="128" t="s">
        <v>111</v>
      </c>
      <c r="C9" s="128">
        <v>-16.3506</v>
      </c>
      <c r="D9" s="128" t="s">
        <v>110</v>
      </c>
      <c r="E9" s="128">
        <v>74.706199999999995</v>
      </c>
      <c r="F9" s="127"/>
      <c r="G9" s="129" t="s">
        <v>116</v>
      </c>
      <c r="H9" s="129" t="s">
        <v>111</v>
      </c>
      <c r="I9" s="129">
        <v>94.982600000000005</v>
      </c>
    </row>
    <row r="10" spans="1:9" ht="15" hidden="1">
      <c r="A10" s="128" t="s">
        <v>116</v>
      </c>
      <c r="B10" s="128" t="s">
        <v>112</v>
      </c>
      <c r="C10" s="128">
        <v>-110.9909</v>
      </c>
      <c r="D10" s="128" t="s">
        <v>110</v>
      </c>
      <c r="E10" s="128">
        <v>54.271500000000003</v>
      </c>
      <c r="F10" s="127"/>
      <c r="G10" s="129" t="s">
        <v>116</v>
      </c>
      <c r="H10" s="129" t="s">
        <v>112</v>
      </c>
      <c r="I10" s="129">
        <v>114.6063</v>
      </c>
    </row>
    <row r="11" spans="1:9" ht="15" hidden="1">
      <c r="A11" s="128" t="s">
        <v>117</v>
      </c>
      <c r="B11" s="128" t="s">
        <v>109</v>
      </c>
      <c r="C11" s="128">
        <v>-134.9897</v>
      </c>
      <c r="D11" s="128" t="s">
        <v>110</v>
      </c>
      <c r="E11" s="128">
        <v>43.325499999999998</v>
      </c>
      <c r="F11" s="127"/>
      <c r="G11" s="129" t="s">
        <v>117</v>
      </c>
      <c r="H11" s="129" t="s">
        <v>109</v>
      </c>
      <c r="I11" s="129">
        <v>131.09229999999999</v>
      </c>
    </row>
    <row r="12" spans="1:9" ht="15" hidden="1">
      <c r="A12" s="128" t="s">
        <v>117</v>
      </c>
      <c r="B12" s="128" t="s">
        <v>111</v>
      </c>
      <c r="C12" s="128">
        <v>-24.688700000000001</v>
      </c>
      <c r="D12" s="128" t="s">
        <v>110</v>
      </c>
      <c r="E12" s="128">
        <v>81.380399999999995</v>
      </c>
      <c r="F12" s="127"/>
      <c r="G12" s="129" t="s">
        <v>117</v>
      </c>
      <c r="H12" s="129" t="s">
        <v>111</v>
      </c>
      <c r="I12" s="129">
        <v>71.656199999999998</v>
      </c>
    </row>
    <row r="13" spans="1:9" ht="15" hidden="1">
      <c r="A13" s="128" t="s">
        <v>117</v>
      </c>
      <c r="B13" s="128" t="s">
        <v>112</v>
      </c>
      <c r="C13" s="128">
        <v>-13.5939</v>
      </c>
      <c r="D13" s="128" t="s">
        <v>110</v>
      </c>
      <c r="E13" s="128">
        <v>133.86940000000001</v>
      </c>
      <c r="F13" s="127"/>
      <c r="G13" s="129" t="s">
        <v>117</v>
      </c>
      <c r="H13" s="129" t="s">
        <v>112</v>
      </c>
      <c r="I13" s="129">
        <v>55.682000000000002</v>
      </c>
    </row>
    <row r="14" spans="1:9" ht="15" hidden="1">
      <c r="A14" s="128" t="s">
        <v>118</v>
      </c>
      <c r="B14" s="128" t="s">
        <v>109</v>
      </c>
      <c r="C14" s="128">
        <v>-573.36969999999997</v>
      </c>
      <c r="D14" s="128" t="s">
        <v>110</v>
      </c>
      <c r="E14" s="128">
        <v>553.27229999999997</v>
      </c>
      <c r="F14" s="127"/>
      <c r="G14" s="129" t="s">
        <v>118</v>
      </c>
      <c r="H14" s="129" t="s">
        <v>109</v>
      </c>
      <c r="I14" s="129">
        <v>272.79950000000002</v>
      </c>
    </row>
    <row r="15" spans="1:9" ht="15" hidden="1">
      <c r="A15" s="128" t="s">
        <v>118</v>
      </c>
      <c r="B15" s="128" t="s">
        <v>111</v>
      </c>
      <c r="C15" s="128">
        <v>-298.7577</v>
      </c>
      <c r="D15" s="128" t="s">
        <v>110</v>
      </c>
      <c r="E15" s="128">
        <v>308.47039999999998</v>
      </c>
      <c r="F15" s="127"/>
      <c r="G15" s="129" t="s">
        <v>118</v>
      </c>
      <c r="H15" s="129" t="s">
        <v>111</v>
      </c>
      <c r="I15" s="129">
        <v>255.66040000000001</v>
      </c>
    </row>
    <row r="16" spans="1:9" ht="15" hidden="1">
      <c r="A16" s="128" t="s">
        <v>118</v>
      </c>
      <c r="B16" s="128" t="s">
        <v>112</v>
      </c>
      <c r="C16" s="128">
        <v>-637.33929999999998</v>
      </c>
      <c r="D16" s="128" t="s">
        <v>110</v>
      </c>
      <c r="E16" s="128">
        <v>489.90350000000001</v>
      </c>
      <c r="F16" s="127"/>
      <c r="G16" s="129" t="s">
        <v>118</v>
      </c>
      <c r="H16" s="129" t="s">
        <v>112</v>
      </c>
      <c r="I16" s="129">
        <v>297.90129999999999</v>
      </c>
    </row>
    <row r="17" spans="1:9" ht="15" hidden="1">
      <c r="A17" s="128" t="s">
        <v>119</v>
      </c>
      <c r="B17" s="128" t="s">
        <v>109</v>
      </c>
      <c r="C17" s="128">
        <v>-378.19400000000002</v>
      </c>
      <c r="D17" s="128" t="s">
        <v>110</v>
      </c>
      <c r="E17" s="128">
        <v>303.93549999999999</v>
      </c>
      <c r="F17" s="127"/>
      <c r="G17" s="129" t="s">
        <v>119</v>
      </c>
      <c r="H17" s="129" t="s">
        <v>109</v>
      </c>
      <c r="I17" s="129">
        <v>173.7955</v>
      </c>
    </row>
    <row r="18" spans="1:9" ht="15" hidden="1">
      <c r="A18" s="128" t="s">
        <v>119</v>
      </c>
      <c r="B18" s="128" t="s">
        <v>111</v>
      </c>
      <c r="C18" s="128">
        <v>-179.5788</v>
      </c>
      <c r="D18" s="128" t="s">
        <v>110</v>
      </c>
      <c r="E18" s="128">
        <v>190.208</v>
      </c>
      <c r="F18" s="127"/>
      <c r="G18" s="129" t="s">
        <v>119</v>
      </c>
      <c r="H18" s="129" t="s">
        <v>111</v>
      </c>
      <c r="I18" s="129">
        <v>155.78630000000001</v>
      </c>
    </row>
    <row r="19" spans="1:9" ht="15" hidden="1">
      <c r="A19" s="128" t="s">
        <v>119</v>
      </c>
      <c r="B19" s="128" t="s">
        <v>112</v>
      </c>
      <c r="C19" s="128">
        <v>-394.66239999999999</v>
      </c>
      <c r="D19" s="128" t="s">
        <v>110</v>
      </c>
      <c r="E19" s="128">
        <v>278.59840000000003</v>
      </c>
      <c r="F19" s="127"/>
      <c r="G19" s="129" t="s">
        <v>119</v>
      </c>
      <c r="H19" s="129" t="s">
        <v>112</v>
      </c>
      <c r="I19" s="129">
        <v>177.3142</v>
      </c>
    </row>
    <row r="20" spans="1:9" ht="15" hidden="1">
      <c r="A20" s="128" t="s">
        <v>120</v>
      </c>
      <c r="B20" s="128" t="s">
        <v>109</v>
      </c>
      <c r="C20" s="128">
        <v>-62.3919</v>
      </c>
      <c r="D20" s="128" t="s">
        <v>110</v>
      </c>
      <c r="E20" s="128">
        <v>110.7062</v>
      </c>
      <c r="F20" s="127"/>
      <c r="G20" s="129" t="s">
        <v>120</v>
      </c>
      <c r="H20" s="129" t="s">
        <v>109</v>
      </c>
      <c r="I20" s="129">
        <v>50.493200000000002</v>
      </c>
    </row>
    <row r="21" spans="1:9" ht="15" hidden="1">
      <c r="A21" s="128" t="s">
        <v>120</v>
      </c>
      <c r="B21" s="128" t="s">
        <v>111</v>
      </c>
      <c r="C21" s="128">
        <v>-115.12739999999999</v>
      </c>
      <c r="D21" s="128" t="s">
        <v>110</v>
      </c>
      <c r="E21" s="128">
        <v>132.6557</v>
      </c>
      <c r="F21" s="127"/>
      <c r="G21" s="129" t="s">
        <v>120</v>
      </c>
      <c r="H21" s="129" t="s">
        <v>111</v>
      </c>
      <c r="I21" s="129">
        <v>175.9871</v>
      </c>
    </row>
    <row r="22" spans="1:9" ht="15" hidden="1">
      <c r="A22" s="128" t="s">
        <v>120</v>
      </c>
      <c r="B22" s="128" t="s">
        <v>112</v>
      </c>
      <c r="C22" s="128">
        <v>-565.72289999999998</v>
      </c>
      <c r="D22" s="128" t="s">
        <v>110</v>
      </c>
      <c r="E22" s="128">
        <v>0</v>
      </c>
      <c r="F22" s="127"/>
      <c r="G22" s="129" t="s">
        <v>120</v>
      </c>
      <c r="H22" s="129" t="s">
        <v>112</v>
      </c>
      <c r="I22" s="129">
        <v>191.2723</v>
      </c>
    </row>
    <row r="23" spans="1:9" ht="15" hidden="1">
      <c r="A23" s="128" t="s">
        <v>121</v>
      </c>
      <c r="B23" s="128" t="s">
        <v>109</v>
      </c>
      <c r="C23" s="128">
        <v>-548.87779999999998</v>
      </c>
      <c r="D23" s="128" t="s">
        <v>110</v>
      </c>
      <c r="E23" s="128">
        <v>0</v>
      </c>
      <c r="F23" s="127"/>
      <c r="G23" s="129" t="s">
        <v>121</v>
      </c>
      <c r="H23" s="129" t="s">
        <v>109</v>
      </c>
      <c r="I23" s="129">
        <v>200.37090000000001</v>
      </c>
    </row>
    <row r="24" spans="1:9" ht="15" hidden="1">
      <c r="A24" s="128" t="s">
        <v>121</v>
      </c>
      <c r="B24" s="128" t="s">
        <v>111</v>
      </c>
      <c r="C24" s="128">
        <v>-87.463499999999996</v>
      </c>
      <c r="D24" s="128" t="s">
        <v>110</v>
      </c>
      <c r="E24" s="128">
        <v>120.4391</v>
      </c>
      <c r="F24" s="127"/>
      <c r="G24" s="129" t="s">
        <v>121</v>
      </c>
      <c r="H24" s="129" t="s">
        <v>111</v>
      </c>
      <c r="I24" s="129">
        <v>28.154599999999999</v>
      </c>
    </row>
    <row r="25" spans="1:9" ht="15" hidden="1">
      <c r="A25" s="128" t="s">
        <v>121</v>
      </c>
      <c r="B25" s="128" t="s">
        <v>112</v>
      </c>
      <c r="C25" s="128">
        <v>-70.075599999999994</v>
      </c>
      <c r="D25" s="128" t="s">
        <v>110</v>
      </c>
      <c r="E25" s="128">
        <v>106.84520000000001</v>
      </c>
      <c r="F25" s="127"/>
      <c r="G25" s="129" t="s">
        <v>121</v>
      </c>
      <c r="H25" s="129" t="s">
        <v>112</v>
      </c>
      <c r="I25" s="129">
        <v>84.872900000000001</v>
      </c>
    </row>
    <row r="26" spans="1:9" ht="15" hidden="1">
      <c r="A26" s="128" t="s">
        <v>122</v>
      </c>
      <c r="B26" s="128" t="s">
        <v>109</v>
      </c>
      <c r="C26" s="128">
        <v>-233.38829999999999</v>
      </c>
      <c r="D26" s="128" t="s">
        <v>110</v>
      </c>
      <c r="E26" s="128">
        <v>36.374699999999997</v>
      </c>
      <c r="F26" s="127"/>
      <c r="G26" s="129" t="s">
        <v>122</v>
      </c>
      <c r="H26" s="129" t="s">
        <v>109</v>
      </c>
      <c r="I26" s="129">
        <v>117.1112</v>
      </c>
    </row>
    <row r="27" spans="1:9" ht="15" hidden="1">
      <c r="A27" s="128" t="s">
        <v>122</v>
      </c>
      <c r="B27" s="128" t="s">
        <v>111</v>
      </c>
      <c r="C27" s="128">
        <v>0</v>
      </c>
      <c r="D27" s="128" t="s">
        <v>110</v>
      </c>
      <c r="E27" s="128">
        <v>93.545299999999997</v>
      </c>
      <c r="F27" s="127"/>
      <c r="G27" s="129" t="s">
        <v>122</v>
      </c>
      <c r="H27" s="129" t="s">
        <v>111</v>
      </c>
      <c r="I27" s="129">
        <v>44.630099999999999</v>
      </c>
    </row>
    <row r="28" spans="1:9" ht="15" hidden="1">
      <c r="A28" s="128" t="s">
        <v>122</v>
      </c>
      <c r="B28" s="128" t="s">
        <v>112</v>
      </c>
      <c r="C28" s="128">
        <v>-17.7485</v>
      </c>
      <c r="D28" s="128" t="s">
        <v>110</v>
      </c>
      <c r="E28" s="128">
        <v>109.57429999999999</v>
      </c>
      <c r="F28" s="127"/>
      <c r="G28" s="129" t="s">
        <v>122</v>
      </c>
      <c r="H28" s="129" t="s">
        <v>112</v>
      </c>
      <c r="I28" s="129">
        <v>63.685400000000001</v>
      </c>
    </row>
    <row r="29" spans="1:9" ht="15" hidden="1">
      <c r="A29" s="128" t="s">
        <v>123</v>
      </c>
      <c r="B29" s="128" t="s">
        <v>109</v>
      </c>
      <c r="C29" s="128">
        <v>-20.195</v>
      </c>
      <c r="D29" s="128" t="s">
        <v>110</v>
      </c>
      <c r="E29" s="128">
        <v>110.68819999999999</v>
      </c>
      <c r="F29" s="127"/>
      <c r="G29" s="129" t="s">
        <v>123</v>
      </c>
      <c r="H29" s="129" t="s">
        <v>109</v>
      </c>
      <c r="I29" s="129">
        <v>66.970100000000002</v>
      </c>
    </row>
    <row r="30" spans="1:9" ht="15" hidden="1">
      <c r="A30" s="128" t="s">
        <v>123</v>
      </c>
      <c r="B30" s="128" t="s">
        <v>111</v>
      </c>
      <c r="C30" s="128">
        <v>0</v>
      </c>
      <c r="D30" s="128" t="s">
        <v>110</v>
      </c>
      <c r="E30" s="128">
        <v>95.365099999999998</v>
      </c>
      <c r="F30" s="127"/>
      <c r="G30" s="129" t="s">
        <v>123</v>
      </c>
      <c r="H30" s="129" t="s">
        <v>111</v>
      </c>
      <c r="I30" s="129">
        <v>92.31</v>
      </c>
    </row>
    <row r="31" spans="1:9" ht="15" hidden="1">
      <c r="A31" s="128" t="s">
        <v>123</v>
      </c>
      <c r="B31" s="128" t="s">
        <v>112</v>
      </c>
      <c r="C31" s="128">
        <v>-228.4333</v>
      </c>
      <c r="D31" s="128" t="s">
        <v>110</v>
      </c>
      <c r="E31" s="128">
        <v>5.4329000000000001</v>
      </c>
      <c r="F31" s="127"/>
      <c r="G31" s="129" t="s">
        <v>123</v>
      </c>
      <c r="H31" s="129" t="s">
        <v>112</v>
      </c>
      <c r="I31" s="129">
        <v>147.4888</v>
      </c>
    </row>
    <row r="32" spans="1:9" ht="15" hidden="1">
      <c r="A32" s="128" t="s">
        <v>124</v>
      </c>
      <c r="B32" s="128" t="s">
        <v>109</v>
      </c>
      <c r="C32" s="128">
        <v>-395.9443</v>
      </c>
      <c r="D32" s="128" t="s">
        <v>110</v>
      </c>
      <c r="E32" s="128">
        <v>378.09449999999998</v>
      </c>
      <c r="F32" s="127"/>
      <c r="G32" s="129" t="s">
        <v>124</v>
      </c>
      <c r="H32" s="129" t="s">
        <v>109</v>
      </c>
      <c r="I32" s="129">
        <v>577.99570000000006</v>
      </c>
    </row>
    <row r="33" spans="1:9" ht="15" hidden="1">
      <c r="A33" s="128" t="s">
        <v>124</v>
      </c>
      <c r="B33" s="128" t="s">
        <v>111</v>
      </c>
      <c r="C33" s="128">
        <v>-183.9254</v>
      </c>
      <c r="D33" s="128" t="s">
        <v>110</v>
      </c>
      <c r="E33" s="128">
        <v>165.59219999999999</v>
      </c>
      <c r="F33" s="127"/>
      <c r="G33" s="129" t="s">
        <v>124</v>
      </c>
      <c r="H33" s="129" t="s">
        <v>111</v>
      </c>
      <c r="I33" s="129">
        <v>386.69189999999998</v>
      </c>
    </row>
    <row r="34" spans="1:9" ht="15" hidden="1">
      <c r="A34" s="128" t="s">
        <v>124</v>
      </c>
      <c r="B34" s="128" t="s">
        <v>112</v>
      </c>
      <c r="C34" s="128">
        <v>-303.17610000000002</v>
      </c>
      <c r="D34" s="128" t="s">
        <v>110</v>
      </c>
      <c r="E34" s="128">
        <v>277.3109</v>
      </c>
      <c r="F34" s="127"/>
      <c r="G34" s="129" t="s">
        <v>124</v>
      </c>
      <c r="H34" s="129" t="s">
        <v>112</v>
      </c>
      <c r="I34" s="129">
        <v>389.33409999999998</v>
      </c>
    </row>
    <row r="35" spans="1:9" ht="15" hidden="1">
      <c r="A35" s="128" t="s">
        <v>125</v>
      </c>
      <c r="B35" s="128" t="s">
        <v>109</v>
      </c>
      <c r="C35" s="128">
        <v>-306.29820000000001</v>
      </c>
      <c r="D35" s="128" t="s">
        <v>110</v>
      </c>
      <c r="E35" s="128">
        <v>276.8766</v>
      </c>
      <c r="F35" s="127"/>
      <c r="G35" s="129" t="s">
        <v>125</v>
      </c>
      <c r="H35" s="129" t="s">
        <v>109</v>
      </c>
      <c r="I35" s="129">
        <v>537.10019999999997</v>
      </c>
    </row>
    <row r="36" spans="1:9" ht="15" hidden="1">
      <c r="A36" s="128" t="s">
        <v>125</v>
      </c>
      <c r="B36" s="128" t="s">
        <v>111</v>
      </c>
      <c r="C36" s="128">
        <v>-8.2688000000000006</v>
      </c>
      <c r="D36" s="128" t="s">
        <v>110</v>
      </c>
      <c r="E36" s="128">
        <v>7.3818000000000001</v>
      </c>
      <c r="F36" s="127"/>
      <c r="G36" s="129" t="s">
        <v>125</v>
      </c>
      <c r="H36" s="129" t="s">
        <v>111</v>
      </c>
      <c r="I36" s="129">
        <v>533.96400000000006</v>
      </c>
    </row>
    <row r="37" spans="1:9" ht="15" hidden="1">
      <c r="A37" s="128" t="s">
        <v>125</v>
      </c>
      <c r="B37" s="128" t="s">
        <v>112</v>
      </c>
      <c r="C37" s="128">
        <v>-308.44839999999999</v>
      </c>
      <c r="D37" s="128" t="s">
        <v>110</v>
      </c>
      <c r="E37" s="128">
        <v>323.82330000000002</v>
      </c>
      <c r="F37" s="127"/>
      <c r="G37" s="129" t="s">
        <v>125</v>
      </c>
      <c r="H37" s="129" t="s">
        <v>112</v>
      </c>
      <c r="I37" s="129">
        <v>528.80859999999996</v>
      </c>
    </row>
    <row r="38" spans="1:9" ht="15" hidden="1">
      <c r="A38" s="128" t="s">
        <v>126</v>
      </c>
      <c r="B38" s="128" t="s">
        <v>109</v>
      </c>
      <c r="C38" s="128">
        <v>-322.5761</v>
      </c>
      <c r="D38" s="128" t="s">
        <v>110</v>
      </c>
      <c r="E38" s="128">
        <v>278.43439999999998</v>
      </c>
      <c r="F38" s="127"/>
      <c r="G38" s="129" t="s">
        <v>126</v>
      </c>
      <c r="H38" s="129" t="s">
        <v>109</v>
      </c>
      <c r="I38" s="129">
        <v>543.29989999999998</v>
      </c>
    </row>
    <row r="39" spans="1:9" ht="15" hidden="1">
      <c r="A39" s="128" t="s">
        <v>126</v>
      </c>
      <c r="B39" s="128" t="s">
        <v>111</v>
      </c>
      <c r="C39" s="128">
        <v>-5.3033999999999999</v>
      </c>
      <c r="D39" s="128" t="s">
        <v>110</v>
      </c>
      <c r="E39" s="128">
        <v>6.3902999999999999</v>
      </c>
      <c r="F39" s="127"/>
      <c r="G39" s="129" t="s">
        <v>126</v>
      </c>
      <c r="H39" s="129" t="s">
        <v>111</v>
      </c>
      <c r="I39" s="129">
        <v>538.14449999999999</v>
      </c>
    </row>
    <row r="40" spans="1:9" ht="15" hidden="1">
      <c r="A40" s="128" t="s">
        <v>126</v>
      </c>
      <c r="B40" s="128" t="s">
        <v>112</v>
      </c>
      <c r="C40" s="128">
        <v>-269.6499</v>
      </c>
      <c r="D40" s="128" t="s">
        <v>110</v>
      </c>
      <c r="E40" s="128">
        <v>302.42070000000001</v>
      </c>
      <c r="F40" s="127"/>
      <c r="G40" s="129" t="s">
        <v>126</v>
      </c>
      <c r="H40" s="129" t="s">
        <v>112</v>
      </c>
      <c r="I40" s="129">
        <v>195.0043</v>
      </c>
    </row>
    <row r="41" spans="1:9" ht="15" hidden="1">
      <c r="A41" s="128" t="s">
        <v>127</v>
      </c>
      <c r="B41" s="128" t="s">
        <v>109</v>
      </c>
      <c r="C41" s="128">
        <v>-281.86939999999998</v>
      </c>
      <c r="D41" s="128" t="s">
        <v>110</v>
      </c>
      <c r="E41" s="128">
        <v>247.69210000000001</v>
      </c>
      <c r="F41" s="127"/>
      <c r="G41" s="129" t="s">
        <v>127</v>
      </c>
      <c r="H41" s="129" t="s">
        <v>109</v>
      </c>
      <c r="I41" s="129">
        <v>543.45230000000004</v>
      </c>
    </row>
    <row r="42" spans="1:9" ht="15" hidden="1">
      <c r="A42" s="128" t="s">
        <v>127</v>
      </c>
      <c r="B42" s="128" t="s">
        <v>111</v>
      </c>
      <c r="C42" s="128">
        <v>-28.585000000000001</v>
      </c>
      <c r="D42" s="128" t="s">
        <v>110</v>
      </c>
      <c r="E42" s="128">
        <v>35.740699999999997</v>
      </c>
      <c r="F42" s="127"/>
      <c r="G42" s="129" t="s">
        <v>127</v>
      </c>
      <c r="H42" s="129" t="s">
        <v>111</v>
      </c>
      <c r="I42" s="129">
        <v>540.55240000000003</v>
      </c>
    </row>
    <row r="43" spans="1:9" ht="15" hidden="1">
      <c r="A43" s="128" t="s">
        <v>127</v>
      </c>
      <c r="B43" s="128" t="s">
        <v>112</v>
      </c>
      <c r="C43" s="128">
        <v>-320.8877</v>
      </c>
      <c r="D43" s="128" t="s">
        <v>110</v>
      </c>
      <c r="E43" s="128">
        <v>358.11829999999998</v>
      </c>
      <c r="F43" s="127"/>
      <c r="G43" s="129" t="s">
        <v>127</v>
      </c>
      <c r="H43" s="129" t="s">
        <v>112</v>
      </c>
      <c r="I43" s="129">
        <v>535.39700000000005</v>
      </c>
    </row>
    <row r="44" spans="1:9" ht="15" hidden="1">
      <c r="A44" s="128" t="s">
        <v>128</v>
      </c>
      <c r="B44" s="128" t="s">
        <v>109</v>
      </c>
      <c r="C44" s="128">
        <v>-95.118399999999994</v>
      </c>
      <c r="D44" s="128" t="s">
        <v>110</v>
      </c>
      <c r="E44" s="128">
        <v>37.3675</v>
      </c>
      <c r="F44" s="127"/>
      <c r="G44" s="129" t="s">
        <v>128</v>
      </c>
      <c r="H44" s="129" t="s">
        <v>109</v>
      </c>
      <c r="I44" s="129">
        <v>73.112099999999998</v>
      </c>
    </row>
    <row r="45" spans="1:9" ht="15" hidden="1">
      <c r="A45" s="128" t="s">
        <v>128</v>
      </c>
      <c r="B45" s="128" t="s">
        <v>111</v>
      </c>
      <c r="C45" s="128">
        <v>0</v>
      </c>
      <c r="D45" s="128" t="s">
        <v>110</v>
      </c>
      <c r="E45" s="128">
        <v>126.667</v>
      </c>
      <c r="F45" s="127"/>
      <c r="G45" s="129" t="s">
        <v>128</v>
      </c>
      <c r="H45" s="129" t="s">
        <v>111</v>
      </c>
      <c r="I45" s="129">
        <v>85.049700000000001</v>
      </c>
    </row>
    <row r="46" spans="1:9" ht="15" hidden="1">
      <c r="A46" s="128" t="s">
        <v>128</v>
      </c>
      <c r="B46" s="128" t="s">
        <v>112</v>
      </c>
      <c r="C46" s="128">
        <v>-247.5444</v>
      </c>
      <c r="D46" s="128" t="s">
        <v>110</v>
      </c>
      <c r="E46" s="128">
        <v>0</v>
      </c>
      <c r="F46" s="127"/>
      <c r="G46" s="129" t="s">
        <v>128</v>
      </c>
      <c r="H46" s="129" t="s">
        <v>112</v>
      </c>
      <c r="I46" s="129">
        <v>134.35130000000001</v>
      </c>
    </row>
    <row r="47" spans="1:9" ht="15" hidden="1">
      <c r="A47" s="128" t="s">
        <v>129</v>
      </c>
      <c r="B47" s="128" t="s">
        <v>109</v>
      </c>
      <c r="C47" s="128">
        <v>-545.17949999999996</v>
      </c>
      <c r="D47" s="128" t="s">
        <v>110</v>
      </c>
      <c r="E47" s="128">
        <v>521.61580000000004</v>
      </c>
      <c r="F47" s="127"/>
      <c r="G47" s="129" t="s">
        <v>129</v>
      </c>
      <c r="H47" s="129" t="s">
        <v>109</v>
      </c>
      <c r="I47" s="129">
        <v>767.46420000000001</v>
      </c>
    </row>
    <row r="48" spans="1:9" ht="15" hidden="1">
      <c r="A48" s="128" t="s">
        <v>129</v>
      </c>
      <c r="B48" s="128" t="s">
        <v>111</v>
      </c>
      <c r="C48" s="128">
        <v>-156.87710000000001</v>
      </c>
      <c r="D48" s="128" t="s">
        <v>110</v>
      </c>
      <c r="E48" s="128">
        <v>154.99039999999999</v>
      </c>
      <c r="F48" s="127"/>
      <c r="G48" s="129" t="s">
        <v>129</v>
      </c>
      <c r="H48" s="129" t="s">
        <v>111</v>
      </c>
      <c r="I48" s="129">
        <v>840.12639999999999</v>
      </c>
    </row>
    <row r="49" spans="1:9" ht="15" hidden="1">
      <c r="A49" s="128" t="s">
        <v>129</v>
      </c>
      <c r="B49" s="128" t="s">
        <v>112</v>
      </c>
      <c r="C49" s="128">
        <v>-575.9452</v>
      </c>
      <c r="D49" s="128" t="s">
        <v>110</v>
      </c>
      <c r="E49" s="128">
        <v>579.077</v>
      </c>
      <c r="F49" s="127"/>
      <c r="G49" s="129" t="s">
        <v>129</v>
      </c>
      <c r="H49" s="129" t="s">
        <v>112</v>
      </c>
      <c r="I49" s="129">
        <v>838.16520000000003</v>
      </c>
    </row>
    <row r="50" spans="1:9" ht="15" hidden="1">
      <c r="A50" s="128" t="s">
        <v>130</v>
      </c>
      <c r="B50" s="128" t="s">
        <v>109</v>
      </c>
      <c r="C50" s="128">
        <v>-312.2901</v>
      </c>
      <c r="D50" s="128" t="s">
        <v>110</v>
      </c>
      <c r="E50" s="128">
        <v>275.98680000000002</v>
      </c>
      <c r="F50" s="127"/>
      <c r="G50" s="129" t="s">
        <v>130</v>
      </c>
      <c r="H50" s="129" t="s">
        <v>109</v>
      </c>
      <c r="I50" s="129">
        <v>559.63210000000004</v>
      </c>
    </row>
    <row r="51" spans="1:9" ht="15" hidden="1">
      <c r="A51" s="128" t="s">
        <v>130</v>
      </c>
      <c r="B51" s="128" t="s">
        <v>111</v>
      </c>
      <c r="C51" s="128">
        <v>-162.74799999999999</v>
      </c>
      <c r="D51" s="128" t="s">
        <v>110</v>
      </c>
      <c r="E51" s="128">
        <v>179.79390000000001</v>
      </c>
      <c r="F51" s="127"/>
      <c r="G51" s="129" t="s">
        <v>130</v>
      </c>
      <c r="H51" s="129" t="s">
        <v>111</v>
      </c>
      <c r="I51" s="129">
        <v>420.46199999999999</v>
      </c>
    </row>
    <row r="52" spans="1:9" ht="15" hidden="1">
      <c r="A52" s="128" t="s">
        <v>130</v>
      </c>
      <c r="B52" s="128" t="s">
        <v>112</v>
      </c>
      <c r="C52" s="128">
        <v>-328.25830000000002</v>
      </c>
      <c r="D52" s="128" t="s">
        <v>110</v>
      </c>
      <c r="E52" s="128">
        <v>348.1454</v>
      </c>
      <c r="F52" s="127"/>
      <c r="G52" s="129" t="s">
        <v>130</v>
      </c>
      <c r="H52" s="129" t="s">
        <v>112</v>
      </c>
      <c r="I52" s="129">
        <v>417.00360000000001</v>
      </c>
    </row>
    <row r="53" spans="1:9" ht="15" hidden="1">
      <c r="A53" s="128" t="s">
        <v>131</v>
      </c>
      <c r="B53" s="128" t="s">
        <v>109</v>
      </c>
      <c r="C53" s="128">
        <v>-396.15280000000001</v>
      </c>
      <c r="D53" s="128" t="s">
        <v>110</v>
      </c>
      <c r="E53" s="128">
        <v>397.70569999999998</v>
      </c>
      <c r="F53" s="127"/>
      <c r="G53" s="129" t="s">
        <v>131</v>
      </c>
      <c r="H53" s="129" t="s">
        <v>109</v>
      </c>
      <c r="I53" s="129">
        <v>598.81579999999997</v>
      </c>
    </row>
    <row r="54" spans="1:9" ht="15" hidden="1">
      <c r="A54" s="128" t="s">
        <v>131</v>
      </c>
      <c r="B54" s="128" t="s">
        <v>111</v>
      </c>
      <c r="C54" s="128">
        <v>-48.561799999999998</v>
      </c>
      <c r="D54" s="128" t="s">
        <v>110</v>
      </c>
      <c r="E54" s="128">
        <v>37.053600000000003</v>
      </c>
      <c r="F54" s="127"/>
      <c r="G54" s="129" t="s">
        <v>131</v>
      </c>
      <c r="H54" s="129" t="s">
        <v>111</v>
      </c>
      <c r="I54" s="129">
        <v>603.97119999999995</v>
      </c>
    </row>
    <row r="55" spans="1:9" ht="15" hidden="1">
      <c r="A55" s="128" t="s">
        <v>131</v>
      </c>
      <c r="B55" s="128" t="s">
        <v>112</v>
      </c>
      <c r="C55" s="128">
        <v>-327.11020000000002</v>
      </c>
      <c r="D55" s="128" t="s">
        <v>110</v>
      </c>
      <c r="E55" s="128">
        <v>296.3544</v>
      </c>
      <c r="F55" s="127"/>
      <c r="G55" s="129" t="s">
        <v>131</v>
      </c>
      <c r="H55" s="129" t="s">
        <v>112</v>
      </c>
      <c r="I55" s="129">
        <v>609.12660000000005</v>
      </c>
    </row>
    <row r="56" spans="1:9" ht="15" hidden="1">
      <c r="A56" s="128" t="s">
        <v>132</v>
      </c>
      <c r="B56" s="128" t="s">
        <v>109</v>
      </c>
      <c r="C56" s="128">
        <v>-69.696299999999994</v>
      </c>
      <c r="D56" s="128" t="s">
        <v>110</v>
      </c>
      <c r="E56" s="128">
        <v>7.7556000000000003</v>
      </c>
      <c r="F56" s="127"/>
      <c r="G56" s="129" t="s">
        <v>132</v>
      </c>
      <c r="H56" s="129" t="s">
        <v>109</v>
      </c>
      <c r="I56" s="129">
        <v>73.834699999999998</v>
      </c>
    </row>
    <row r="57" spans="1:9" ht="15" hidden="1">
      <c r="A57" s="128" t="s">
        <v>132</v>
      </c>
      <c r="B57" s="128" t="s">
        <v>111</v>
      </c>
      <c r="C57" s="128">
        <v>-2.5474999999999999</v>
      </c>
      <c r="D57" s="128" t="s">
        <v>110</v>
      </c>
      <c r="E57" s="128">
        <v>68.756799999999998</v>
      </c>
      <c r="F57" s="127"/>
      <c r="G57" s="129" t="s">
        <v>132</v>
      </c>
      <c r="H57" s="129" t="s">
        <v>111</v>
      </c>
      <c r="I57" s="129">
        <v>233.36920000000001</v>
      </c>
    </row>
    <row r="58" spans="1:9" ht="15" hidden="1">
      <c r="A58" s="128" t="s">
        <v>132</v>
      </c>
      <c r="B58" s="128" t="s">
        <v>112</v>
      </c>
      <c r="C58" s="128">
        <v>-118.913</v>
      </c>
      <c r="D58" s="128" t="s">
        <v>110</v>
      </c>
      <c r="E58" s="128">
        <v>1.5169999999999999</v>
      </c>
      <c r="F58" s="127"/>
      <c r="G58" s="129" t="s">
        <v>132</v>
      </c>
      <c r="H58" s="129" t="s">
        <v>112</v>
      </c>
      <c r="I58" s="129">
        <v>247.8355</v>
      </c>
    </row>
    <row r="59" spans="1:9" ht="15" hidden="1">
      <c r="A59" s="128" t="s">
        <v>133</v>
      </c>
      <c r="B59" s="128" t="s">
        <v>109</v>
      </c>
      <c r="C59" s="128">
        <v>0</v>
      </c>
      <c r="D59" s="128" t="s">
        <v>110</v>
      </c>
      <c r="E59" s="128">
        <v>137.71080000000001</v>
      </c>
      <c r="F59" s="127"/>
      <c r="G59" s="129" t="s">
        <v>133</v>
      </c>
      <c r="H59" s="129" t="s">
        <v>109</v>
      </c>
      <c r="I59" s="129">
        <v>41.696800000000003</v>
      </c>
    </row>
    <row r="60" spans="1:9" ht="15" hidden="1">
      <c r="A60" s="128" t="s">
        <v>133</v>
      </c>
      <c r="B60" s="128" t="s">
        <v>111</v>
      </c>
      <c r="C60" s="128">
        <v>-221.64789999999999</v>
      </c>
      <c r="D60" s="128" t="s">
        <v>110</v>
      </c>
      <c r="E60" s="128">
        <v>71.056899999999999</v>
      </c>
      <c r="F60" s="127"/>
      <c r="G60" s="129" t="s">
        <v>133</v>
      </c>
      <c r="H60" s="129" t="s">
        <v>111</v>
      </c>
      <c r="I60" s="129">
        <v>149.16290000000001</v>
      </c>
    </row>
    <row r="61" spans="1:9" ht="15" hidden="1">
      <c r="A61" s="128" t="s">
        <v>133</v>
      </c>
      <c r="B61" s="128" t="s">
        <v>112</v>
      </c>
      <c r="C61" s="128">
        <v>-426.3741</v>
      </c>
      <c r="D61" s="128" t="s">
        <v>110</v>
      </c>
      <c r="E61" s="128">
        <v>0</v>
      </c>
      <c r="F61" s="127"/>
      <c r="G61" s="129" t="s">
        <v>133</v>
      </c>
      <c r="H61" s="129" t="s">
        <v>112</v>
      </c>
      <c r="I61" s="129">
        <v>177.0941</v>
      </c>
    </row>
    <row r="62" spans="1:9" ht="15" hidden="1">
      <c r="A62" s="128" t="s">
        <v>134</v>
      </c>
      <c r="B62" s="128" t="s">
        <v>109</v>
      </c>
      <c r="C62" s="128">
        <v>-160.7929</v>
      </c>
      <c r="D62" s="128" t="s">
        <v>110</v>
      </c>
      <c r="E62" s="128">
        <v>0</v>
      </c>
      <c r="F62" s="127"/>
      <c r="G62" s="129" t="s">
        <v>134</v>
      </c>
      <c r="H62" s="129" t="s">
        <v>109</v>
      </c>
      <c r="I62" s="129">
        <v>151.78270000000001</v>
      </c>
    </row>
    <row r="63" spans="1:9" ht="15" hidden="1">
      <c r="A63" s="128" t="s">
        <v>134</v>
      </c>
      <c r="B63" s="128" t="s">
        <v>111</v>
      </c>
      <c r="C63" s="128">
        <v>0</v>
      </c>
      <c r="D63" s="128" t="s">
        <v>110</v>
      </c>
      <c r="E63" s="128">
        <v>24.511800000000001</v>
      </c>
      <c r="F63" s="127"/>
      <c r="G63" s="129" t="s">
        <v>134</v>
      </c>
      <c r="H63" s="129" t="s">
        <v>111</v>
      </c>
      <c r="I63" s="129">
        <v>143.92080000000001</v>
      </c>
    </row>
    <row r="64" spans="1:9" ht="15" hidden="1">
      <c r="A64" s="128" t="s">
        <v>134</v>
      </c>
      <c r="B64" s="128" t="s">
        <v>112</v>
      </c>
      <c r="C64" s="128">
        <v>0</v>
      </c>
      <c r="D64" s="128" t="s">
        <v>110</v>
      </c>
      <c r="E64" s="128">
        <v>113.84059999999999</v>
      </c>
      <c r="F64" s="127"/>
      <c r="G64" s="129" t="s">
        <v>134</v>
      </c>
      <c r="H64" s="129" t="s">
        <v>112</v>
      </c>
      <c r="I64" s="129">
        <v>136.05879999999999</v>
      </c>
    </row>
    <row r="65" spans="1:9" ht="15" hidden="1">
      <c r="A65" s="128" t="s">
        <v>135</v>
      </c>
      <c r="B65" s="128" t="s">
        <v>109</v>
      </c>
      <c r="C65" s="128">
        <v>-427.0093</v>
      </c>
      <c r="D65" s="128" t="s">
        <v>110</v>
      </c>
      <c r="E65" s="128">
        <v>485.59059999999999</v>
      </c>
      <c r="F65" s="127"/>
      <c r="G65" s="129" t="s">
        <v>135</v>
      </c>
      <c r="H65" s="129" t="s">
        <v>109</v>
      </c>
      <c r="I65" s="129">
        <v>812.35479999999995</v>
      </c>
    </row>
    <row r="66" spans="1:9" ht="15" hidden="1">
      <c r="A66" s="128" t="s">
        <v>135</v>
      </c>
      <c r="B66" s="128" t="s">
        <v>111</v>
      </c>
      <c r="C66" s="128">
        <v>-39.460299999999997</v>
      </c>
      <c r="D66" s="128" t="s">
        <v>110</v>
      </c>
      <c r="E66" s="128">
        <v>5.7473000000000001</v>
      </c>
      <c r="F66" s="127"/>
      <c r="G66" s="129" t="s">
        <v>135</v>
      </c>
      <c r="H66" s="129" t="s">
        <v>111</v>
      </c>
      <c r="I66" s="129">
        <v>817.51020000000005</v>
      </c>
    </row>
    <row r="67" spans="1:9" ht="15" hidden="1">
      <c r="A67" s="128" t="s">
        <v>135</v>
      </c>
      <c r="B67" s="128" t="s">
        <v>112</v>
      </c>
      <c r="C67" s="128">
        <v>-530.49220000000003</v>
      </c>
      <c r="D67" s="128" t="s">
        <v>110</v>
      </c>
      <c r="E67" s="128">
        <v>402.67180000000002</v>
      </c>
      <c r="F67" s="127"/>
      <c r="G67" s="129" t="s">
        <v>135</v>
      </c>
      <c r="H67" s="129" t="s">
        <v>112</v>
      </c>
      <c r="I67" s="129">
        <v>822.13239999999996</v>
      </c>
    </row>
    <row r="68" spans="1:9" ht="15" hidden="1">
      <c r="A68" s="128" t="s">
        <v>136</v>
      </c>
      <c r="B68" s="128" t="s">
        <v>109</v>
      </c>
      <c r="C68" s="128">
        <v>0</v>
      </c>
      <c r="D68" s="128" t="s">
        <v>110</v>
      </c>
      <c r="E68" s="128">
        <v>333.31920000000002</v>
      </c>
      <c r="F68" s="127"/>
      <c r="G68" s="129" t="s">
        <v>136</v>
      </c>
      <c r="H68" s="129" t="s">
        <v>109</v>
      </c>
      <c r="I68" s="129">
        <v>91.518500000000003</v>
      </c>
    </row>
    <row r="69" spans="1:9" ht="15" hidden="1">
      <c r="A69" s="128" t="s">
        <v>136</v>
      </c>
      <c r="B69" s="128" t="s">
        <v>111</v>
      </c>
      <c r="C69" s="128">
        <v>-216.52090000000001</v>
      </c>
      <c r="D69" s="128" t="s">
        <v>110</v>
      </c>
      <c r="E69" s="128">
        <v>197.35290000000001</v>
      </c>
      <c r="F69" s="127"/>
      <c r="G69" s="129" t="s">
        <v>136</v>
      </c>
      <c r="H69" s="129" t="s">
        <v>111</v>
      </c>
      <c r="I69" s="129">
        <v>173.3486</v>
      </c>
    </row>
    <row r="70" spans="1:9" ht="15" hidden="1">
      <c r="A70" s="128" t="s">
        <v>136</v>
      </c>
      <c r="B70" s="128" t="s">
        <v>112</v>
      </c>
      <c r="C70" s="128">
        <v>-610.27210000000002</v>
      </c>
      <c r="D70" s="128" t="s">
        <v>110</v>
      </c>
      <c r="E70" s="128">
        <v>0</v>
      </c>
      <c r="F70" s="127"/>
      <c r="G70" s="129" t="s">
        <v>136</v>
      </c>
      <c r="H70" s="129" t="s">
        <v>112</v>
      </c>
      <c r="I70" s="129">
        <v>302.8612</v>
      </c>
    </row>
    <row r="71" spans="1:9" ht="15" hidden="1">
      <c r="A71" s="128" t="s">
        <v>137</v>
      </c>
      <c r="B71" s="128" t="s">
        <v>109</v>
      </c>
      <c r="C71" s="128">
        <v>-1.9275</v>
      </c>
      <c r="D71" s="128" t="s">
        <v>110</v>
      </c>
      <c r="E71" s="128">
        <v>49.322299999999998</v>
      </c>
      <c r="F71" s="127"/>
      <c r="G71" s="129" t="s">
        <v>137</v>
      </c>
      <c r="H71" s="129" t="s">
        <v>109</v>
      </c>
      <c r="I71" s="129">
        <v>21.298500000000001</v>
      </c>
    </row>
    <row r="72" spans="1:9" ht="15" hidden="1">
      <c r="A72" s="128" t="s">
        <v>137</v>
      </c>
      <c r="B72" s="128" t="s">
        <v>111</v>
      </c>
      <c r="C72" s="128">
        <v>0</v>
      </c>
      <c r="D72" s="128" t="s">
        <v>110</v>
      </c>
      <c r="E72" s="128">
        <v>61.188499999999998</v>
      </c>
      <c r="F72" s="127"/>
      <c r="G72" s="129" t="s">
        <v>137</v>
      </c>
      <c r="H72" s="129" t="s">
        <v>111</v>
      </c>
      <c r="I72" s="129">
        <v>85.811199999999999</v>
      </c>
    </row>
    <row r="73" spans="1:9" ht="15" hidden="1">
      <c r="A73" s="128" t="s">
        <v>137</v>
      </c>
      <c r="B73" s="128" t="s">
        <v>112</v>
      </c>
      <c r="C73" s="128">
        <v>-254.2749</v>
      </c>
      <c r="D73" s="128" t="s">
        <v>110</v>
      </c>
      <c r="E73" s="128">
        <v>0</v>
      </c>
      <c r="F73" s="127"/>
      <c r="G73" s="129" t="s">
        <v>137</v>
      </c>
      <c r="H73" s="129" t="s">
        <v>112</v>
      </c>
      <c r="I73" s="129">
        <v>124.4872</v>
      </c>
    </row>
    <row r="74" spans="1:9" ht="15" hidden="1">
      <c r="A74" s="128" t="s">
        <v>138</v>
      </c>
      <c r="B74" s="128" t="s">
        <v>109</v>
      </c>
      <c r="C74" s="128">
        <v>-555.36469999999997</v>
      </c>
      <c r="D74" s="128" t="s">
        <v>110</v>
      </c>
      <c r="E74" s="128">
        <v>0</v>
      </c>
      <c r="F74" s="127"/>
      <c r="G74" s="129" t="s">
        <v>138</v>
      </c>
      <c r="H74" s="129" t="s">
        <v>109</v>
      </c>
      <c r="I74" s="129">
        <v>253.0642</v>
      </c>
    </row>
    <row r="75" spans="1:9" ht="15" hidden="1">
      <c r="A75" s="128" t="s">
        <v>138</v>
      </c>
      <c r="B75" s="128" t="s">
        <v>111</v>
      </c>
      <c r="C75" s="128">
        <v>-191.60570000000001</v>
      </c>
      <c r="D75" s="128" t="s">
        <v>110</v>
      </c>
      <c r="E75" s="128">
        <v>175.01570000000001</v>
      </c>
      <c r="F75" s="127"/>
      <c r="G75" s="129" t="s">
        <v>138</v>
      </c>
      <c r="H75" s="129" t="s">
        <v>111</v>
      </c>
      <c r="I75" s="129">
        <v>189.52440000000001</v>
      </c>
    </row>
    <row r="76" spans="1:9" ht="15" hidden="1">
      <c r="A76" s="128" t="s">
        <v>138</v>
      </c>
      <c r="B76" s="128" t="s">
        <v>112</v>
      </c>
      <c r="C76" s="128">
        <v>0</v>
      </c>
      <c r="D76" s="128" t="s">
        <v>110</v>
      </c>
      <c r="E76" s="128">
        <v>353.3691</v>
      </c>
      <c r="F76" s="127"/>
      <c r="G76" s="129" t="s">
        <v>138</v>
      </c>
      <c r="H76" s="129" t="s">
        <v>112</v>
      </c>
      <c r="I76" s="129">
        <v>144.03870000000001</v>
      </c>
    </row>
    <row r="77" spans="1:9" ht="15" hidden="1">
      <c r="A77" s="128" t="s">
        <v>139</v>
      </c>
      <c r="B77" s="128" t="s">
        <v>109</v>
      </c>
      <c r="C77" s="128">
        <v>0</v>
      </c>
      <c r="D77" s="128" t="s">
        <v>110</v>
      </c>
      <c r="E77" s="128">
        <v>67.270300000000006</v>
      </c>
      <c r="F77" s="127"/>
      <c r="G77" s="129" t="s">
        <v>139</v>
      </c>
      <c r="H77" s="129" t="s">
        <v>109</v>
      </c>
      <c r="I77" s="129">
        <v>28.602799999999998</v>
      </c>
    </row>
    <row r="78" spans="1:9" ht="15" hidden="1">
      <c r="A78" s="128" t="s">
        <v>139</v>
      </c>
      <c r="B78" s="128" t="s">
        <v>111</v>
      </c>
      <c r="C78" s="128">
        <v>-24.602</v>
      </c>
      <c r="D78" s="128" t="s">
        <v>110</v>
      </c>
      <c r="E78" s="128">
        <v>87.082099999999997</v>
      </c>
      <c r="F78" s="127"/>
      <c r="G78" s="129" t="s">
        <v>139</v>
      </c>
      <c r="H78" s="129" t="s">
        <v>111</v>
      </c>
      <c r="I78" s="129">
        <v>93.943100000000001</v>
      </c>
    </row>
    <row r="79" spans="1:9" ht="15" hidden="1">
      <c r="A79" s="128" t="s">
        <v>139</v>
      </c>
      <c r="B79" s="128" t="s">
        <v>112</v>
      </c>
      <c r="C79" s="128">
        <v>-312.29930000000002</v>
      </c>
      <c r="D79" s="128" t="s">
        <v>110</v>
      </c>
      <c r="E79" s="128">
        <v>0</v>
      </c>
      <c r="F79" s="127"/>
      <c r="G79" s="129" t="s">
        <v>139</v>
      </c>
      <c r="H79" s="129" t="s">
        <v>112</v>
      </c>
      <c r="I79" s="129">
        <v>155.91820000000001</v>
      </c>
    </row>
    <row r="80" spans="1:9" ht="15" hidden="1">
      <c r="A80" s="128" t="s">
        <v>140</v>
      </c>
      <c r="B80" s="128" t="s">
        <v>109</v>
      </c>
      <c r="C80" s="128">
        <v>-411.19319999999999</v>
      </c>
      <c r="D80" s="128" t="s">
        <v>110</v>
      </c>
      <c r="E80" s="128">
        <v>0</v>
      </c>
      <c r="F80" s="127"/>
      <c r="G80" s="129" t="s">
        <v>140</v>
      </c>
      <c r="H80" s="129" t="s">
        <v>109</v>
      </c>
      <c r="I80" s="129">
        <v>180.69399999999999</v>
      </c>
    </row>
    <row r="81" spans="1:9" ht="15" hidden="1">
      <c r="A81" s="128" t="s">
        <v>140</v>
      </c>
      <c r="B81" s="128" t="s">
        <v>111</v>
      </c>
      <c r="C81" s="128">
        <v>-166.6643</v>
      </c>
      <c r="D81" s="128" t="s">
        <v>110</v>
      </c>
      <c r="E81" s="128">
        <v>29.5609</v>
      </c>
      <c r="F81" s="127"/>
      <c r="G81" s="129" t="s">
        <v>140</v>
      </c>
      <c r="H81" s="129" t="s">
        <v>111</v>
      </c>
      <c r="I81" s="129">
        <v>147.53270000000001</v>
      </c>
    </row>
    <row r="82" spans="1:9" ht="15" hidden="1">
      <c r="A82" s="128" t="s">
        <v>140</v>
      </c>
      <c r="B82" s="128" t="s">
        <v>112</v>
      </c>
      <c r="C82" s="128">
        <v>0</v>
      </c>
      <c r="D82" s="128" t="s">
        <v>110</v>
      </c>
      <c r="E82" s="128">
        <v>126.7525</v>
      </c>
      <c r="F82" s="127"/>
      <c r="G82" s="129" t="s">
        <v>140</v>
      </c>
      <c r="H82" s="129" t="s">
        <v>112</v>
      </c>
      <c r="I82" s="129">
        <v>56.777299999999997</v>
      </c>
    </row>
    <row r="83" spans="1:9" ht="15" hidden="1">
      <c r="A83" s="128" t="s">
        <v>141</v>
      </c>
      <c r="B83" s="128" t="s">
        <v>109</v>
      </c>
      <c r="C83" s="128">
        <v>0</v>
      </c>
      <c r="D83" s="128" t="s">
        <v>110</v>
      </c>
      <c r="E83" s="128">
        <v>275.47919999999999</v>
      </c>
      <c r="F83" s="127"/>
      <c r="G83" s="129" t="s">
        <v>141</v>
      </c>
      <c r="H83" s="129" t="s">
        <v>109</v>
      </c>
      <c r="I83" s="129">
        <v>54.974200000000003</v>
      </c>
    </row>
    <row r="84" spans="1:9" ht="15" hidden="1">
      <c r="A84" s="128" t="s">
        <v>141</v>
      </c>
      <c r="B84" s="128" t="s">
        <v>111</v>
      </c>
      <c r="C84" s="128">
        <v>-111.4466</v>
      </c>
      <c r="D84" s="128" t="s">
        <v>110</v>
      </c>
      <c r="E84" s="128">
        <v>255.7405</v>
      </c>
      <c r="F84" s="127"/>
      <c r="G84" s="129" t="s">
        <v>141</v>
      </c>
      <c r="H84" s="129" t="s">
        <v>111</v>
      </c>
      <c r="I84" s="129">
        <v>207.31540000000001</v>
      </c>
    </row>
    <row r="85" spans="1:9" ht="15" hidden="1">
      <c r="A85" s="128" t="s">
        <v>141</v>
      </c>
      <c r="B85" s="128" t="s">
        <v>112</v>
      </c>
      <c r="C85" s="128">
        <v>-628.52790000000005</v>
      </c>
      <c r="D85" s="128" t="s">
        <v>110</v>
      </c>
      <c r="E85" s="128">
        <v>0</v>
      </c>
      <c r="F85" s="127"/>
      <c r="G85" s="129" t="s">
        <v>141</v>
      </c>
      <c r="H85" s="129" t="s">
        <v>112</v>
      </c>
      <c r="I85" s="129">
        <v>294.17790000000002</v>
      </c>
    </row>
    <row r="86" spans="1:9" ht="15" hidden="1">
      <c r="A86" s="128" t="s">
        <v>142</v>
      </c>
      <c r="B86" s="128" t="s">
        <v>109</v>
      </c>
      <c r="C86" s="128">
        <v>0</v>
      </c>
      <c r="D86" s="128" t="s">
        <v>110</v>
      </c>
      <c r="E86" s="128">
        <v>281.46510000000001</v>
      </c>
      <c r="F86" s="127"/>
      <c r="G86" s="129" t="s">
        <v>142</v>
      </c>
      <c r="H86" s="129" t="s">
        <v>109</v>
      </c>
      <c r="I86" s="129">
        <v>59.307099999999998</v>
      </c>
    </row>
    <row r="87" spans="1:9" ht="15" hidden="1">
      <c r="A87" s="128" t="s">
        <v>142</v>
      </c>
      <c r="B87" s="128" t="s">
        <v>111</v>
      </c>
      <c r="C87" s="128">
        <v>-77.487499999999997</v>
      </c>
      <c r="D87" s="128" t="s">
        <v>110</v>
      </c>
      <c r="E87" s="128">
        <v>253.47499999999999</v>
      </c>
      <c r="F87" s="127"/>
      <c r="G87" s="129" t="s">
        <v>142</v>
      </c>
      <c r="H87" s="129" t="s">
        <v>111</v>
      </c>
      <c r="I87" s="129">
        <v>200.911</v>
      </c>
    </row>
    <row r="88" spans="1:9" ht="15" hidden="1">
      <c r="A88" s="128" t="s">
        <v>142</v>
      </c>
      <c r="B88" s="128" t="s">
        <v>112</v>
      </c>
      <c r="C88" s="128">
        <v>-630.76</v>
      </c>
      <c r="D88" s="128" t="s">
        <v>110</v>
      </c>
      <c r="E88" s="128">
        <v>0</v>
      </c>
      <c r="F88" s="127"/>
      <c r="G88" s="129" t="s">
        <v>142</v>
      </c>
      <c r="H88" s="129" t="s">
        <v>112</v>
      </c>
      <c r="I88" s="129">
        <v>275.33150000000001</v>
      </c>
    </row>
    <row r="89" spans="1:9" ht="15" hidden="1">
      <c r="A89" s="128" t="s">
        <v>143</v>
      </c>
      <c r="B89" s="128" t="s">
        <v>109</v>
      </c>
      <c r="C89" s="128">
        <v>0</v>
      </c>
      <c r="D89" s="128" t="s">
        <v>110</v>
      </c>
      <c r="E89" s="128">
        <v>144.58459999999999</v>
      </c>
      <c r="F89" s="127"/>
      <c r="G89" s="129" t="s">
        <v>143</v>
      </c>
      <c r="H89" s="129" t="s">
        <v>109</v>
      </c>
      <c r="I89" s="129">
        <v>16.4725</v>
      </c>
    </row>
    <row r="90" spans="1:9" ht="15" hidden="1">
      <c r="A90" s="128" t="s">
        <v>143</v>
      </c>
      <c r="B90" s="128" t="s">
        <v>111</v>
      </c>
      <c r="C90" s="128">
        <v>-11.309799999999999</v>
      </c>
      <c r="D90" s="128" t="s">
        <v>110</v>
      </c>
      <c r="E90" s="128">
        <v>141.59059999999999</v>
      </c>
      <c r="F90" s="127"/>
      <c r="G90" s="129" t="s">
        <v>143</v>
      </c>
      <c r="H90" s="129" t="s">
        <v>111</v>
      </c>
      <c r="I90" s="129">
        <v>129.48480000000001</v>
      </c>
    </row>
    <row r="91" spans="1:9" ht="15" hidden="1">
      <c r="A91" s="128" t="s">
        <v>143</v>
      </c>
      <c r="B91" s="128" t="s">
        <v>112</v>
      </c>
      <c r="C91" s="128">
        <v>-265.56810000000002</v>
      </c>
      <c r="D91" s="128" t="s">
        <v>110</v>
      </c>
      <c r="E91" s="128">
        <v>0</v>
      </c>
      <c r="F91" s="127"/>
      <c r="G91" s="129" t="s">
        <v>143</v>
      </c>
      <c r="H91" s="129" t="s">
        <v>112</v>
      </c>
      <c r="I91" s="129">
        <v>185.64</v>
      </c>
    </row>
    <row r="92" spans="1:9" ht="15" hidden="1">
      <c r="A92" s="128" t="s">
        <v>144</v>
      </c>
      <c r="B92" s="128" t="s">
        <v>109</v>
      </c>
      <c r="C92" s="128">
        <v>0</v>
      </c>
      <c r="D92" s="128" t="s">
        <v>110</v>
      </c>
      <c r="E92" s="128">
        <v>142.50409999999999</v>
      </c>
      <c r="F92" s="127"/>
      <c r="G92" s="129" t="s">
        <v>144</v>
      </c>
      <c r="H92" s="129" t="s">
        <v>109</v>
      </c>
      <c r="I92" s="129">
        <v>16.173400000000001</v>
      </c>
    </row>
    <row r="93" spans="1:9" ht="15" hidden="1">
      <c r="A93" s="128" t="s">
        <v>144</v>
      </c>
      <c r="B93" s="128" t="s">
        <v>111</v>
      </c>
      <c r="C93" s="128">
        <v>-16.927499999999998</v>
      </c>
      <c r="D93" s="128" t="s">
        <v>110</v>
      </c>
      <c r="E93" s="128">
        <v>137.57249999999999</v>
      </c>
      <c r="F93" s="127"/>
      <c r="G93" s="129" t="s">
        <v>144</v>
      </c>
      <c r="H93" s="129" t="s">
        <v>111</v>
      </c>
      <c r="I93" s="129">
        <v>127.9563</v>
      </c>
    </row>
    <row r="94" spans="1:9" ht="15" hidden="1">
      <c r="A94" s="128" t="s">
        <v>144</v>
      </c>
      <c r="B94" s="128" t="s">
        <v>112</v>
      </c>
      <c r="C94" s="128">
        <v>-266.8331</v>
      </c>
      <c r="D94" s="128" t="s">
        <v>110</v>
      </c>
      <c r="E94" s="128">
        <v>0</v>
      </c>
      <c r="F94" s="127"/>
      <c r="G94" s="129" t="s">
        <v>144</v>
      </c>
      <c r="H94" s="129" t="s">
        <v>112</v>
      </c>
      <c r="I94" s="129">
        <v>183.38740000000001</v>
      </c>
    </row>
    <row r="95" spans="1:9" ht="15" hidden="1">
      <c r="A95" s="128" t="s">
        <v>145</v>
      </c>
      <c r="B95" s="128" t="s">
        <v>109</v>
      </c>
      <c r="C95" s="128">
        <v>-247.5342</v>
      </c>
      <c r="D95" s="128" t="s">
        <v>110</v>
      </c>
      <c r="E95" s="128">
        <v>0</v>
      </c>
      <c r="F95" s="127"/>
      <c r="G95" s="129" t="s">
        <v>145</v>
      </c>
      <c r="H95" s="129" t="s">
        <v>109</v>
      </c>
      <c r="I95" s="129">
        <v>134.33000000000001</v>
      </c>
    </row>
    <row r="96" spans="1:9" ht="15" hidden="1">
      <c r="A96" s="128" t="s">
        <v>145</v>
      </c>
      <c r="B96" s="128" t="s">
        <v>111</v>
      </c>
      <c r="C96" s="128">
        <v>-89.522900000000007</v>
      </c>
      <c r="D96" s="128" t="s">
        <v>110</v>
      </c>
      <c r="E96" s="128">
        <v>120.7201</v>
      </c>
      <c r="F96" s="127"/>
      <c r="G96" s="129" t="s">
        <v>145</v>
      </c>
      <c r="H96" s="129" t="s">
        <v>111</v>
      </c>
      <c r="I96" s="129">
        <v>21.734500000000001</v>
      </c>
    </row>
    <row r="97" spans="1:9" ht="15" hidden="1">
      <c r="A97" s="128" t="s">
        <v>145</v>
      </c>
      <c r="B97" s="128" t="s">
        <v>112</v>
      </c>
      <c r="C97" s="128">
        <v>0</v>
      </c>
      <c r="D97" s="128" t="s">
        <v>110</v>
      </c>
      <c r="E97" s="128">
        <v>127.14109999999999</v>
      </c>
      <c r="F97" s="127"/>
      <c r="G97" s="129" t="s">
        <v>145</v>
      </c>
      <c r="H97" s="129" t="s">
        <v>112</v>
      </c>
      <c r="I97" s="129">
        <v>15.4048</v>
      </c>
    </row>
    <row r="98" spans="1:9" ht="15" hidden="1">
      <c r="A98" s="128" t="s">
        <v>146</v>
      </c>
      <c r="B98" s="128" t="s">
        <v>109</v>
      </c>
      <c r="C98" s="128">
        <v>0</v>
      </c>
      <c r="D98" s="128" t="s">
        <v>110</v>
      </c>
      <c r="E98" s="128">
        <v>116.462</v>
      </c>
      <c r="F98" s="127"/>
      <c r="G98" s="129" t="s">
        <v>146</v>
      </c>
      <c r="H98" s="129" t="s">
        <v>109</v>
      </c>
      <c r="I98" s="129">
        <v>25.793099999999999</v>
      </c>
    </row>
    <row r="99" spans="1:9" ht="15" hidden="1">
      <c r="A99" s="128" t="s">
        <v>146</v>
      </c>
      <c r="B99" s="128" t="s">
        <v>111</v>
      </c>
      <c r="C99" s="128">
        <v>-1.3092999999999999</v>
      </c>
      <c r="D99" s="128" t="s">
        <v>110</v>
      </c>
      <c r="E99" s="128">
        <v>87.496399999999994</v>
      </c>
      <c r="F99" s="127"/>
      <c r="G99" s="129" t="s">
        <v>146</v>
      </c>
      <c r="H99" s="129" t="s">
        <v>111</v>
      </c>
      <c r="I99" s="129">
        <v>81.731899999999996</v>
      </c>
    </row>
    <row r="100" spans="1:9" ht="15" hidden="1">
      <c r="A100" s="128" t="s">
        <v>146</v>
      </c>
      <c r="B100" s="128" t="s">
        <v>112</v>
      </c>
      <c r="C100" s="128">
        <v>-92.540400000000005</v>
      </c>
      <c r="D100" s="128" t="s">
        <v>110</v>
      </c>
      <c r="E100" s="128">
        <v>0</v>
      </c>
      <c r="F100" s="127"/>
      <c r="G100" s="129" t="s">
        <v>146</v>
      </c>
      <c r="H100" s="129" t="s">
        <v>112</v>
      </c>
      <c r="I100" s="129">
        <v>98.088399999999993</v>
      </c>
    </row>
    <row r="101" spans="1:9" ht="15" hidden="1">
      <c r="A101" s="128" t="s">
        <v>147</v>
      </c>
      <c r="B101" s="128" t="s">
        <v>109</v>
      </c>
      <c r="C101" s="128">
        <v>-13.198399999999999</v>
      </c>
      <c r="D101" s="128" t="s">
        <v>110</v>
      </c>
      <c r="E101" s="128">
        <v>0</v>
      </c>
      <c r="F101" s="127"/>
      <c r="G101" s="129" t="s">
        <v>147</v>
      </c>
      <c r="H101" s="129" t="s">
        <v>109</v>
      </c>
      <c r="I101" s="129">
        <v>93.740399999999994</v>
      </c>
    </row>
    <row r="102" spans="1:9" ht="15" hidden="1">
      <c r="A102" s="128" t="s">
        <v>147</v>
      </c>
      <c r="B102" s="128" t="s">
        <v>111</v>
      </c>
      <c r="C102" s="128">
        <v>-133.3939</v>
      </c>
      <c r="D102" s="128" t="s">
        <v>110</v>
      </c>
      <c r="E102" s="128">
        <v>0</v>
      </c>
      <c r="F102" s="127"/>
      <c r="G102" s="129" t="s">
        <v>147</v>
      </c>
      <c r="H102" s="129" t="s">
        <v>111</v>
      </c>
      <c r="I102" s="129">
        <v>125.4419</v>
      </c>
    </row>
    <row r="103" spans="1:9" ht="15" hidden="1">
      <c r="A103" s="128" t="s">
        <v>147</v>
      </c>
      <c r="B103" s="128" t="s">
        <v>112</v>
      </c>
      <c r="C103" s="128">
        <v>-226.93690000000001</v>
      </c>
      <c r="D103" s="128" t="s">
        <v>110</v>
      </c>
      <c r="E103" s="128">
        <v>0</v>
      </c>
      <c r="F103" s="127"/>
      <c r="G103" s="129" t="s">
        <v>147</v>
      </c>
      <c r="H103" s="129" t="s">
        <v>112</v>
      </c>
      <c r="I103" s="129">
        <v>138.66540000000001</v>
      </c>
    </row>
    <row r="104" spans="1:9" ht="15" hidden="1">
      <c r="A104" s="128" t="s">
        <v>148</v>
      </c>
      <c r="B104" s="128" t="s">
        <v>109</v>
      </c>
      <c r="C104" s="128">
        <v>-227.15989999999999</v>
      </c>
      <c r="D104" s="128" t="s">
        <v>110</v>
      </c>
      <c r="E104" s="128">
        <v>0</v>
      </c>
      <c r="F104" s="127"/>
      <c r="G104" s="129" t="s">
        <v>148</v>
      </c>
      <c r="H104" s="129" t="s">
        <v>109</v>
      </c>
      <c r="I104" s="129">
        <v>138.78309999999999</v>
      </c>
    </row>
    <row r="105" spans="1:9" ht="15" hidden="1">
      <c r="A105" s="128" t="s">
        <v>148</v>
      </c>
      <c r="B105" s="128" t="s">
        <v>111</v>
      </c>
      <c r="C105" s="128">
        <v>-133.51439999999999</v>
      </c>
      <c r="D105" s="128" t="s">
        <v>110</v>
      </c>
      <c r="E105" s="128">
        <v>0</v>
      </c>
      <c r="F105" s="127"/>
      <c r="G105" s="129" t="s">
        <v>148</v>
      </c>
      <c r="H105" s="129" t="s">
        <v>111</v>
      </c>
      <c r="I105" s="129">
        <v>111.2276</v>
      </c>
    </row>
    <row r="106" spans="1:9" ht="15" hidden="1">
      <c r="A106" s="128" t="s">
        <v>148</v>
      </c>
      <c r="B106" s="128" t="s">
        <v>112</v>
      </c>
      <c r="C106" s="128">
        <v>-12.9572</v>
      </c>
      <c r="D106" s="128" t="s">
        <v>110</v>
      </c>
      <c r="E106" s="128">
        <v>0</v>
      </c>
      <c r="F106" s="127"/>
      <c r="G106" s="129" t="s">
        <v>148</v>
      </c>
      <c r="H106" s="129" t="s">
        <v>112</v>
      </c>
      <c r="I106" s="129">
        <v>93.813599999999994</v>
      </c>
    </row>
    <row r="107" spans="1:9" ht="15" hidden="1">
      <c r="A107" s="128" t="s">
        <v>149</v>
      </c>
      <c r="B107" s="128" t="s">
        <v>109</v>
      </c>
      <c r="C107" s="128">
        <v>-17.9587</v>
      </c>
      <c r="D107" s="128" t="s">
        <v>110</v>
      </c>
      <c r="E107" s="128">
        <v>0</v>
      </c>
      <c r="F107" s="127"/>
      <c r="G107" s="129" t="s">
        <v>149</v>
      </c>
      <c r="H107" s="129" t="s">
        <v>109</v>
      </c>
      <c r="I107" s="129">
        <v>66.156700000000001</v>
      </c>
    </row>
    <row r="108" spans="1:9" ht="15" hidden="1">
      <c r="A108" s="128" t="s">
        <v>149</v>
      </c>
      <c r="B108" s="128" t="s">
        <v>111</v>
      </c>
      <c r="C108" s="128">
        <v>-98.828999999999994</v>
      </c>
      <c r="D108" s="128" t="s">
        <v>110</v>
      </c>
      <c r="E108" s="128">
        <v>0</v>
      </c>
      <c r="F108" s="127"/>
      <c r="G108" s="129" t="s">
        <v>149</v>
      </c>
      <c r="H108" s="129" t="s">
        <v>111</v>
      </c>
      <c r="I108" s="129">
        <v>92.460499999999996</v>
      </c>
    </row>
    <row r="109" spans="1:9" ht="15" hidden="1">
      <c r="A109" s="128" t="s">
        <v>149</v>
      </c>
      <c r="B109" s="128" t="s">
        <v>112</v>
      </c>
      <c r="C109" s="128">
        <v>-213.79750000000001</v>
      </c>
      <c r="D109" s="128" t="s">
        <v>110</v>
      </c>
      <c r="E109" s="128">
        <v>0</v>
      </c>
      <c r="F109" s="127"/>
      <c r="G109" s="129" t="s">
        <v>149</v>
      </c>
      <c r="H109" s="129" t="s">
        <v>112</v>
      </c>
      <c r="I109" s="129">
        <v>109.8674</v>
      </c>
    </row>
    <row r="110" spans="1:9" ht="15" hidden="1">
      <c r="A110" s="128" t="s">
        <v>150</v>
      </c>
      <c r="B110" s="128" t="s">
        <v>109</v>
      </c>
      <c r="C110" s="128">
        <v>-214.13630000000001</v>
      </c>
      <c r="D110" s="128" t="s">
        <v>110</v>
      </c>
      <c r="E110" s="128">
        <v>0</v>
      </c>
      <c r="F110" s="127"/>
      <c r="G110" s="129" t="s">
        <v>150</v>
      </c>
      <c r="H110" s="129" t="s">
        <v>109</v>
      </c>
      <c r="I110" s="129">
        <v>110.0501</v>
      </c>
    </row>
    <row r="111" spans="1:9" ht="15" hidden="1">
      <c r="A111" s="128" t="s">
        <v>150</v>
      </c>
      <c r="B111" s="128" t="s">
        <v>111</v>
      </c>
      <c r="C111" s="128">
        <v>-98.87</v>
      </c>
      <c r="D111" s="128" t="s">
        <v>110</v>
      </c>
      <c r="E111" s="128">
        <v>0</v>
      </c>
      <c r="F111" s="127"/>
      <c r="G111" s="129" t="s">
        <v>150</v>
      </c>
      <c r="H111" s="129" t="s">
        <v>111</v>
      </c>
      <c r="I111" s="129">
        <v>83.729500000000002</v>
      </c>
    </row>
    <row r="112" spans="1:9" ht="15" hidden="1">
      <c r="A112" s="128" t="s">
        <v>150</v>
      </c>
      <c r="B112" s="128" t="s">
        <v>112</v>
      </c>
      <c r="C112" s="128">
        <v>-17.732099999999999</v>
      </c>
      <c r="D112" s="128" t="s">
        <v>110</v>
      </c>
      <c r="E112" s="128">
        <v>0</v>
      </c>
      <c r="F112" s="127"/>
      <c r="G112" s="129" t="s">
        <v>150</v>
      </c>
      <c r="H112" s="129" t="s">
        <v>112</v>
      </c>
      <c r="I112" s="129">
        <v>66.322599999999994</v>
      </c>
    </row>
    <row r="113" spans="1:9" ht="15" hidden="1">
      <c r="A113" s="128" t="s">
        <v>151</v>
      </c>
      <c r="B113" s="128" t="s">
        <v>109</v>
      </c>
      <c r="C113" s="128">
        <v>-670.97019999999998</v>
      </c>
      <c r="D113" s="128" t="s">
        <v>110</v>
      </c>
      <c r="E113" s="128">
        <v>0</v>
      </c>
      <c r="F113" s="127"/>
      <c r="G113" s="129" t="s">
        <v>151</v>
      </c>
      <c r="H113" s="129" t="s">
        <v>109</v>
      </c>
      <c r="I113" s="129">
        <v>332.27620000000002</v>
      </c>
    </row>
    <row r="114" spans="1:9" ht="15" hidden="1">
      <c r="A114" s="128" t="s">
        <v>151</v>
      </c>
      <c r="B114" s="128" t="s">
        <v>111</v>
      </c>
      <c r="C114" s="128">
        <v>0</v>
      </c>
      <c r="D114" s="128" t="s">
        <v>110</v>
      </c>
      <c r="E114" s="128">
        <v>348.69040000000001</v>
      </c>
      <c r="F114" s="127"/>
      <c r="G114" s="129" t="s">
        <v>151</v>
      </c>
      <c r="H114" s="129" t="s">
        <v>111</v>
      </c>
      <c r="I114" s="129">
        <v>155.79589999999999</v>
      </c>
    </row>
    <row r="115" spans="1:9" ht="15" hidden="1">
      <c r="A115" s="128" t="s">
        <v>151</v>
      </c>
      <c r="B115" s="128" t="s">
        <v>112</v>
      </c>
      <c r="C115" s="128">
        <v>-323.1463</v>
      </c>
      <c r="D115" s="128" t="s">
        <v>110</v>
      </c>
      <c r="E115" s="128">
        <v>146.08269999999999</v>
      </c>
      <c r="F115" s="127"/>
      <c r="G115" s="129" t="s">
        <v>151</v>
      </c>
      <c r="H115" s="129" t="s">
        <v>112</v>
      </c>
      <c r="I115" s="129">
        <v>235.25190000000001</v>
      </c>
    </row>
    <row r="116" spans="1:9" ht="15" hidden="1">
      <c r="A116" s="128" t="s">
        <v>152</v>
      </c>
      <c r="B116" s="128" t="s">
        <v>109</v>
      </c>
      <c r="C116" s="128">
        <v>-319.83499999999998</v>
      </c>
      <c r="D116" s="128" t="s">
        <v>110</v>
      </c>
      <c r="E116" s="128">
        <v>29.920999999999999</v>
      </c>
      <c r="F116" s="127"/>
      <c r="G116" s="129" t="s">
        <v>152</v>
      </c>
      <c r="H116" s="129" t="s">
        <v>109</v>
      </c>
      <c r="I116" s="129">
        <v>148.6558</v>
      </c>
    </row>
    <row r="117" spans="1:9" ht="15" hidden="1">
      <c r="A117" s="128" t="s">
        <v>152</v>
      </c>
      <c r="B117" s="128" t="s">
        <v>111</v>
      </c>
      <c r="C117" s="128">
        <v>-39.667099999999998</v>
      </c>
      <c r="D117" s="128" t="s">
        <v>110</v>
      </c>
      <c r="E117" s="128">
        <v>125.81780000000001</v>
      </c>
      <c r="F117" s="127"/>
      <c r="G117" s="129" t="s">
        <v>152</v>
      </c>
      <c r="H117" s="129" t="s">
        <v>111</v>
      </c>
      <c r="I117" s="129">
        <v>81.224599999999995</v>
      </c>
    </row>
    <row r="118" spans="1:9" ht="15" hidden="1">
      <c r="A118" s="128" t="s">
        <v>152</v>
      </c>
      <c r="B118" s="128" t="s">
        <v>112</v>
      </c>
      <c r="C118" s="128">
        <v>-168.0198</v>
      </c>
      <c r="D118" s="128" t="s">
        <v>110</v>
      </c>
      <c r="E118" s="128">
        <v>132.22810000000001</v>
      </c>
      <c r="F118" s="127"/>
      <c r="G118" s="129" t="s">
        <v>152</v>
      </c>
      <c r="H118" s="129" t="s">
        <v>112</v>
      </c>
      <c r="I118" s="129">
        <v>110.887</v>
      </c>
    </row>
    <row r="119" spans="1:9" ht="15" hidden="1">
      <c r="A119" s="128" t="s">
        <v>153</v>
      </c>
      <c r="B119" s="128" t="s">
        <v>109</v>
      </c>
      <c r="C119" s="128">
        <v>-756.92669999999998</v>
      </c>
      <c r="D119" s="128" t="s">
        <v>110</v>
      </c>
      <c r="E119" s="128">
        <v>0</v>
      </c>
      <c r="F119" s="127"/>
      <c r="G119" s="129" t="s">
        <v>153</v>
      </c>
      <c r="H119" s="129" t="s">
        <v>109</v>
      </c>
      <c r="I119" s="129">
        <v>367.4948</v>
      </c>
    </row>
    <row r="120" spans="1:9" ht="15" hidden="1">
      <c r="A120" s="128" t="s">
        <v>153</v>
      </c>
      <c r="B120" s="128" t="s">
        <v>111</v>
      </c>
      <c r="C120" s="128">
        <v>0</v>
      </c>
      <c r="D120" s="128" t="s">
        <v>110</v>
      </c>
      <c r="E120" s="128">
        <v>360.27949999999998</v>
      </c>
      <c r="F120" s="127"/>
      <c r="G120" s="129" t="s">
        <v>153</v>
      </c>
      <c r="H120" s="129" t="s">
        <v>111</v>
      </c>
      <c r="I120" s="129">
        <v>262.35500000000002</v>
      </c>
    </row>
    <row r="121" spans="1:9" ht="15" hidden="1">
      <c r="A121" s="128" t="s">
        <v>153</v>
      </c>
      <c r="B121" s="128" t="s">
        <v>112</v>
      </c>
      <c r="C121" s="128">
        <v>-315.37490000000003</v>
      </c>
      <c r="D121" s="128" t="s">
        <v>110</v>
      </c>
      <c r="E121" s="128">
        <v>159.7304</v>
      </c>
      <c r="F121" s="127"/>
      <c r="G121" s="129" t="s">
        <v>153</v>
      </c>
      <c r="H121" s="129" t="s">
        <v>112</v>
      </c>
      <c r="I121" s="129">
        <v>261.33080000000001</v>
      </c>
    </row>
    <row r="122" spans="1:9" ht="15" hidden="1">
      <c r="A122" s="128" t="s">
        <v>154</v>
      </c>
      <c r="B122" s="128" t="s">
        <v>109</v>
      </c>
      <c r="C122" s="128">
        <v>-475.62529999999998</v>
      </c>
      <c r="D122" s="128" t="s">
        <v>110</v>
      </c>
      <c r="E122" s="128">
        <v>52.398899999999998</v>
      </c>
      <c r="F122" s="127"/>
      <c r="G122" s="129" t="s">
        <v>154</v>
      </c>
      <c r="H122" s="129" t="s">
        <v>109</v>
      </c>
      <c r="I122" s="129">
        <v>285.66739999999999</v>
      </c>
    </row>
    <row r="123" spans="1:9" ht="15" hidden="1">
      <c r="A123" s="128" t="s">
        <v>154</v>
      </c>
      <c r="B123" s="128" t="s">
        <v>111</v>
      </c>
      <c r="C123" s="128">
        <v>-5.7679999999999998</v>
      </c>
      <c r="D123" s="128" t="s">
        <v>110</v>
      </c>
      <c r="E123" s="128">
        <v>218.02500000000001</v>
      </c>
      <c r="F123" s="127"/>
      <c r="G123" s="129" t="s">
        <v>154</v>
      </c>
      <c r="H123" s="129" t="s">
        <v>111</v>
      </c>
      <c r="I123" s="129">
        <v>162.48320000000001</v>
      </c>
    </row>
    <row r="124" spans="1:9" ht="15" hidden="1">
      <c r="A124" s="128" t="s">
        <v>154</v>
      </c>
      <c r="B124" s="128" t="s">
        <v>112</v>
      </c>
      <c r="C124" s="128">
        <v>-313.53370000000001</v>
      </c>
      <c r="D124" s="128" t="s">
        <v>110</v>
      </c>
      <c r="E124" s="128">
        <v>138.11240000000001</v>
      </c>
      <c r="F124" s="127"/>
      <c r="G124" s="129" t="s">
        <v>154</v>
      </c>
      <c r="H124" s="129" t="s">
        <v>112</v>
      </c>
      <c r="I124" s="129">
        <v>242.34180000000001</v>
      </c>
    </row>
    <row r="125" spans="1:9" ht="15" hidden="1">
      <c r="A125" s="128" t="s">
        <v>155</v>
      </c>
      <c r="B125" s="128" t="s">
        <v>109</v>
      </c>
      <c r="C125" s="128">
        <v>-350.21719999999999</v>
      </c>
      <c r="D125" s="128" t="s">
        <v>110</v>
      </c>
      <c r="E125" s="128">
        <v>74.728800000000007</v>
      </c>
      <c r="F125" s="127"/>
      <c r="G125" s="129" t="s">
        <v>155</v>
      </c>
      <c r="H125" s="129" t="s">
        <v>109</v>
      </c>
      <c r="I125" s="129">
        <v>144.52180000000001</v>
      </c>
    </row>
    <row r="126" spans="1:9" ht="15" hidden="1">
      <c r="A126" s="128" t="s">
        <v>155</v>
      </c>
      <c r="B126" s="128" t="s">
        <v>111</v>
      </c>
      <c r="C126" s="128">
        <v>-54.5565</v>
      </c>
      <c r="D126" s="128" t="s">
        <v>110</v>
      </c>
      <c r="E126" s="128">
        <v>149.4956</v>
      </c>
      <c r="F126" s="127"/>
      <c r="G126" s="129" t="s">
        <v>155</v>
      </c>
      <c r="H126" s="129" t="s">
        <v>111</v>
      </c>
      <c r="I126" s="129">
        <v>61.593600000000002</v>
      </c>
    </row>
    <row r="127" spans="1:9" ht="15" hidden="1">
      <c r="A127" s="128" t="s">
        <v>155</v>
      </c>
      <c r="B127" s="128" t="s">
        <v>112</v>
      </c>
      <c r="C127" s="128">
        <v>-328.68419999999998</v>
      </c>
      <c r="D127" s="128" t="s">
        <v>110</v>
      </c>
      <c r="E127" s="128">
        <v>171.1584</v>
      </c>
      <c r="F127" s="127"/>
      <c r="G127" s="129" t="s">
        <v>155</v>
      </c>
      <c r="H127" s="129" t="s">
        <v>112</v>
      </c>
      <c r="I127" s="129">
        <v>195.72389999999999</v>
      </c>
    </row>
    <row r="128" spans="1:9" ht="15" hidden="1">
      <c r="A128" s="128" t="s">
        <v>156</v>
      </c>
      <c r="B128" s="128" t="s">
        <v>109</v>
      </c>
      <c r="C128" s="128">
        <v>-371.82299999999998</v>
      </c>
      <c r="D128" s="128" t="s">
        <v>110</v>
      </c>
      <c r="E128" s="128">
        <v>2.8370000000000002</v>
      </c>
      <c r="F128" s="127"/>
      <c r="G128" s="129" t="s">
        <v>156</v>
      </c>
      <c r="H128" s="129" t="s">
        <v>109</v>
      </c>
      <c r="I128" s="129">
        <v>220.53909999999999</v>
      </c>
    </row>
    <row r="129" spans="1:9" ht="15" hidden="1">
      <c r="A129" s="128" t="s">
        <v>156</v>
      </c>
      <c r="B129" s="128" t="s">
        <v>111</v>
      </c>
      <c r="C129" s="128">
        <v>-5.3395999999999999</v>
      </c>
      <c r="D129" s="128" t="s">
        <v>110</v>
      </c>
      <c r="E129" s="128">
        <v>227.18029999999999</v>
      </c>
      <c r="F129" s="127"/>
      <c r="G129" s="129" t="s">
        <v>156</v>
      </c>
      <c r="H129" s="129" t="s">
        <v>111</v>
      </c>
      <c r="I129" s="129">
        <v>100.5715</v>
      </c>
    </row>
    <row r="130" spans="1:9" ht="15" hidden="1">
      <c r="A130" s="128" t="s">
        <v>156</v>
      </c>
      <c r="B130" s="128" t="s">
        <v>112</v>
      </c>
      <c r="C130" s="128">
        <v>-342.2312</v>
      </c>
      <c r="D130" s="128" t="s">
        <v>110</v>
      </c>
      <c r="E130" s="128">
        <v>162.18549999999999</v>
      </c>
      <c r="F130" s="127"/>
      <c r="G130" s="129" t="s">
        <v>156</v>
      </c>
      <c r="H130" s="129" t="s">
        <v>112</v>
      </c>
      <c r="I130" s="129">
        <v>263.02940000000001</v>
      </c>
    </row>
    <row r="131" spans="1:9" ht="15" hidden="1">
      <c r="A131" s="128" t="s">
        <v>157</v>
      </c>
      <c r="B131" s="128" t="s">
        <v>109</v>
      </c>
      <c r="C131" s="128">
        <v>-822.60709999999995</v>
      </c>
      <c r="D131" s="128" t="s">
        <v>110</v>
      </c>
      <c r="E131" s="128">
        <v>73.003699999999995</v>
      </c>
      <c r="F131" s="127"/>
      <c r="G131" s="129" t="s">
        <v>157</v>
      </c>
      <c r="H131" s="129" t="s">
        <v>109</v>
      </c>
      <c r="I131" s="129">
        <v>448.38380000000001</v>
      </c>
    </row>
    <row r="132" spans="1:9" ht="15" hidden="1">
      <c r="A132" s="128" t="s">
        <v>157</v>
      </c>
      <c r="B132" s="128" t="s">
        <v>111</v>
      </c>
      <c r="C132" s="128">
        <v>0</v>
      </c>
      <c r="D132" s="128" t="s">
        <v>110</v>
      </c>
      <c r="E132" s="128">
        <v>396.77480000000003</v>
      </c>
      <c r="F132" s="127"/>
      <c r="G132" s="129" t="s">
        <v>157</v>
      </c>
      <c r="H132" s="129" t="s">
        <v>111</v>
      </c>
      <c r="I132" s="129">
        <v>181.11320000000001</v>
      </c>
    </row>
    <row r="133" spans="1:9" ht="15" hidden="1">
      <c r="A133" s="128" t="s">
        <v>157</v>
      </c>
      <c r="B133" s="128" t="s">
        <v>112</v>
      </c>
      <c r="C133" s="128">
        <v>-376.04050000000001</v>
      </c>
      <c r="D133" s="128" t="s">
        <v>110</v>
      </c>
      <c r="E133" s="128">
        <v>146.09119999999999</v>
      </c>
      <c r="F133" s="127"/>
      <c r="G133" s="129" t="s">
        <v>157</v>
      </c>
      <c r="H133" s="129" t="s">
        <v>112</v>
      </c>
      <c r="I133" s="129">
        <v>266.83390000000003</v>
      </c>
    </row>
    <row r="134" spans="1:9" ht="15" hidden="1">
      <c r="A134" s="128" t="s">
        <v>158</v>
      </c>
      <c r="B134" s="128" t="s">
        <v>109</v>
      </c>
      <c r="C134" s="128">
        <v>-348.09480000000002</v>
      </c>
      <c r="D134" s="128" t="s">
        <v>110</v>
      </c>
      <c r="E134" s="128">
        <v>228.56219999999999</v>
      </c>
      <c r="F134" s="127"/>
      <c r="G134" s="129" t="s">
        <v>158</v>
      </c>
      <c r="H134" s="129" t="s">
        <v>109</v>
      </c>
      <c r="I134" s="129">
        <v>216.5737</v>
      </c>
    </row>
    <row r="135" spans="1:9" ht="15" hidden="1">
      <c r="A135" s="128" t="s">
        <v>158</v>
      </c>
      <c r="B135" s="128" t="s">
        <v>111</v>
      </c>
      <c r="C135" s="128">
        <v>-33.058700000000002</v>
      </c>
      <c r="D135" s="128" t="s">
        <v>110</v>
      </c>
      <c r="E135" s="128">
        <v>273.44110000000001</v>
      </c>
      <c r="F135" s="127"/>
      <c r="G135" s="129" t="s">
        <v>158</v>
      </c>
      <c r="H135" s="129" t="s">
        <v>111</v>
      </c>
      <c r="I135" s="129">
        <v>290.61810000000003</v>
      </c>
    </row>
    <row r="136" spans="1:9" ht="15" hidden="1">
      <c r="A136" s="128" t="s">
        <v>158</v>
      </c>
      <c r="B136" s="128" t="s">
        <v>112</v>
      </c>
      <c r="C136" s="128">
        <v>-641.18399999999997</v>
      </c>
      <c r="D136" s="128" t="s">
        <v>110</v>
      </c>
      <c r="E136" s="128">
        <v>63.016500000000001</v>
      </c>
      <c r="F136" s="127"/>
      <c r="G136" s="129" t="s">
        <v>158</v>
      </c>
      <c r="H136" s="129" t="s">
        <v>112</v>
      </c>
      <c r="I136" s="129">
        <v>369.32679999999999</v>
      </c>
    </row>
    <row r="137" spans="1:9" ht="15" hidden="1">
      <c r="A137" s="128" t="s">
        <v>159</v>
      </c>
      <c r="B137" s="128" t="s">
        <v>109</v>
      </c>
      <c r="C137" s="128">
        <v>-823.89440000000002</v>
      </c>
      <c r="D137" s="128" t="s">
        <v>110</v>
      </c>
      <c r="E137" s="128">
        <v>74.175399999999996</v>
      </c>
      <c r="F137" s="127"/>
      <c r="G137" s="129" t="s">
        <v>159</v>
      </c>
      <c r="H137" s="129" t="s">
        <v>109</v>
      </c>
      <c r="I137" s="129">
        <v>450.30369999999999</v>
      </c>
    </row>
    <row r="138" spans="1:9" ht="15" hidden="1">
      <c r="A138" s="128" t="s">
        <v>159</v>
      </c>
      <c r="B138" s="128" t="s">
        <v>111</v>
      </c>
      <c r="C138" s="128">
        <v>0</v>
      </c>
      <c r="D138" s="128" t="s">
        <v>110</v>
      </c>
      <c r="E138" s="128">
        <v>397.3057</v>
      </c>
      <c r="F138" s="127"/>
      <c r="G138" s="129" t="s">
        <v>159</v>
      </c>
      <c r="H138" s="129" t="s">
        <v>111</v>
      </c>
      <c r="I138" s="129">
        <v>181.39080000000001</v>
      </c>
    </row>
    <row r="139" spans="1:9" ht="15" hidden="1">
      <c r="A139" s="128" t="s">
        <v>159</v>
      </c>
      <c r="B139" s="128" t="s">
        <v>112</v>
      </c>
      <c r="C139" s="128">
        <v>-376.79250000000002</v>
      </c>
      <c r="D139" s="128" t="s">
        <v>110</v>
      </c>
      <c r="E139" s="128">
        <v>145.88399999999999</v>
      </c>
      <c r="F139" s="127"/>
      <c r="G139" s="129" t="s">
        <v>159</v>
      </c>
      <c r="H139" s="129" t="s">
        <v>112</v>
      </c>
      <c r="I139" s="129">
        <v>267.11110000000002</v>
      </c>
    </row>
    <row r="140" spans="1:9" ht="15" hidden="1">
      <c r="A140" s="128" t="s">
        <v>160</v>
      </c>
      <c r="B140" s="128" t="s">
        <v>109</v>
      </c>
      <c r="C140" s="128">
        <v>-353.6925</v>
      </c>
      <c r="D140" s="128" t="s">
        <v>110</v>
      </c>
      <c r="E140" s="128">
        <v>225.20779999999999</v>
      </c>
      <c r="F140" s="127"/>
      <c r="G140" s="129" t="s">
        <v>160</v>
      </c>
      <c r="H140" s="129" t="s">
        <v>109</v>
      </c>
      <c r="I140" s="129">
        <v>217.78659999999999</v>
      </c>
    </row>
    <row r="141" spans="1:9" ht="15" hidden="1">
      <c r="A141" s="128" t="s">
        <v>160</v>
      </c>
      <c r="B141" s="128" t="s">
        <v>111</v>
      </c>
      <c r="C141" s="128">
        <v>-31.943200000000001</v>
      </c>
      <c r="D141" s="128" t="s">
        <v>110</v>
      </c>
      <c r="E141" s="128">
        <v>271.96710000000002</v>
      </c>
      <c r="F141" s="127"/>
      <c r="G141" s="129" t="s">
        <v>160</v>
      </c>
      <c r="H141" s="129" t="s">
        <v>111</v>
      </c>
      <c r="I141" s="129">
        <v>286.75130000000001</v>
      </c>
    </row>
    <row r="142" spans="1:9" ht="15" hidden="1">
      <c r="A142" s="128" t="s">
        <v>160</v>
      </c>
      <c r="B142" s="128" t="s">
        <v>112</v>
      </c>
      <c r="C142" s="128">
        <v>-630.93730000000005</v>
      </c>
      <c r="D142" s="128" t="s">
        <v>110</v>
      </c>
      <c r="E142" s="128">
        <v>67.428200000000004</v>
      </c>
      <c r="F142" s="127"/>
      <c r="G142" s="129" t="s">
        <v>160</v>
      </c>
      <c r="H142" s="129" t="s">
        <v>112</v>
      </c>
      <c r="I142" s="129">
        <v>365.4588</v>
      </c>
    </row>
    <row r="143" spans="1:9" ht="15" hidden="1">
      <c r="A143" s="128" t="s">
        <v>161</v>
      </c>
      <c r="B143" s="128" t="s">
        <v>109</v>
      </c>
      <c r="C143" s="128">
        <v>-767.0933</v>
      </c>
      <c r="D143" s="128" t="s">
        <v>110</v>
      </c>
      <c r="E143" s="128">
        <v>0</v>
      </c>
      <c r="F143" s="127"/>
      <c r="G143" s="129" t="s">
        <v>161</v>
      </c>
      <c r="H143" s="129" t="s">
        <v>109</v>
      </c>
      <c r="I143" s="129">
        <v>373.87329999999997</v>
      </c>
    </row>
    <row r="144" spans="1:9" ht="15" hidden="1">
      <c r="A144" s="128" t="s">
        <v>161</v>
      </c>
      <c r="B144" s="128" t="s">
        <v>111</v>
      </c>
      <c r="C144" s="128">
        <v>0</v>
      </c>
      <c r="D144" s="128" t="s">
        <v>110</v>
      </c>
      <c r="E144" s="128">
        <v>367.14909999999998</v>
      </c>
      <c r="F144" s="127"/>
      <c r="G144" s="129" t="s">
        <v>161</v>
      </c>
      <c r="H144" s="129" t="s">
        <v>111</v>
      </c>
      <c r="I144" s="129">
        <v>266.5763</v>
      </c>
    </row>
    <row r="145" spans="1:9" ht="15" hidden="1">
      <c r="A145" s="128" t="s">
        <v>161</v>
      </c>
      <c r="B145" s="128" t="s">
        <v>112</v>
      </c>
      <c r="C145" s="128">
        <v>-320.39510000000001</v>
      </c>
      <c r="D145" s="128" t="s">
        <v>110</v>
      </c>
      <c r="E145" s="128">
        <v>160.11789999999999</v>
      </c>
      <c r="F145" s="127"/>
      <c r="G145" s="129" t="s">
        <v>161</v>
      </c>
      <c r="H145" s="129" t="s">
        <v>112</v>
      </c>
      <c r="I145" s="129">
        <v>266.19529999999997</v>
      </c>
    </row>
    <row r="146" spans="1:9" ht="15" hidden="1">
      <c r="A146" s="128" t="s">
        <v>162</v>
      </c>
      <c r="B146" s="128" t="s">
        <v>109</v>
      </c>
      <c r="C146" s="128">
        <v>-476.9658</v>
      </c>
      <c r="D146" s="128" t="s">
        <v>110</v>
      </c>
      <c r="E146" s="128">
        <v>60.989899999999999</v>
      </c>
      <c r="F146" s="118"/>
      <c r="G146" s="129" t="s">
        <v>162</v>
      </c>
      <c r="H146" s="129" t="s">
        <v>109</v>
      </c>
      <c r="I146" s="129">
        <v>289.38510000000002</v>
      </c>
    </row>
    <row r="147" spans="1:9" ht="15" hidden="1">
      <c r="A147" s="128" t="s">
        <v>162</v>
      </c>
      <c r="B147" s="128" t="s">
        <v>111</v>
      </c>
      <c r="C147" s="128">
        <v>-6.6505000000000001</v>
      </c>
      <c r="D147" s="128" t="s">
        <v>110</v>
      </c>
      <c r="E147" s="128">
        <v>223.50460000000001</v>
      </c>
      <c r="F147" s="118"/>
      <c r="G147" s="129" t="s">
        <v>162</v>
      </c>
      <c r="H147" s="129" t="s">
        <v>111</v>
      </c>
      <c r="I147" s="129">
        <v>168.33269999999999</v>
      </c>
    </row>
    <row r="148" spans="1:9" ht="15" hidden="1">
      <c r="A148" s="128" t="s">
        <v>162</v>
      </c>
      <c r="B148" s="128" t="s">
        <v>112</v>
      </c>
      <c r="C148" s="128">
        <v>-324.58150000000001</v>
      </c>
      <c r="D148" s="128" t="s">
        <v>110</v>
      </c>
      <c r="E148" s="128">
        <v>142.58949999999999</v>
      </c>
      <c r="F148" s="118"/>
      <c r="G148" s="129" t="s">
        <v>162</v>
      </c>
      <c r="H148" s="129" t="s">
        <v>112</v>
      </c>
      <c r="I148" s="129">
        <v>250.36680000000001</v>
      </c>
    </row>
    <row r="149" spans="1:9" ht="15" hidden="1">
      <c r="A149" s="128" t="s">
        <v>163</v>
      </c>
      <c r="B149" s="128" t="s">
        <v>109</v>
      </c>
      <c r="C149" s="128">
        <v>-678.88329999999996</v>
      </c>
      <c r="D149" s="128" t="s">
        <v>110</v>
      </c>
      <c r="E149" s="128">
        <v>0</v>
      </c>
      <c r="F149" s="118"/>
      <c r="G149" s="129" t="s">
        <v>163</v>
      </c>
      <c r="H149" s="129" t="s">
        <v>109</v>
      </c>
      <c r="I149" s="129">
        <v>335.23090000000002</v>
      </c>
    </row>
    <row r="150" spans="1:9" ht="15" hidden="1">
      <c r="A150" s="128" t="s">
        <v>163</v>
      </c>
      <c r="B150" s="128" t="s">
        <v>111</v>
      </c>
      <c r="C150" s="128">
        <v>0</v>
      </c>
      <c r="D150" s="128" t="s">
        <v>110</v>
      </c>
      <c r="E150" s="128">
        <v>350.51799999999997</v>
      </c>
      <c r="F150" s="118"/>
      <c r="G150" s="129" t="s">
        <v>163</v>
      </c>
      <c r="H150" s="129" t="s">
        <v>111</v>
      </c>
      <c r="I150" s="129">
        <v>155.0284</v>
      </c>
    </row>
    <row r="151" spans="1:9" ht="15" hidden="1">
      <c r="A151" s="128" t="s">
        <v>163</v>
      </c>
      <c r="B151" s="128" t="s">
        <v>112</v>
      </c>
      <c r="C151" s="128">
        <v>-310.12819999999999</v>
      </c>
      <c r="D151" s="128" t="s">
        <v>110</v>
      </c>
      <c r="E151" s="128">
        <v>146.48159999999999</v>
      </c>
      <c r="F151" s="118"/>
      <c r="G151" s="129" t="s">
        <v>163</v>
      </c>
      <c r="H151" s="129" t="s">
        <v>112</v>
      </c>
      <c r="I151" s="129">
        <v>234.30520000000001</v>
      </c>
    </row>
    <row r="152" spans="1:9" ht="15" hidden="1">
      <c r="A152" s="128" t="s">
        <v>164</v>
      </c>
      <c r="B152" s="128" t="s">
        <v>109</v>
      </c>
      <c r="C152" s="128">
        <v>-323.9135</v>
      </c>
      <c r="D152" s="128" t="s">
        <v>110</v>
      </c>
      <c r="E152" s="128">
        <v>32.569600000000001</v>
      </c>
      <c r="F152" s="118"/>
      <c r="G152" s="129" t="s">
        <v>164</v>
      </c>
      <c r="H152" s="129" t="s">
        <v>109</v>
      </c>
      <c r="I152" s="129">
        <v>150.26920000000001</v>
      </c>
    </row>
    <row r="153" spans="1:9" ht="15" hidden="1">
      <c r="A153" s="128" t="s">
        <v>164</v>
      </c>
      <c r="B153" s="128" t="s">
        <v>111</v>
      </c>
      <c r="C153" s="128">
        <v>-40.876899999999999</v>
      </c>
      <c r="D153" s="128" t="s">
        <v>110</v>
      </c>
      <c r="E153" s="128">
        <v>127.407</v>
      </c>
      <c r="F153" s="118"/>
      <c r="G153" s="129" t="s">
        <v>164</v>
      </c>
      <c r="H153" s="129" t="s">
        <v>111</v>
      </c>
      <c r="I153" s="129">
        <v>79.563800000000001</v>
      </c>
    </row>
    <row r="154" spans="1:9" ht="15" hidden="1">
      <c r="A154" s="128" t="s">
        <v>164</v>
      </c>
      <c r="B154" s="128" t="s">
        <v>112</v>
      </c>
      <c r="C154" s="128">
        <v>-167.1891</v>
      </c>
      <c r="D154" s="128" t="s">
        <v>110</v>
      </c>
      <c r="E154" s="128">
        <v>136.33430000000001</v>
      </c>
      <c r="F154" s="118"/>
      <c r="G154" s="129" t="s">
        <v>164</v>
      </c>
      <c r="H154" s="129" t="s">
        <v>112</v>
      </c>
      <c r="I154" s="129">
        <v>110.2063</v>
      </c>
    </row>
    <row r="155" spans="1:9" ht="15" hidden="1">
      <c r="A155" s="128" t="s">
        <v>165</v>
      </c>
      <c r="B155" s="128" t="s">
        <v>109</v>
      </c>
      <c r="C155" s="128">
        <v>-286.57600000000002</v>
      </c>
      <c r="D155" s="128" t="s">
        <v>110</v>
      </c>
      <c r="E155" s="128">
        <v>142.69970000000001</v>
      </c>
      <c r="F155" s="118"/>
      <c r="G155" s="129" t="s">
        <v>165</v>
      </c>
      <c r="H155" s="129" t="s">
        <v>109</v>
      </c>
      <c r="I155" s="129">
        <v>119.1122</v>
      </c>
    </row>
    <row r="156" spans="1:9" ht="15" hidden="1">
      <c r="A156" s="128" t="s">
        <v>165</v>
      </c>
      <c r="B156" s="128" t="s">
        <v>111</v>
      </c>
      <c r="C156" s="128">
        <v>-23.183</v>
      </c>
      <c r="D156" s="128" t="s">
        <v>110</v>
      </c>
      <c r="E156" s="128">
        <v>147.10589999999999</v>
      </c>
      <c r="F156" s="118"/>
      <c r="G156" s="129" t="s">
        <v>165</v>
      </c>
      <c r="H156" s="129" t="s">
        <v>111</v>
      </c>
      <c r="I156" s="129">
        <v>116.05629999999999</v>
      </c>
    </row>
    <row r="157" spans="1:9" ht="15" hidden="1">
      <c r="A157" s="128" t="s">
        <v>165</v>
      </c>
      <c r="B157" s="128" t="s">
        <v>112</v>
      </c>
      <c r="C157" s="128">
        <v>-361.29750000000001</v>
      </c>
      <c r="D157" s="128" t="s">
        <v>110</v>
      </c>
      <c r="E157" s="128">
        <v>91.818799999999996</v>
      </c>
      <c r="F157" s="118"/>
      <c r="G157" s="129" t="s">
        <v>165</v>
      </c>
      <c r="H157" s="129" t="s">
        <v>112</v>
      </c>
      <c r="I157" s="129">
        <v>173.92339999999999</v>
      </c>
    </row>
    <row r="158" spans="1:9" ht="15" hidden="1">
      <c r="A158" s="128" t="s">
        <v>166</v>
      </c>
      <c r="B158" s="128" t="s">
        <v>109</v>
      </c>
      <c r="C158" s="128">
        <v>-357.76949999999999</v>
      </c>
      <c r="D158" s="128" t="s">
        <v>110</v>
      </c>
      <c r="E158" s="128">
        <v>94.179500000000004</v>
      </c>
      <c r="F158" s="118"/>
      <c r="G158" s="129" t="s">
        <v>166</v>
      </c>
      <c r="H158" s="129" t="s">
        <v>109</v>
      </c>
      <c r="I158" s="129">
        <v>138.15010000000001</v>
      </c>
    </row>
    <row r="159" spans="1:9" ht="15" hidden="1">
      <c r="A159" s="128" t="s">
        <v>166</v>
      </c>
      <c r="B159" s="128" t="s">
        <v>111</v>
      </c>
      <c r="C159" s="128">
        <v>-20.933199999999999</v>
      </c>
      <c r="D159" s="128" t="s">
        <v>110</v>
      </c>
      <c r="E159" s="128">
        <v>145.8175</v>
      </c>
      <c r="F159" s="118"/>
      <c r="G159" s="129" t="s">
        <v>166</v>
      </c>
      <c r="H159" s="129" t="s">
        <v>111</v>
      </c>
      <c r="I159" s="129">
        <v>96.969899999999996</v>
      </c>
    </row>
    <row r="160" spans="1:9" ht="15" hidden="1">
      <c r="A160" s="128" t="s">
        <v>166</v>
      </c>
      <c r="B160" s="128" t="s">
        <v>112</v>
      </c>
      <c r="C160" s="128">
        <v>-289.9384</v>
      </c>
      <c r="D160" s="128" t="s">
        <v>110</v>
      </c>
      <c r="E160" s="128">
        <v>140.2165</v>
      </c>
      <c r="F160" s="118"/>
      <c r="G160" s="129" t="s">
        <v>166</v>
      </c>
      <c r="H160" s="129" t="s">
        <v>112</v>
      </c>
      <c r="I160" s="129">
        <v>152.83410000000001</v>
      </c>
    </row>
    <row r="161" spans="1:9" ht="15" hidden="1">
      <c r="A161" s="128" t="s">
        <v>167</v>
      </c>
      <c r="B161" s="128" t="s">
        <v>109</v>
      </c>
      <c r="C161" s="128">
        <v>-327.12180000000001</v>
      </c>
      <c r="D161" s="128" t="s">
        <v>110</v>
      </c>
      <c r="E161" s="128">
        <v>172.9093</v>
      </c>
      <c r="F161" s="118"/>
      <c r="G161" s="129" t="s">
        <v>167</v>
      </c>
      <c r="H161" s="129" t="s">
        <v>109</v>
      </c>
      <c r="I161" s="129">
        <v>81.296300000000002</v>
      </c>
    </row>
    <row r="162" spans="1:9" ht="15" hidden="1">
      <c r="A162" s="128" t="s">
        <v>167</v>
      </c>
      <c r="B162" s="128" t="s">
        <v>111</v>
      </c>
      <c r="C162" s="128">
        <v>-55.572000000000003</v>
      </c>
      <c r="D162" s="128" t="s">
        <v>110</v>
      </c>
      <c r="E162" s="128">
        <v>151.57390000000001</v>
      </c>
      <c r="F162" s="118"/>
      <c r="G162" s="129" t="s">
        <v>167</v>
      </c>
      <c r="H162" s="129" t="s">
        <v>111</v>
      </c>
      <c r="I162" s="129">
        <v>123.9522</v>
      </c>
    </row>
    <row r="163" spans="1:9" ht="15" hidden="1">
      <c r="A163" s="128" t="s">
        <v>167</v>
      </c>
      <c r="B163" s="128" t="s">
        <v>112</v>
      </c>
      <c r="C163" s="128">
        <v>-352.92669999999998</v>
      </c>
      <c r="D163" s="128" t="s">
        <v>110</v>
      </c>
      <c r="E163" s="128">
        <v>72.777000000000001</v>
      </c>
      <c r="F163" s="118"/>
      <c r="G163" s="129" t="s">
        <v>167</v>
      </c>
      <c r="H163" s="129" t="s">
        <v>112</v>
      </c>
      <c r="I163" s="129">
        <v>175.3408</v>
      </c>
    </row>
    <row r="164" spans="1:9" ht="15" hidden="1">
      <c r="A164" s="128" t="s">
        <v>168</v>
      </c>
      <c r="B164" s="128" t="s">
        <v>109</v>
      </c>
      <c r="C164" s="128">
        <v>-238.02350000000001</v>
      </c>
      <c r="D164" s="128" t="s">
        <v>110</v>
      </c>
      <c r="E164" s="128">
        <v>118.8849</v>
      </c>
      <c r="F164" s="118"/>
      <c r="G164" s="129" t="s">
        <v>168</v>
      </c>
      <c r="H164" s="129" t="s">
        <v>109</v>
      </c>
      <c r="I164" s="129">
        <v>103.5487</v>
      </c>
    </row>
    <row r="165" spans="1:9" ht="15" hidden="1">
      <c r="A165" s="128" t="s">
        <v>168</v>
      </c>
      <c r="B165" s="128" t="s">
        <v>111</v>
      </c>
      <c r="C165" s="128">
        <v>-6.0435999999999996</v>
      </c>
      <c r="D165" s="128" t="s">
        <v>110</v>
      </c>
      <c r="E165" s="128">
        <v>142.7501</v>
      </c>
      <c r="F165" s="118"/>
      <c r="G165" s="129" t="s">
        <v>168</v>
      </c>
      <c r="H165" s="129" t="s">
        <v>111</v>
      </c>
      <c r="I165" s="129">
        <v>125.2667</v>
      </c>
    </row>
    <row r="166" spans="1:9" ht="15" hidden="1">
      <c r="A166" s="128" t="s">
        <v>168</v>
      </c>
      <c r="B166" s="128" t="s">
        <v>112</v>
      </c>
      <c r="C166" s="128">
        <v>-338.86989999999997</v>
      </c>
      <c r="D166" s="128" t="s">
        <v>110</v>
      </c>
      <c r="E166" s="128">
        <v>45.410299999999999</v>
      </c>
      <c r="F166" s="118"/>
      <c r="G166" s="129" t="s">
        <v>168</v>
      </c>
      <c r="H166" s="129" t="s">
        <v>112</v>
      </c>
      <c r="I166" s="129">
        <v>178.9931</v>
      </c>
    </row>
    <row r="167" spans="1:9" ht="15" hidden="1">
      <c r="A167" s="128" t="s">
        <v>108</v>
      </c>
      <c r="B167" s="128" t="s">
        <v>109</v>
      </c>
      <c r="C167" s="128">
        <v>-285.19470000000001</v>
      </c>
      <c r="D167" s="128" t="s">
        <v>110</v>
      </c>
      <c r="E167" s="128">
        <v>87.875200000000007</v>
      </c>
      <c r="F167" s="118"/>
      <c r="G167" s="129" t="s">
        <v>108</v>
      </c>
      <c r="H167" s="129" t="s">
        <v>109</v>
      </c>
      <c r="I167" s="129">
        <v>115.4074</v>
      </c>
    </row>
    <row r="168" spans="1:9" ht="15" hidden="1">
      <c r="A168" s="128" t="s">
        <v>108</v>
      </c>
      <c r="B168" s="128" t="s">
        <v>111</v>
      </c>
      <c r="C168" s="128">
        <v>0</v>
      </c>
      <c r="D168" s="128" t="s">
        <v>110</v>
      </c>
      <c r="E168" s="128">
        <v>124.1323</v>
      </c>
      <c r="F168" s="118"/>
      <c r="G168" s="129" t="s">
        <v>108</v>
      </c>
      <c r="H168" s="129" t="s">
        <v>111</v>
      </c>
      <c r="I168" s="129">
        <v>108.4937</v>
      </c>
    </row>
    <row r="169" spans="1:9" ht="15" hidden="1">
      <c r="A169" s="128" t="s">
        <v>108</v>
      </c>
      <c r="B169" s="128" t="s">
        <v>112</v>
      </c>
      <c r="C169" s="128">
        <v>-290.75310000000002</v>
      </c>
      <c r="D169" s="128" t="s">
        <v>110</v>
      </c>
      <c r="E169" s="128">
        <v>84.072400000000002</v>
      </c>
      <c r="F169" s="118"/>
      <c r="G169" s="129" t="s">
        <v>108</v>
      </c>
      <c r="H169" s="129" t="s">
        <v>112</v>
      </c>
      <c r="I169" s="129">
        <v>165.3528</v>
      </c>
    </row>
    <row r="170" spans="1:9" ht="15" hidden="1">
      <c r="A170" s="128" t="s">
        <v>169</v>
      </c>
      <c r="B170" s="128" t="s">
        <v>109</v>
      </c>
      <c r="C170" s="128">
        <v>-334.2978</v>
      </c>
      <c r="D170" s="128" t="s">
        <v>110</v>
      </c>
      <c r="E170" s="128">
        <v>50.2134</v>
      </c>
      <c r="F170" s="118"/>
      <c r="G170" s="129" t="s">
        <v>169</v>
      </c>
      <c r="H170" s="129" t="s">
        <v>109</v>
      </c>
      <c r="I170" s="129">
        <v>177.57679999999999</v>
      </c>
    </row>
    <row r="171" spans="1:9" ht="15" hidden="1">
      <c r="A171" s="128" t="s">
        <v>169</v>
      </c>
      <c r="B171" s="128" t="s">
        <v>111</v>
      </c>
      <c r="C171" s="128">
        <v>-2.7888999999999999</v>
      </c>
      <c r="D171" s="128" t="s">
        <v>110</v>
      </c>
      <c r="E171" s="128">
        <v>141.03049999999999</v>
      </c>
      <c r="F171" s="118"/>
      <c r="G171" s="129" t="s">
        <v>169</v>
      </c>
      <c r="H171" s="129" t="s">
        <v>111</v>
      </c>
      <c r="I171" s="129">
        <v>95.718800000000002</v>
      </c>
    </row>
    <row r="172" spans="1:9" ht="15" hidden="1">
      <c r="A172" s="128" t="s">
        <v>169</v>
      </c>
      <c r="B172" s="128" t="s">
        <v>112</v>
      </c>
      <c r="C172" s="128">
        <v>-243.03870000000001</v>
      </c>
      <c r="D172" s="128" t="s">
        <v>110</v>
      </c>
      <c r="E172" s="128">
        <v>115.63290000000001</v>
      </c>
      <c r="F172" s="118"/>
      <c r="G172" s="129" t="s">
        <v>169</v>
      </c>
      <c r="H172" s="129" t="s">
        <v>112</v>
      </c>
      <c r="I172" s="129">
        <v>154.0582</v>
      </c>
    </row>
    <row r="173" spans="1:9" ht="15" hidden="1">
      <c r="A173" s="128" t="s">
        <v>170</v>
      </c>
      <c r="B173" s="128" t="s">
        <v>109</v>
      </c>
      <c r="C173" s="128">
        <v>-115.2872</v>
      </c>
      <c r="D173" s="128" t="s">
        <v>110</v>
      </c>
      <c r="E173" s="128">
        <v>165.1936</v>
      </c>
      <c r="F173" s="118"/>
      <c r="G173" s="129" t="s">
        <v>170</v>
      </c>
      <c r="H173" s="129" t="s">
        <v>109</v>
      </c>
      <c r="I173" s="129">
        <v>74.4846</v>
      </c>
    </row>
    <row r="174" spans="1:9" ht="15" hidden="1">
      <c r="A174" s="128" t="s">
        <v>170</v>
      </c>
      <c r="B174" s="128" t="s">
        <v>111</v>
      </c>
      <c r="C174" s="128">
        <v>-42.949300000000001</v>
      </c>
      <c r="D174" s="128" t="s">
        <v>110</v>
      </c>
      <c r="E174" s="128">
        <v>173.87119999999999</v>
      </c>
      <c r="F174" s="118"/>
      <c r="G174" s="129" t="s">
        <v>170</v>
      </c>
      <c r="H174" s="129" t="s">
        <v>111</v>
      </c>
      <c r="I174" s="129">
        <v>132.1123</v>
      </c>
    </row>
    <row r="175" spans="1:9" ht="15" hidden="1">
      <c r="A175" s="128" t="s">
        <v>170</v>
      </c>
      <c r="B175" s="128" t="s">
        <v>112</v>
      </c>
      <c r="C175" s="128">
        <v>-408.77190000000002</v>
      </c>
      <c r="D175" s="128" t="s">
        <v>110</v>
      </c>
      <c r="E175" s="128">
        <v>0</v>
      </c>
      <c r="F175" s="118"/>
      <c r="G175" s="129" t="s">
        <v>170</v>
      </c>
      <c r="H175" s="129" t="s">
        <v>112</v>
      </c>
      <c r="I175" s="129">
        <v>177.42959999999999</v>
      </c>
    </row>
    <row r="176" spans="1:9" ht="15" hidden="1">
      <c r="A176" s="128" t="s">
        <v>171</v>
      </c>
      <c r="B176" s="128" t="s">
        <v>109</v>
      </c>
      <c r="C176" s="128">
        <v>-231.6336</v>
      </c>
      <c r="D176" s="128" t="s">
        <v>110</v>
      </c>
      <c r="E176" s="128">
        <v>77.710899999999995</v>
      </c>
      <c r="F176" s="118"/>
      <c r="G176" s="129" t="s">
        <v>171</v>
      </c>
      <c r="H176" s="129" t="s">
        <v>109</v>
      </c>
      <c r="I176" s="129">
        <v>99.698499999999996</v>
      </c>
    </row>
    <row r="177" spans="1:9" ht="15" hidden="1">
      <c r="A177" s="128" t="s">
        <v>171</v>
      </c>
      <c r="B177" s="128" t="s">
        <v>111</v>
      </c>
      <c r="C177" s="128">
        <v>-8.4016999999999999</v>
      </c>
      <c r="D177" s="128" t="s">
        <v>110</v>
      </c>
      <c r="E177" s="128">
        <v>108.5265</v>
      </c>
      <c r="F177" s="118"/>
      <c r="G177" s="129" t="s">
        <v>171</v>
      </c>
      <c r="H177" s="129" t="s">
        <v>111</v>
      </c>
      <c r="I177" s="129">
        <v>76.769499999999994</v>
      </c>
    </row>
    <row r="178" spans="1:9" ht="15" hidden="1">
      <c r="A178" s="128" t="s">
        <v>171</v>
      </c>
      <c r="B178" s="128" t="s">
        <v>112</v>
      </c>
      <c r="C178" s="128">
        <v>-235.1095</v>
      </c>
      <c r="D178" s="128" t="s">
        <v>110</v>
      </c>
      <c r="E178" s="128">
        <v>76.891199999999998</v>
      </c>
      <c r="F178" s="118"/>
      <c r="G178" s="129" t="s">
        <v>171</v>
      </c>
      <c r="H178" s="129" t="s">
        <v>112</v>
      </c>
      <c r="I178" s="129">
        <v>133.36250000000001</v>
      </c>
    </row>
    <row r="179" spans="1:9" ht="15" hidden="1">
      <c r="A179" s="128" t="s">
        <v>172</v>
      </c>
      <c r="B179" s="128" t="s">
        <v>109</v>
      </c>
      <c r="C179" s="128">
        <v>-391.83319999999998</v>
      </c>
      <c r="D179" s="128" t="s">
        <v>110</v>
      </c>
      <c r="E179" s="128">
        <v>0</v>
      </c>
      <c r="F179" s="118"/>
      <c r="G179" s="129" t="s">
        <v>172</v>
      </c>
      <c r="H179" s="129" t="s">
        <v>109</v>
      </c>
      <c r="I179" s="129">
        <v>171.8271</v>
      </c>
    </row>
    <row r="180" spans="1:9" ht="15" hidden="1">
      <c r="A180" s="128" t="s">
        <v>172</v>
      </c>
      <c r="B180" s="128" t="s">
        <v>111</v>
      </c>
      <c r="C180" s="128">
        <v>-38.445500000000003</v>
      </c>
      <c r="D180" s="128" t="s">
        <v>110</v>
      </c>
      <c r="E180" s="128">
        <v>166.85130000000001</v>
      </c>
      <c r="F180" s="118"/>
      <c r="G180" s="129" t="s">
        <v>172</v>
      </c>
      <c r="H180" s="129" t="s">
        <v>111</v>
      </c>
      <c r="I180" s="129">
        <v>53.244999999999997</v>
      </c>
    </row>
    <row r="181" spans="1:9" ht="15" hidden="1">
      <c r="A181" s="128" t="s">
        <v>172</v>
      </c>
      <c r="B181" s="128" t="s">
        <v>112</v>
      </c>
      <c r="C181" s="128">
        <v>-122.3822</v>
      </c>
      <c r="D181" s="128" t="s">
        <v>110</v>
      </c>
      <c r="E181" s="128">
        <v>157.53380000000001</v>
      </c>
      <c r="F181" s="118"/>
      <c r="G181" s="129" t="s">
        <v>172</v>
      </c>
      <c r="H181" s="129" t="s">
        <v>112</v>
      </c>
      <c r="I181" s="129">
        <v>126.7945</v>
      </c>
    </row>
    <row r="182" spans="1:9" ht="15" hidden="1">
      <c r="A182" s="128" t="s">
        <v>173</v>
      </c>
      <c r="B182" s="128" t="s">
        <v>109</v>
      </c>
      <c r="C182" s="128">
        <v>-339.54950000000002</v>
      </c>
      <c r="D182" s="128" t="s">
        <v>110</v>
      </c>
      <c r="E182" s="128">
        <v>164.21209999999999</v>
      </c>
      <c r="F182" s="118"/>
      <c r="G182" s="129" t="s">
        <v>173</v>
      </c>
      <c r="H182" s="129" t="s">
        <v>109</v>
      </c>
      <c r="I182" s="129">
        <v>262.5684</v>
      </c>
    </row>
    <row r="183" spans="1:9" ht="15" hidden="1">
      <c r="A183" s="128" t="s">
        <v>173</v>
      </c>
      <c r="B183" s="128" t="s">
        <v>111</v>
      </c>
      <c r="C183" s="128">
        <v>-6.1673999999999998</v>
      </c>
      <c r="D183" s="128" t="s">
        <v>110</v>
      </c>
      <c r="E183" s="128">
        <v>227.77160000000001</v>
      </c>
      <c r="F183" s="118"/>
      <c r="G183" s="129" t="s">
        <v>173</v>
      </c>
      <c r="H183" s="129" t="s">
        <v>111</v>
      </c>
      <c r="I183" s="129">
        <v>157.6704</v>
      </c>
    </row>
    <row r="184" spans="1:9" ht="15" hidden="1">
      <c r="A184" s="128" t="s">
        <v>173</v>
      </c>
      <c r="B184" s="128" t="s">
        <v>112</v>
      </c>
      <c r="C184" s="128">
        <v>-374.93270000000001</v>
      </c>
      <c r="D184" s="128" t="s">
        <v>110</v>
      </c>
      <c r="E184" s="128">
        <v>2.3605</v>
      </c>
      <c r="F184" s="118"/>
      <c r="G184" s="129" t="s">
        <v>173</v>
      </c>
      <c r="H184" s="129" t="s">
        <v>112</v>
      </c>
      <c r="I184" s="129">
        <v>221.49690000000001</v>
      </c>
    </row>
    <row r="185" spans="1:9" ht="15" hidden="1">
      <c r="A185" s="128" t="s">
        <v>174</v>
      </c>
      <c r="B185" s="128" t="s">
        <v>109</v>
      </c>
      <c r="C185" s="128">
        <v>-269.0831</v>
      </c>
      <c r="D185" s="128" t="s">
        <v>110</v>
      </c>
      <c r="E185" s="128">
        <v>85.341899999999995</v>
      </c>
      <c r="F185" s="118"/>
      <c r="G185" s="129" t="s">
        <v>174</v>
      </c>
      <c r="H185" s="129" t="s">
        <v>109</v>
      </c>
      <c r="I185" s="129">
        <v>86.888800000000003</v>
      </c>
    </row>
    <row r="186" spans="1:9" ht="15" hidden="1">
      <c r="A186" s="128" t="s">
        <v>174</v>
      </c>
      <c r="B186" s="128" t="s">
        <v>111</v>
      </c>
      <c r="C186" s="128">
        <v>-1.7002999999999999</v>
      </c>
      <c r="D186" s="128" t="s">
        <v>110</v>
      </c>
      <c r="E186" s="128">
        <v>96.561499999999995</v>
      </c>
      <c r="F186" s="118"/>
      <c r="G186" s="129" t="s">
        <v>174</v>
      </c>
      <c r="H186" s="129" t="s">
        <v>111</v>
      </c>
      <c r="I186" s="129">
        <v>74.579300000000003</v>
      </c>
    </row>
    <row r="187" spans="1:9" ht="15" hidden="1">
      <c r="A187" s="128" t="s">
        <v>174</v>
      </c>
      <c r="B187" s="128" t="s">
        <v>112</v>
      </c>
      <c r="C187" s="128">
        <v>-272.47210000000001</v>
      </c>
      <c r="D187" s="128" t="s">
        <v>110</v>
      </c>
      <c r="E187" s="128">
        <v>83.250399999999999</v>
      </c>
      <c r="F187" s="118"/>
      <c r="G187" s="129" t="s">
        <v>174</v>
      </c>
      <c r="H187" s="129" t="s">
        <v>112</v>
      </c>
      <c r="I187" s="129">
        <v>119.2362</v>
      </c>
    </row>
    <row r="188" spans="1:9" ht="15" hidden="1">
      <c r="A188" s="128" t="s">
        <v>175</v>
      </c>
      <c r="B188" s="128" t="s">
        <v>109</v>
      </c>
      <c r="C188" s="128">
        <v>-86.434799999999996</v>
      </c>
      <c r="D188" s="128" t="s">
        <v>110</v>
      </c>
      <c r="E188" s="128">
        <v>47.675400000000003</v>
      </c>
      <c r="F188" s="118"/>
      <c r="G188" s="129" t="s">
        <v>175</v>
      </c>
      <c r="H188" s="129" t="s">
        <v>109</v>
      </c>
      <c r="I188" s="129">
        <v>58.500300000000003</v>
      </c>
    </row>
    <row r="189" spans="1:9" ht="15" hidden="1">
      <c r="A189" s="128" t="s">
        <v>175</v>
      </c>
      <c r="B189" s="128" t="s">
        <v>111</v>
      </c>
      <c r="C189" s="128">
        <v>0</v>
      </c>
      <c r="D189" s="128" t="s">
        <v>110</v>
      </c>
      <c r="E189" s="128">
        <v>126.2743</v>
      </c>
      <c r="F189" s="118"/>
      <c r="G189" s="129" t="s">
        <v>175</v>
      </c>
      <c r="H189" s="129" t="s">
        <v>111</v>
      </c>
      <c r="I189" s="129">
        <v>12.0627</v>
      </c>
    </row>
    <row r="190" spans="1:9" ht="15" hidden="1">
      <c r="A190" s="128" t="s">
        <v>175</v>
      </c>
      <c r="B190" s="128" t="s">
        <v>112</v>
      </c>
      <c r="C190" s="128">
        <v>-38.646000000000001</v>
      </c>
      <c r="D190" s="128" t="s">
        <v>110</v>
      </c>
      <c r="E190" s="128">
        <v>95.656400000000005</v>
      </c>
      <c r="F190" s="118"/>
      <c r="G190" s="129" t="s">
        <v>175</v>
      </c>
      <c r="H190" s="129" t="s">
        <v>112</v>
      </c>
      <c r="I190" s="129">
        <v>82.376999999999995</v>
      </c>
    </row>
    <row r="191" spans="1:9" ht="15" hidden="1">
      <c r="A191" s="128" t="s">
        <v>176</v>
      </c>
      <c r="B191" s="128" t="s">
        <v>109</v>
      </c>
      <c r="C191" s="128">
        <v>-87.062700000000007</v>
      </c>
      <c r="D191" s="128" t="s">
        <v>110</v>
      </c>
      <c r="E191" s="128">
        <v>47.7361</v>
      </c>
      <c r="F191" s="118"/>
      <c r="G191" s="129" t="s">
        <v>176</v>
      </c>
      <c r="H191" s="129" t="s">
        <v>109</v>
      </c>
      <c r="I191" s="129">
        <v>58.4514</v>
      </c>
    </row>
    <row r="192" spans="1:9" ht="15" hidden="1">
      <c r="A192" s="128" t="s">
        <v>176</v>
      </c>
      <c r="B192" s="128" t="s">
        <v>111</v>
      </c>
      <c r="C192" s="128">
        <v>0</v>
      </c>
      <c r="D192" s="128" t="s">
        <v>110</v>
      </c>
      <c r="E192" s="128">
        <v>126.3075</v>
      </c>
      <c r="F192" s="118"/>
      <c r="G192" s="129" t="s">
        <v>176</v>
      </c>
      <c r="H192" s="129" t="s">
        <v>111</v>
      </c>
      <c r="I192" s="129">
        <v>11.77</v>
      </c>
    </row>
    <row r="193" spans="1:9" ht="15" hidden="1">
      <c r="A193" s="128" t="s">
        <v>176</v>
      </c>
      <c r="B193" s="128" t="s">
        <v>112</v>
      </c>
      <c r="C193" s="128">
        <v>-39.075000000000003</v>
      </c>
      <c r="D193" s="128" t="s">
        <v>110</v>
      </c>
      <c r="E193" s="128">
        <v>96.397499999999994</v>
      </c>
      <c r="F193" s="118"/>
      <c r="G193" s="129" t="s">
        <v>176</v>
      </c>
      <c r="H193" s="129" t="s">
        <v>112</v>
      </c>
      <c r="I193" s="129">
        <v>82.164100000000005</v>
      </c>
    </row>
    <row r="194" spans="1:9" ht="15" hidden="1">
      <c r="A194" s="128" t="s">
        <v>177</v>
      </c>
      <c r="B194" s="128" t="s">
        <v>109</v>
      </c>
      <c r="C194" s="128">
        <v>-3.2122999999999999</v>
      </c>
      <c r="D194" s="128" t="s">
        <v>110</v>
      </c>
      <c r="E194" s="128">
        <v>3.5867</v>
      </c>
      <c r="F194" s="118"/>
      <c r="G194" s="129" t="s">
        <v>177</v>
      </c>
      <c r="H194" s="129" t="s">
        <v>109</v>
      </c>
      <c r="I194" s="129">
        <v>84.712000000000003</v>
      </c>
    </row>
    <row r="195" spans="1:9" ht="15" hidden="1">
      <c r="A195" s="128" t="s">
        <v>177</v>
      </c>
      <c r="B195" s="128" t="s">
        <v>111</v>
      </c>
      <c r="C195" s="128">
        <v>-115.3972</v>
      </c>
      <c r="D195" s="128" t="s">
        <v>110</v>
      </c>
      <c r="E195" s="128">
        <v>0</v>
      </c>
      <c r="F195" s="118"/>
      <c r="G195" s="129" t="s">
        <v>177</v>
      </c>
      <c r="H195" s="129" t="s">
        <v>111</v>
      </c>
      <c r="I195" s="129">
        <v>122.1344</v>
      </c>
    </row>
    <row r="196" spans="1:9" ht="15" hidden="1">
      <c r="A196" s="128" t="s">
        <v>177</v>
      </c>
      <c r="B196" s="128" t="s">
        <v>112</v>
      </c>
      <c r="C196" s="128">
        <v>-208.11760000000001</v>
      </c>
      <c r="D196" s="128" t="s">
        <v>110</v>
      </c>
      <c r="E196" s="128">
        <v>0</v>
      </c>
      <c r="F196" s="118"/>
      <c r="G196" s="129" t="s">
        <v>177</v>
      </c>
      <c r="H196" s="129" t="s">
        <v>112</v>
      </c>
      <c r="I196" s="129">
        <v>139.04990000000001</v>
      </c>
    </row>
    <row r="197" spans="1:9" ht="15" hidden="1">
      <c r="A197" s="128" t="s">
        <v>178</v>
      </c>
      <c r="B197" s="128" t="s">
        <v>109</v>
      </c>
      <c r="C197" s="128">
        <v>-13.557600000000001</v>
      </c>
      <c r="D197" s="128" t="s">
        <v>110</v>
      </c>
      <c r="E197" s="128">
        <v>4.3497000000000003</v>
      </c>
      <c r="F197" s="118"/>
      <c r="G197" s="129" t="s">
        <v>178</v>
      </c>
      <c r="H197" s="129" t="s">
        <v>109</v>
      </c>
      <c r="I197" s="129">
        <v>87.380799999999994</v>
      </c>
    </row>
    <row r="198" spans="1:9" ht="15" hidden="1">
      <c r="A198" s="128" t="s">
        <v>178</v>
      </c>
      <c r="B198" s="128" t="s">
        <v>111</v>
      </c>
      <c r="C198" s="128">
        <v>-123.81740000000001</v>
      </c>
      <c r="D198" s="128" t="s">
        <v>110</v>
      </c>
      <c r="E198" s="128">
        <v>0</v>
      </c>
      <c r="F198" s="118"/>
      <c r="G198" s="129" t="s">
        <v>178</v>
      </c>
      <c r="H198" s="129" t="s">
        <v>111</v>
      </c>
      <c r="I198" s="129">
        <v>119.9888</v>
      </c>
    </row>
    <row r="199" spans="1:9" ht="15" hidden="1">
      <c r="A199" s="128" t="s">
        <v>178</v>
      </c>
      <c r="B199" s="128" t="s">
        <v>112</v>
      </c>
      <c r="C199" s="128">
        <v>-213.7038</v>
      </c>
      <c r="D199" s="128" t="s">
        <v>110</v>
      </c>
      <c r="E199" s="128">
        <v>0</v>
      </c>
      <c r="F199" s="118"/>
      <c r="G199" s="129" t="s">
        <v>178</v>
      </c>
      <c r="H199" s="129" t="s">
        <v>112</v>
      </c>
      <c r="I199" s="129">
        <v>133.2122</v>
      </c>
    </row>
    <row r="200" spans="1:9" ht="15" hidden="1">
      <c r="A200" s="128" t="s">
        <v>179</v>
      </c>
      <c r="B200" s="128" t="s">
        <v>109</v>
      </c>
      <c r="C200" s="128">
        <v>-10.075699999999999</v>
      </c>
      <c r="D200" s="128" t="s">
        <v>110</v>
      </c>
      <c r="E200" s="128">
        <v>3.9277000000000002</v>
      </c>
      <c r="F200" s="118"/>
      <c r="G200" s="129" t="s">
        <v>179</v>
      </c>
      <c r="H200" s="129" t="s">
        <v>109</v>
      </c>
      <c r="I200" s="129">
        <v>77.320400000000006</v>
      </c>
    </row>
    <row r="201" spans="1:9" ht="15" hidden="1">
      <c r="A201" s="128" t="s">
        <v>179</v>
      </c>
      <c r="B201" s="128" t="s">
        <v>111</v>
      </c>
      <c r="C201" s="128">
        <v>-112.2402</v>
      </c>
      <c r="D201" s="128" t="s">
        <v>110</v>
      </c>
      <c r="E201" s="128">
        <v>0</v>
      </c>
      <c r="F201" s="118"/>
      <c r="G201" s="129" t="s">
        <v>179</v>
      </c>
      <c r="H201" s="129" t="s">
        <v>111</v>
      </c>
      <c r="I201" s="129">
        <v>116.19799999999999</v>
      </c>
    </row>
    <row r="202" spans="1:9" ht="15" hidden="1">
      <c r="A202" s="128" t="s">
        <v>179</v>
      </c>
      <c r="B202" s="128" t="s">
        <v>112</v>
      </c>
      <c r="C202" s="128">
        <v>-200.7457</v>
      </c>
      <c r="D202" s="128" t="s">
        <v>110</v>
      </c>
      <c r="E202" s="128">
        <v>0</v>
      </c>
      <c r="F202" s="118"/>
      <c r="G202" s="129" t="s">
        <v>179</v>
      </c>
      <c r="H202" s="129" t="s">
        <v>112</v>
      </c>
      <c r="I202" s="129">
        <v>133.11340000000001</v>
      </c>
    </row>
    <row r="203" spans="1:9" ht="15" hidden="1">
      <c r="A203" s="128" t="s">
        <v>180</v>
      </c>
      <c r="B203" s="128" t="s">
        <v>109</v>
      </c>
      <c r="C203" s="128">
        <v>-201.55250000000001</v>
      </c>
      <c r="D203" s="128" t="s">
        <v>110</v>
      </c>
      <c r="E203" s="128">
        <v>0</v>
      </c>
      <c r="F203" s="118"/>
      <c r="G203" s="129" t="s">
        <v>180</v>
      </c>
      <c r="H203" s="129" t="s">
        <v>109</v>
      </c>
      <c r="I203" s="129">
        <v>133.46029999999999</v>
      </c>
    </row>
    <row r="204" spans="1:9" ht="15" hidden="1">
      <c r="A204" s="128" t="s">
        <v>180</v>
      </c>
      <c r="B204" s="128" t="s">
        <v>111</v>
      </c>
      <c r="C204" s="128">
        <v>-112.80070000000001</v>
      </c>
      <c r="D204" s="128" t="s">
        <v>110</v>
      </c>
      <c r="E204" s="128">
        <v>0</v>
      </c>
      <c r="F204" s="118"/>
      <c r="G204" s="129" t="s">
        <v>180</v>
      </c>
      <c r="H204" s="129" t="s">
        <v>111</v>
      </c>
      <c r="I204" s="129">
        <v>99.906700000000001</v>
      </c>
    </row>
    <row r="205" spans="1:9" ht="15" hidden="1">
      <c r="A205" s="128" t="s">
        <v>180</v>
      </c>
      <c r="B205" s="128" t="s">
        <v>112</v>
      </c>
      <c r="C205" s="128">
        <v>-10.117100000000001</v>
      </c>
      <c r="D205" s="128" t="s">
        <v>110</v>
      </c>
      <c r="E205" s="128">
        <v>3.6322000000000001</v>
      </c>
      <c r="F205" s="118"/>
      <c r="G205" s="129" t="s">
        <v>180</v>
      </c>
      <c r="H205" s="129" t="s">
        <v>112</v>
      </c>
      <c r="I205" s="129">
        <v>77.630700000000004</v>
      </c>
    </row>
    <row r="206" spans="1:9" ht="15" hidden="1">
      <c r="A206" s="128" t="s">
        <v>181</v>
      </c>
      <c r="B206" s="128" t="s">
        <v>109</v>
      </c>
      <c r="C206" s="128">
        <v>-207.2302</v>
      </c>
      <c r="D206" s="128" t="s">
        <v>110</v>
      </c>
      <c r="E206" s="128">
        <v>0</v>
      </c>
      <c r="F206" s="118"/>
      <c r="G206" s="129" t="s">
        <v>181</v>
      </c>
      <c r="H206" s="129" t="s">
        <v>109</v>
      </c>
      <c r="I206" s="129">
        <v>138.72909999999999</v>
      </c>
    </row>
    <row r="207" spans="1:9" ht="15" hidden="1">
      <c r="A207" s="128" t="s">
        <v>181</v>
      </c>
      <c r="B207" s="128" t="s">
        <v>111</v>
      </c>
      <c r="C207" s="128">
        <v>-114.7375</v>
      </c>
      <c r="D207" s="128" t="s">
        <v>110</v>
      </c>
      <c r="E207" s="128">
        <v>0</v>
      </c>
      <c r="F207" s="118"/>
      <c r="G207" s="129" t="s">
        <v>181</v>
      </c>
      <c r="H207" s="129" t="s">
        <v>111</v>
      </c>
      <c r="I207" s="129">
        <v>106.718</v>
      </c>
    </row>
    <row r="208" spans="1:9" ht="15" hidden="1">
      <c r="A208" s="128" t="s">
        <v>181</v>
      </c>
      <c r="B208" s="128" t="s">
        <v>112</v>
      </c>
      <c r="C208" s="128">
        <v>-2.8736000000000002</v>
      </c>
      <c r="D208" s="128" t="s">
        <v>110</v>
      </c>
      <c r="E208" s="128">
        <v>4.0640999999999998</v>
      </c>
      <c r="F208" s="118"/>
      <c r="G208" s="129" t="s">
        <v>181</v>
      </c>
      <c r="H208" s="129" t="s">
        <v>112</v>
      </c>
      <c r="I208" s="129">
        <v>84.441999999999993</v>
      </c>
    </row>
    <row r="209" spans="1:9" ht="15" hidden="1">
      <c r="A209" s="128" t="s">
        <v>182</v>
      </c>
      <c r="B209" s="128" t="s">
        <v>109</v>
      </c>
      <c r="C209" s="128">
        <v>-213.2705</v>
      </c>
      <c r="D209" s="128" t="s">
        <v>110</v>
      </c>
      <c r="E209" s="128">
        <v>0</v>
      </c>
      <c r="F209" s="118"/>
      <c r="G209" s="129" t="s">
        <v>182</v>
      </c>
      <c r="H209" s="129" t="s">
        <v>109</v>
      </c>
      <c r="I209" s="129">
        <v>133.00659999999999</v>
      </c>
    </row>
    <row r="210" spans="1:9" ht="15" hidden="1">
      <c r="A210" s="128" t="s">
        <v>182</v>
      </c>
      <c r="B210" s="128" t="s">
        <v>111</v>
      </c>
      <c r="C210" s="128">
        <v>-123.53019999999999</v>
      </c>
      <c r="D210" s="128" t="s">
        <v>110</v>
      </c>
      <c r="E210" s="128">
        <v>0</v>
      </c>
      <c r="F210" s="118"/>
      <c r="G210" s="129" t="s">
        <v>182</v>
      </c>
      <c r="H210" s="129" t="s">
        <v>111</v>
      </c>
      <c r="I210" s="129">
        <v>104.62050000000001</v>
      </c>
    </row>
    <row r="211" spans="1:9" ht="15" hidden="1">
      <c r="A211" s="128" t="s">
        <v>182</v>
      </c>
      <c r="B211" s="128" t="s">
        <v>112</v>
      </c>
      <c r="C211" s="128">
        <v>-13.4658</v>
      </c>
      <c r="D211" s="128" t="s">
        <v>110</v>
      </c>
      <c r="E211" s="128">
        <v>4.1407999999999996</v>
      </c>
      <c r="F211" s="118"/>
      <c r="G211" s="129" t="s">
        <v>182</v>
      </c>
      <c r="H211" s="129" t="s">
        <v>112</v>
      </c>
      <c r="I211" s="129">
        <v>87.206500000000005</v>
      </c>
    </row>
    <row r="212" spans="1:9" ht="15" hidden="1">
      <c r="A212" s="128" t="s">
        <v>183</v>
      </c>
      <c r="B212" s="128" t="s">
        <v>109</v>
      </c>
      <c r="C212" s="128">
        <v>-54.556600000000003</v>
      </c>
      <c r="D212" s="128" t="s">
        <v>110</v>
      </c>
      <c r="E212" s="128">
        <v>301.18639999999999</v>
      </c>
      <c r="F212" s="118"/>
      <c r="G212" s="129" t="s">
        <v>183</v>
      </c>
      <c r="H212" s="129" t="s">
        <v>109</v>
      </c>
      <c r="I212" s="129">
        <v>300.43279999999999</v>
      </c>
    </row>
    <row r="213" spans="1:9" ht="15" hidden="1">
      <c r="A213" s="128" t="s">
        <v>183</v>
      </c>
      <c r="B213" s="128" t="s">
        <v>111</v>
      </c>
      <c r="C213" s="128">
        <v>-77.867999999999995</v>
      </c>
      <c r="D213" s="128" t="s">
        <v>110</v>
      </c>
      <c r="E213" s="128">
        <v>16.5776</v>
      </c>
      <c r="F213" s="118"/>
      <c r="G213" s="129" t="s">
        <v>183</v>
      </c>
      <c r="H213" s="129" t="s">
        <v>111</v>
      </c>
      <c r="I213" s="129">
        <v>308.72370000000001</v>
      </c>
    </row>
    <row r="214" spans="1:9" ht="15" hidden="1">
      <c r="A214" s="128" t="s">
        <v>183</v>
      </c>
      <c r="B214" s="128" t="s">
        <v>112</v>
      </c>
      <c r="C214" s="128">
        <v>-461.70420000000001</v>
      </c>
      <c r="D214" s="128" t="s">
        <v>110</v>
      </c>
      <c r="E214" s="128">
        <v>63.501199999999997</v>
      </c>
      <c r="F214" s="118"/>
      <c r="G214" s="129" t="s">
        <v>183</v>
      </c>
      <c r="H214" s="129" t="s">
        <v>112</v>
      </c>
      <c r="I214" s="129">
        <v>316.67129999999997</v>
      </c>
    </row>
    <row r="215" spans="1:9" ht="15" hidden="1">
      <c r="A215" s="128" t="s">
        <v>184</v>
      </c>
      <c r="B215" s="128" t="s">
        <v>109</v>
      </c>
      <c r="C215" s="128">
        <v>-59.271900000000002</v>
      </c>
      <c r="D215" s="128" t="s">
        <v>110</v>
      </c>
      <c r="E215" s="128">
        <v>287.80130000000003</v>
      </c>
      <c r="F215" s="118"/>
      <c r="G215" s="129" t="s">
        <v>184</v>
      </c>
      <c r="H215" s="129" t="s">
        <v>109</v>
      </c>
      <c r="I215" s="129">
        <v>269.82089999999999</v>
      </c>
    </row>
    <row r="216" spans="1:9" ht="15" hidden="1">
      <c r="A216" s="128" t="s">
        <v>184</v>
      </c>
      <c r="B216" s="128" t="s">
        <v>111</v>
      </c>
      <c r="C216" s="128">
        <v>-50.020299999999999</v>
      </c>
      <c r="D216" s="128" t="s">
        <v>110</v>
      </c>
      <c r="E216" s="128">
        <v>14.289300000000001</v>
      </c>
      <c r="F216" s="118"/>
      <c r="G216" s="129" t="s">
        <v>184</v>
      </c>
      <c r="H216" s="129" t="s">
        <v>111</v>
      </c>
      <c r="I216" s="129">
        <v>276.31169999999997</v>
      </c>
    </row>
    <row r="217" spans="1:9" ht="15" hidden="1">
      <c r="A217" s="128" t="s">
        <v>184</v>
      </c>
      <c r="B217" s="128" t="s">
        <v>112</v>
      </c>
      <c r="C217" s="128">
        <v>-375.52460000000002</v>
      </c>
      <c r="D217" s="128" t="s">
        <v>110</v>
      </c>
      <c r="E217" s="128">
        <v>60.843200000000003</v>
      </c>
      <c r="F217" s="118"/>
      <c r="G217" s="129" t="s">
        <v>184</v>
      </c>
      <c r="H217" s="129" t="s">
        <v>112</v>
      </c>
      <c r="I217" s="129">
        <v>269.15039999999999</v>
      </c>
    </row>
    <row r="218" spans="1:9" ht="15" hidden="1">
      <c r="A218" s="128" t="s">
        <v>185</v>
      </c>
      <c r="B218" s="128" t="s">
        <v>109</v>
      </c>
      <c r="C218" s="128">
        <v>-468.5111</v>
      </c>
      <c r="D218" s="128" t="s">
        <v>110</v>
      </c>
      <c r="E218" s="128">
        <v>0</v>
      </c>
      <c r="F218" s="118"/>
      <c r="G218" s="129" t="s">
        <v>185</v>
      </c>
      <c r="H218" s="129" t="s">
        <v>109</v>
      </c>
      <c r="I218" s="129">
        <v>325.37909999999999</v>
      </c>
    </row>
    <row r="219" spans="1:9" ht="15" hidden="1">
      <c r="A219" s="128" t="s">
        <v>185</v>
      </c>
      <c r="B219" s="128" t="s">
        <v>111</v>
      </c>
      <c r="C219" s="128">
        <v>-150.9117</v>
      </c>
      <c r="D219" s="128" t="s">
        <v>110</v>
      </c>
      <c r="E219" s="128">
        <v>96.233000000000004</v>
      </c>
      <c r="F219" s="118"/>
      <c r="G219" s="129" t="s">
        <v>185</v>
      </c>
      <c r="H219" s="129" t="s">
        <v>111</v>
      </c>
      <c r="I219" s="129">
        <v>315.6429</v>
      </c>
    </row>
    <row r="220" spans="1:9" ht="15" hidden="1">
      <c r="A220" s="128" t="s">
        <v>185</v>
      </c>
      <c r="B220" s="128" t="s">
        <v>112</v>
      </c>
      <c r="C220" s="128">
        <v>0</v>
      </c>
      <c r="D220" s="128" t="s">
        <v>110</v>
      </c>
      <c r="E220" s="128">
        <v>282.76069999999999</v>
      </c>
      <c r="F220" s="118"/>
      <c r="G220" s="129" t="s">
        <v>185</v>
      </c>
      <c r="H220" s="129" t="s">
        <v>112</v>
      </c>
      <c r="I220" s="129">
        <v>256.55889999999999</v>
      </c>
    </row>
    <row r="221" spans="1:9" ht="15" hidden="1">
      <c r="A221" s="128" t="s">
        <v>186</v>
      </c>
      <c r="B221" s="128" t="s">
        <v>109</v>
      </c>
      <c r="C221" s="128">
        <v>-530.79970000000003</v>
      </c>
      <c r="D221" s="128" t="s">
        <v>110</v>
      </c>
      <c r="E221" s="128">
        <v>63.711199999999998</v>
      </c>
      <c r="F221" s="118"/>
      <c r="G221" s="129" t="s">
        <v>186</v>
      </c>
      <c r="H221" s="129" t="s">
        <v>109</v>
      </c>
      <c r="I221" s="129">
        <v>352.2285</v>
      </c>
    </row>
    <row r="222" spans="1:9" ht="15" hidden="1">
      <c r="A222" s="128" t="s">
        <v>186</v>
      </c>
      <c r="B222" s="128" t="s">
        <v>111</v>
      </c>
      <c r="C222" s="128">
        <v>0</v>
      </c>
      <c r="D222" s="128" t="s">
        <v>110</v>
      </c>
      <c r="E222" s="128">
        <v>339.63339999999999</v>
      </c>
      <c r="F222" s="118"/>
      <c r="G222" s="129" t="s">
        <v>186</v>
      </c>
      <c r="H222" s="129" t="s">
        <v>111</v>
      </c>
      <c r="I222" s="129">
        <v>286.76240000000001</v>
      </c>
    </row>
    <row r="223" spans="1:9" ht="15" hidden="1">
      <c r="A223" s="128" t="s">
        <v>186</v>
      </c>
      <c r="B223" s="128" t="s">
        <v>112</v>
      </c>
      <c r="C223" s="128">
        <v>-515.46249999999998</v>
      </c>
      <c r="D223" s="128" t="s">
        <v>110</v>
      </c>
      <c r="E223" s="128">
        <v>119.4813</v>
      </c>
      <c r="F223" s="118"/>
      <c r="G223" s="129" t="s">
        <v>186</v>
      </c>
      <c r="H223" s="129" t="s">
        <v>112</v>
      </c>
      <c r="I223" s="129">
        <v>278.12909999999999</v>
      </c>
    </row>
    <row r="224" spans="1:9" ht="15" hidden="1">
      <c r="A224" s="128" t="s">
        <v>187</v>
      </c>
      <c r="B224" s="128" t="s">
        <v>109</v>
      </c>
      <c r="C224" s="128">
        <v>-441.91410000000002</v>
      </c>
      <c r="D224" s="128" t="s">
        <v>110</v>
      </c>
      <c r="E224" s="128">
        <v>0</v>
      </c>
      <c r="F224" s="118"/>
      <c r="G224" s="129" t="s">
        <v>187</v>
      </c>
      <c r="H224" s="129" t="s">
        <v>109</v>
      </c>
      <c r="I224" s="129">
        <v>317.5788</v>
      </c>
    </row>
    <row r="225" spans="1:9" ht="15" hidden="1">
      <c r="A225" s="128" t="s">
        <v>187</v>
      </c>
      <c r="B225" s="128" t="s">
        <v>111</v>
      </c>
      <c r="C225" s="128">
        <v>-141.28440000000001</v>
      </c>
      <c r="D225" s="128" t="s">
        <v>110</v>
      </c>
      <c r="E225" s="128">
        <v>118.2773</v>
      </c>
      <c r="F225" s="118"/>
      <c r="G225" s="129" t="s">
        <v>187</v>
      </c>
      <c r="H225" s="129" t="s">
        <v>111</v>
      </c>
      <c r="I225" s="129">
        <v>307.8426</v>
      </c>
    </row>
    <row r="226" spans="1:9" ht="15" hidden="1">
      <c r="A226" s="128" t="s">
        <v>187</v>
      </c>
      <c r="B226" s="128" t="s">
        <v>112</v>
      </c>
      <c r="C226" s="128">
        <v>0</v>
      </c>
      <c r="D226" s="128" t="s">
        <v>110</v>
      </c>
      <c r="E226" s="128">
        <v>291.56849999999997</v>
      </c>
      <c r="F226" s="118"/>
      <c r="G226" s="129" t="s">
        <v>187</v>
      </c>
      <c r="H226" s="129" t="s">
        <v>112</v>
      </c>
      <c r="I226" s="129">
        <v>249.73820000000001</v>
      </c>
    </row>
    <row r="227" spans="1:9" ht="15" hidden="1">
      <c r="A227" s="128" t="s">
        <v>188</v>
      </c>
      <c r="B227" s="128" t="s">
        <v>109</v>
      </c>
      <c r="C227" s="128">
        <v>-532.58600000000001</v>
      </c>
      <c r="D227" s="128" t="s">
        <v>110</v>
      </c>
      <c r="E227" s="128">
        <v>66.693299999999994</v>
      </c>
      <c r="F227" s="118"/>
      <c r="G227" s="129" t="s">
        <v>188</v>
      </c>
      <c r="H227" s="129" t="s">
        <v>109</v>
      </c>
      <c r="I227" s="129">
        <v>352.86610000000002</v>
      </c>
    </row>
    <row r="228" spans="1:9" ht="15" hidden="1">
      <c r="A228" s="128" t="s">
        <v>188</v>
      </c>
      <c r="B228" s="128" t="s">
        <v>111</v>
      </c>
      <c r="C228" s="128">
        <v>0</v>
      </c>
      <c r="D228" s="128" t="s">
        <v>110</v>
      </c>
      <c r="E228" s="128">
        <v>338.149</v>
      </c>
      <c r="F228" s="118"/>
      <c r="G228" s="129" t="s">
        <v>188</v>
      </c>
      <c r="H228" s="129" t="s">
        <v>111</v>
      </c>
      <c r="I228" s="129">
        <v>287.29790000000003</v>
      </c>
    </row>
    <row r="229" spans="1:9" ht="15" hidden="1">
      <c r="A229" s="128" t="s">
        <v>188</v>
      </c>
      <c r="B229" s="128" t="s">
        <v>112</v>
      </c>
      <c r="C229" s="128">
        <v>-513.27909999999997</v>
      </c>
      <c r="D229" s="128" t="s">
        <v>110</v>
      </c>
      <c r="E229" s="128">
        <v>121.2527</v>
      </c>
      <c r="F229" s="118"/>
      <c r="G229" s="129" t="s">
        <v>188</v>
      </c>
      <c r="H229" s="129" t="s">
        <v>112</v>
      </c>
      <c r="I229" s="129">
        <v>277.10199999999998</v>
      </c>
    </row>
    <row r="230" spans="1:9" ht="15" hidden="1">
      <c r="A230" s="128" t="s">
        <v>189</v>
      </c>
      <c r="B230" s="128" t="s">
        <v>109</v>
      </c>
      <c r="C230" s="128">
        <v>-108.17440000000001</v>
      </c>
      <c r="D230" s="128" t="s">
        <v>110</v>
      </c>
      <c r="E230" s="128">
        <v>0</v>
      </c>
      <c r="F230" s="118"/>
      <c r="G230" s="129" t="s">
        <v>189</v>
      </c>
      <c r="H230" s="129" t="s">
        <v>109</v>
      </c>
      <c r="I230" s="129">
        <v>81.491500000000002</v>
      </c>
    </row>
    <row r="231" spans="1:9" ht="15" hidden="1">
      <c r="A231" s="128" t="s">
        <v>189</v>
      </c>
      <c r="B231" s="128" t="s">
        <v>111</v>
      </c>
      <c r="C231" s="128">
        <v>-13.0291</v>
      </c>
      <c r="D231" s="128" t="s">
        <v>110</v>
      </c>
      <c r="E231" s="128">
        <v>24.943100000000001</v>
      </c>
      <c r="F231" s="118"/>
      <c r="G231" s="129" t="s">
        <v>189</v>
      </c>
      <c r="H231" s="129" t="s">
        <v>111</v>
      </c>
      <c r="I231" s="129">
        <v>63.142699999999998</v>
      </c>
    </row>
    <row r="232" spans="1:9" ht="15" hidden="1">
      <c r="A232" s="128" t="s">
        <v>189</v>
      </c>
      <c r="B232" s="128" t="s">
        <v>112</v>
      </c>
      <c r="C232" s="128">
        <v>0</v>
      </c>
      <c r="D232" s="128" t="s">
        <v>110</v>
      </c>
      <c r="E232" s="128">
        <v>110.62990000000001</v>
      </c>
      <c r="F232" s="118"/>
      <c r="G232" s="129" t="s">
        <v>189</v>
      </c>
      <c r="H232" s="129" t="s">
        <v>112</v>
      </c>
      <c r="I232" s="129">
        <v>56.089399999999998</v>
      </c>
    </row>
    <row r="233" spans="1:9" ht="15" hidden="1">
      <c r="A233" s="128" t="s">
        <v>190</v>
      </c>
      <c r="B233" s="128" t="s">
        <v>109</v>
      </c>
      <c r="C233" s="128">
        <v>-57.661499999999997</v>
      </c>
      <c r="D233" s="128" t="s">
        <v>110</v>
      </c>
      <c r="E233" s="128">
        <v>62.333399999999997</v>
      </c>
      <c r="F233" s="118"/>
      <c r="G233" s="129" t="s">
        <v>190</v>
      </c>
      <c r="H233" s="129" t="s">
        <v>109</v>
      </c>
      <c r="I233" s="129">
        <v>41.517800000000001</v>
      </c>
    </row>
    <row r="234" spans="1:9" ht="15" hidden="1">
      <c r="A234" s="128" t="s">
        <v>190</v>
      </c>
      <c r="B234" s="128" t="s">
        <v>111</v>
      </c>
      <c r="C234" s="128">
        <v>0</v>
      </c>
      <c r="D234" s="128" t="s">
        <v>110</v>
      </c>
      <c r="E234" s="128">
        <v>139.36920000000001</v>
      </c>
      <c r="F234" s="118"/>
      <c r="G234" s="129" t="s">
        <v>190</v>
      </c>
      <c r="H234" s="129" t="s">
        <v>111</v>
      </c>
      <c r="I234" s="129">
        <v>40.086199999999998</v>
      </c>
    </row>
    <row r="235" spans="1:9" ht="15" hidden="1">
      <c r="A235" s="128" t="s">
        <v>190</v>
      </c>
      <c r="B235" s="128" t="s">
        <v>112</v>
      </c>
      <c r="C235" s="128">
        <v>-75.640500000000003</v>
      </c>
      <c r="D235" s="128" t="s">
        <v>110</v>
      </c>
      <c r="E235" s="128">
        <v>57.917700000000004</v>
      </c>
      <c r="F235" s="118"/>
      <c r="G235" s="129" t="s">
        <v>190</v>
      </c>
      <c r="H235" s="129" t="s">
        <v>112</v>
      </c>
      <c r="I235" s="129">
        <v>88.711699999999993</v>
      </c>
    </row>
    <row r="236" spans="1:9" ht="15" hidden="1">
      <c r="A236" s="128" t="s">
        <v>191</v>
      </c>
      <c r="B236" s="128" t="s">
        <v>109</v>
      </c>
      <c r="C236" s="128">
        <v>-102.7307</v>
      </c>
      <c r="D236" s="128" t="s">
        <v>110</v>
      </c>
      <c r="E236" s="128">
        <v>0</v>
      </c>
      <c r="F236" s="118"/>
      <c r="G236" s="129" t="s">
        <v>191</v>
      </c>
      <c r="H236" s="129" t="s">
        <v>109</v>
      </c>
      <c r="I236" s="129">
        <v>80.6785</v>
      </c>
    </row>
    <row r="237" spans="1:9" ht="15" hidden="1">
      <c r="A237" s="128" t="s">
        <v>191</v>
      </c>
      <c r="B237" s="128" t="s">
        <v>111</v>
      </c>
      <c r="C237" s="128">
        <v>-12.14</v>
      </c>
      <c r="D237" s="128" t="s">
        <v>110</v>
      </c>
      <c r="E237" s="128">
        <v>27.3508</v>
      </c>
      <c r="F237" s="118"/>
      <c r="G237" s="129" t="s">
        <v>191</v>
      </c>
      <c r="H237" s="129" t="s">
        <v>111</v>
      </c>
      <c r="I237" s="129">
        <v>61.4253</v>
      </c>
    </row>
    <row r="238" spans="1:9" ht="15" hidden="1">
      <c r="A238" s="128" t="s">
        <v>191</v>
      </c>
      <c r="B238" s="128" t="s">
        <v>112</v>
      </c>
      <c r="C238" s="128">
        <v>0</v>
      </c>
      <c r="D238" s="128" t="s">
        <v>110</v>
      </c>
      <c r="E238" s="128">
        <v>111.4485</v>
      </c>
      <c r="F238" s="118"/>
      <c r="G238" s="129" t="s">
        <v>191</v>
      </c>
      <c r="H238" s="129" t="s">
        <v>112</v>
      </c>
      <c r="I238" s="129">
        <v>54.372</v>
      </c>
    </row>
    <row r="239" spans="1:9" ht="15" hidden="1">
      <c r="A239" s="128" t="s">
        <v>192</v>
      </c>
      <c r="B239" s="128" t="s">
        <v>109</v>
      </c>
      <c r="C239" s="128">
        <v>-56.854999999999997</v>
      </c>
      <c r="D239" s="128" t="s">
        <v>110</v>
      </c>
      <c r="E239" s="128">
        <v>62.357900000000001</v>
      </c>
      <c r="F239" s="118"/>
      <c r="G239" s="129" t="s">
        <v>192</v>
      </c>
      <c r="H239" s="129" t="s">
        <v>109</v>
      </c>
      <c r="I239" s="129">
        <v>41.738500000000002</v>
      </c>
    </row>
    <row r="240" spans="1:9" ht="15" hidden="1">
      <c r="A240" s="128" t="s">
        <v>192</v>
      </c>
      <c r="B240" s="128" t="s">
        <v>111</v>
      </c>
      <c r="C240" s="128">
        <v>0</v>
      </c>
      <c r="D240" s="128" t="s">
        <v>110</v>
      </c>
      <c r="E240" s="128">
        <v>139.4238</v>
      </c>
      <c r="F240" s="118"/>
      <c r="G240" s="129" t="s">
        <v>192</v>
      </c>
      <c r="H240" s="129" t="s">
        <v>111</v>
      </c>
      <c r="I240" s="129">
        <v>40.132300000000001</v>
      </c>
    </row>
    <row r="241" spans="1:9" ht="15" hidden="1">
      <c r="A241" s="128" t="s">
        <v>192</v>
      </c>
      <c r="B241" s="128" t="s">
        <v>112</v>
      </c>
      <c r="C241" s="128">
        <v>-75.5261</v>
      </c>
      <c r="D241" s="128" t="s">
        <v>110</v>
      </c>
      <c r="E241" s="128">
        <v>58.284500000000001</v>
      </c>
      <c r="F241" s="118"/>
      <c r="G241" s="129" t="s">
        <v>192</v>
      </c>
      <c r="H241" s="129" t="s">
        <v>112</v>
      </c>
      <c r="I241" s="129">
        <v>88.762699999999995</v>
      </c>
    </row>
    <row r="242" spans="1:9" ht="15" hidden="1">
      <c r="A242" s="128" t="s">
        <v>193</v>
      </c>
      <c r="B242" s="128" t="s">
        <v>109</v>
      </c>
      <c r="C242" s="128">
        <v>-102.3355</v>
      </c>
      <c r="D242" s="128" t="s">
        <v>110</v>
      </c>
      <c r="E242" s="128">
        <v>35.3292</v>
      </c>
      <c r="F242" s="118"/>
      <c r="G242" s="129" t="s">
        <v>193</v>
      </c>
      <c r="H242" s="129" t="s">
        <v>109</v>
      </c>
      <c r="I242" s="129">
        <v>55.5593</v>
      </c>
    </row>
    <row r="243" spans="1:9" ht="15" hidden="1">
      <c r="A243" s="128" t="s">
        <v>193</v>
      </c>
      <c r="B243" s="128" t="s">
        <v>111</v>
      </c>
      <c r="C243" s="128">
        <v>0</v>
      </c>
      <c r="D243" s="128" t="s">
        <v>110</v>
      </c>
      <c r="E243" s="128">
        <v>101.8366</v>
      </c>
      <c r="F243" s="118"/>
      <c r="G243" s="129" t="s">
        <v>193</v>
      </c>
      <c r="H243" s="129" t="s">
        <v>111</v>
      </c>
      <c r="I243" s="129">
        <v>34.9</v>
      </c>
    </row>
    <row r="244" spans="1:9" ht="15" hidden="1">
      <c r="A244" s="128" t="s">
        <v>193</v>
      </c>
      <c r="B244" s="128" t="s">
        <v>112</v>
      </c>
      <c r="C244" s="128">
        <v>-104.5515</v>
      </c>
      <c r="D244" s="128" t="s">
        <v>110</v>
      </c>
      <c r="E244" s="128">
        <v>43.520499999999998</v>
      </c>
      <c r="F244" s="118"/>
      <c r="G244" s="129" t="s">
        <v>193</v>
      </c>
      <c r="H244" s="129" t="s">
        <v>112</v>
      </c>
      <c r="I244" s="129">
        <v>97.642600000000002</v>
      </c>
    </row>
    <row r="245" spans="1:9" ht="15" hidden="1">
      <c r="A245" s="128" t="s">
        <v>194</v>
      </c>
      <c r="B245" s="128" t="s">
        <v>109</v>
      </c>
      <c r="C245" s="128">
        <v>-116.9443</v>
      </c>
      <c r="D245" s="128" t="s">
        <v>110</v>
      </c>
      <c r="E245" s="128">
        <v>0</v>
      </c>
      <c r="F245" s="118"/>
      <c r="G245" s="129" t="s">
        <v>194</v>
      </c>
      <c r="H245" s="129" t="s">
        <v>109</v>
      </c>
      <c r="I245" s="129">
        <v>57.623199999999997</v>
      </c>
    </row>
    <row r="246" spans="1:9" ht="15" hidden="1">
      <c r="A246" s="128" t="s">
        <v>194</v>
      </c>
      <c r="B246" s="128" t="s">
        <v>111</v>
      </c>
      <c r="C246" s="128">
        <v>0</v>
      </c>
      <c r="D246" s="128" t="s">
        <v>110</v>
      </c>
      <c r="E246" s="128">
        <v>53.266399999999997</v>
      </c>
      <c r="F246" s="118"/>
      <c r="G246" s="129" t="s">
        <v>194</v>
      </c>
      <c r="H246" s="129" t="s">
        <v>111</v>
      </c>
      <c r="I246" s="129">
        <v>32.570900000000002</v>
      </c>
    </row>
    <row r="247" spans="1:9" ht="15" hidden="1">
      <c r="A247" s="128" t="s">
        <v>194</v>
      </c>
      <c r="B247" s="128" t="s">
        <v>112</v>
      </c>
      <c r="C247" s="128">
        <v>-93.682199999999995</v>
      </c>
      <c r="D247" s="128" t="s">
        <v>110</v>
      </c>
      <c r="E247" s="128">
        <v>19.234100000000002</v>
      </c>
      <c r="F247" s="118"/>
      <c r="G247" s="129" t="s">
        <v>194</v>
      </c>
      <c r="H247" s="129" t="s">
        <v>112</v>
      </c>
      <c r="I247" s="129">
        <v>73.3767</v>
      </c>
    </row>
    <row r="248" spans="1:9" ht="15" hidden="1">
      <c r="A248" s="128" t="s">
        <v>195</v>
      </c>
      <c r="B248" s="128" t="s">
        <v>109</v>
      </c>
      <c r="C248" s="128">
        <v>-100.6795</v>
      </c>
      <c r="D248" s="128" t="s">
        <v>110</v>
      </c>
      <c r="E248" s="128">
        <v>34.162399999999998</v>
      </c>
      <c r="F248" s="118"/>
      <c r="G248" s="129" t="s">
        <v>195</v>
      </c>
      <c r="H248" s="129" t="s">
        <v>109</v>
      </c>
      <c r="I248" s="129">
        <v>54.965499999999999</v>
      </c>
    </row>
    <row r="249" spans="1:9" ht="15" hidden="1">
      <c r="A249" s="128" t="s">
        <v>195</v>
      </c>
      <c r="B249" s="128" t="s">
        <v>111</v>
      </c>
      <c r="C249" s="128">
        <v>0</v>
      </c>
      <c r="D249" s="128" t="s">
        <v>110</v>
      </c>
      <c r="E249" s="128">
        <v>99.909199999999998</v>
      </c>
      <c r="F249" s="118"/>
      <c r="G249" s="129" t="s">
        <v>195</v>
      </c>
      <c r="H249" s="129" t="s">
        <v>111</v>
      </c>
      <c r="I249" s="129">
        <v>34.1875</v>
      </c>
    </row>
    <row r="250" spans="1:9" ht="15" hidden="1">
      <c r="A250" s="128" t="s">
        <v>195</v>
      </c>
      <c r="B250" s="128" t="s">
        <v>112</v>
      </c>
      <c r="C250" s="128">
        <v>-102.7008</v>
      </c>
      <c r="D250" s="128" t="s">
        <v>110</v>
      </c>
      <c r="E250" s="128">
        <v>42.369100000000003</v>
      </c>
      <c r="F250" s="118"/>
      <c r="G250" s="129" t="s">
        <v>195</v>
      </c>
      <c r="H250" s="129" t="s">
        <v>112</v>
      </c>
      <c r="I250" s="129">
        <v>95.920199999999994</v>
      </c>
    </row>
    <row r="251" spans="1:9" ht="15" hidden="1">
      <c r="A251" s="128" t="s">
        <v>196</v>
      </c>
      <c r="B251" s="128" t="s">
        <v>109</v>
      </c>
      <c r="C251" s="128">
        <v>-115.84650000000001</v>
      </c>
      <c r="D251" s="128" t="s">
        <v>110</v>
      </c>
      <c r="E251" s="128">
        <v>0</v>
      </c>
      <c r="F251" s="118"/>
      <c r="G251" s="129" t="s">
        <v>196</v>
      </c>
      <c r="H251" s="129" t="s">
        <v>109</v>
      </c>
      <c r="I251" s="129">
        <v>57.094299999999997</v>
      </c>
    </row>
    <row r="252" spans="1:9" ht="15" hidden="1">
      <c r="A252" s="128" t="s">
        <v>196</v>
      </c>
      <c r="B252" s="128" t="s">
        <v>111</v>
      </c>
      <c r="C252" s="128">
        <v>0</v>
      </c>
      <c r="D252" s="128" t="s">
        <v>110</v>
      </c>
      <c r="E252" s="128">
        <v>52.368699999999997</v>
      </c>
      <c r="F252" s="118"/>
      <c r="G252" s="129" t="s">
        <v>196</v>
      </c>
      <c r="H252" s="129" t="s">
        <v>111</v>
      </c>
      <c r="I252" s="129">
        <v>32.426000000000002</v>
      </c>
    </row>
    <row r="253" spans="1:9" ht="15" hidden="1">
      <c r="A253" s="128" t="s">
        <v>196</v>
      </c>
      <c r="B253" s="128" t="s">
        <v>112</v>
      </c>
      <c r="C253" s="128">
        <v>-94.326400000000007</v>
      </c>
      <c r="D253" s="128" t="s">
        <v>110</v>
      </c>
      <c r="E253" s="128">
        <v>16.669</v>
      </c>
      <c r="F253" s="118"/>
      <c r="G253" s="129" t="s">
        <v>196</v>
      </c>
      <c r="H253" s="129" t="s">
        <v>112</v>
      </c>
      <c r="I253" s="129">
        <v>72.718100000000007</v>
      </c>
    </row>
    <row r="254" spans="1:9" ht="15" hidden="1">
      <c r="A254" s="128" t="s">
        <v>197</v>
      </c>
      <c r="B254" s="128" t="s">
        <v>109</v>
      </c>
      <c r="C254" s="128">
        <v>0</v>
      </c>
      <c r="D254" s="128" t="s">
        <v>110</v>
      </c>
      <c r="E254" s="128">
        <v>25.747199999999999</v>
      </c>
      <c r="F254" s="118"/>
      <c r="G254" s="129" t="s">
        <v>197</v>
      </c>
      <c r="H254" s="129" t="s">
        <v>109</v>
      </c>
      <c r="I254" s="129">
        <v>21.136199999999999</v>
      </c>
    </row>
    <row r="255" spans="1:9" ht="15" hidden="1">
      <c r="A255" s="128" t="s">
        <v>197</v>
      </c>
      <c r="B255" s="128" t="s">
        <v>111</v>
      </c>
      <c r="C255" s="128">
        <v>0</v>
      </c>
      <c r="D255" s="128" t="s">
        <v>110</v>
      </c>
      <c r="E255" s="128">
        <v>43.425699999999999</v>
      </c>
      <c r="F255" s="118"/>
      <c r="G255" s="129" t="s">
        <v>197</v>
      </c>
      <c r="H255" s="129" t="s">
        <v>111</v>
      </c>
      <c r="I255" s="129">
        <v>30.808499999999999</v>
      </c>
    </row>
    <row r="256" spans="1:9" ht="15" hidden="1">
      <c r="A256" s="128" t="s">
        <v>197</v>
      </c>
      <c r="B256" s="128" t="s">
        <v>112</v>
      </c>
      <c r="C256" s="128">
        <v>-12.7697</v>
      </c>
      <c r="D256" s="128" t="s">
        <v>110</v>
      </c>
      <c r="E256" s="128">
        <v>14.2369</v>
      </c>
      <c r="F256" s="118"/>
      <c r="G256" s="129" t="s">
        <v>197</v>
      </c>
      <c r="H256" s="129" t="s">
        <v>112</v>
      </c>
      <c r="I256" s="129">
        <v>35.219299999999997</v>
      </c>
    </row>
    <row r="257" spans="1:9" ht="15" hidden="1">
      <c r="A257" s="128" t="s">
        <v>198</v>
      </c>
      <c r="B257" s="128" t="s">
        <v>109</v>
      </c>
      <c r="C257" s="128">
        <v>-21.1797</v>
      </c>
      <c r="D257" s="128" t="s">
        <v>110</v>
      </c>
      <c r="E257" s="128">
        <v>9.7675999999999998</v>
      </c>
      <c r="F257" s="118"/>
      <c r="G257" s="129" t="s">
        <v>198</v>
      </c>
      <c r="H257" s="129" t="s">
        <v>109</v>
      </c>
      <c r="I257" s="129">
        <v>39.518999999999998</v>
      </c>
    </row>
    <row r="258" spans="1:9" ht="15" hidden="1">
      <c r="A258" s="128" t="s">
        <v>198</v>
      </c>
      <c r="B258" s="128" t="s">
        <v>111</v>
      </c>
      <c r="C258" s="128">
        <v>0</v>
      </c>
      <c r="D258" s="128" t="s">
        <v>110</v>
      </c>
      <c r="E258" s="128">
        <v>42.488999999999997</v>
      </c>
      <c r="F258" s="118"/>
      <c r="G258" s="129" t="s">
        <v>198</v>
      </c>
      <c r="H258" s="129" t="s">
        <v>111</v>
      </c>
      <c r="I258" s="129">
        <v>14.5427</v>
      </c>
    </row>
    <row r="259" spans="1:9" ht="15" hidden="1">
      <c r="A259" s="128" t="s">
        <v>198</v>
      </c>
      <c r="B259" s="128" t="s">
        <v>112</v>
      </c>
      <c r="C259" s="128">
        <v>0</v>
      </c>
      <c r="D259" s="128" t="s">
        <v>110</v>
      </c>
      <c r="E259" s="128">
        <v>28.234000000000002</v>
      </c>
      <c r="F259" s="118"/>
      <c r="G259" s="129" t="s">
        <v>198</v>
      </c>
      <c r="H259" s="129" t="s">
        <v>112</v>
      </c>
      <c r="I259" s="129">
        <v>18.953600000000002</v>
      </c>
    </row>
    <row r="260" spans="1:9" ht="15" hidden="1">
      <c r="A260" s="128" t="s">
        <v>199</v>
      </c>
      <c r="B260" s="128" t="s">
        <v>109</v>
      </c>
      <c r="C260" s="128">
        <v>-77.58</v>
      </c>
      <c r="D260" s="128" t="s">
        <v>110</v>
      </c>
      <c r="E260" s="128">
        <v>42.311199999999999</v>
      </c>
      <c r="F260" s="118"/>
      <c r="G260" s="129" t="s">
        <v>199</v>
      </c>
      <c r="H260" s="129" t="s">
        <v>109</v>
      </c>
      <c r="I260" s="129">
        <v>55.8643</v>
      </c>
    </row>
    <row r="261" spans="1:9" ht="15" hidden="1">
      <c r="A261" s="128" t="s">
        <v>199</v>
      </c>
      <c r="B261" s="128" t="s">
        <v>111</v>
      </c>
      <c r="C261" s="128">
        <v>-2.1183999999999998</v>
      </c>
      <c r="D261" s="128" t="s">
        <v>110</v>
      </c>
      <c r="E261" s="128">
        <v>110.7861</v>
      </c>
      <c r="F261" s="118"/>
      <c r="G261" s="129" t="s">
        <v>199</v>
      </c>
      <c r="H261" s="129" t="s">
        <v>111</v>
      </c>
      <c r="I261" s="129">
        <v>54.941099999999999</v>
      </c>
    </row>
    <row r="262" spans="1:9" ht="15" hidden="1">
      <c r="A262" s="128" t="s">
        <v>199</v>
      </c>
      <c r="B262" s="128" t="s">
        <v>112</v>
      </c>
      <c r="C262" s="128">
        <v>-115.816</v>
      </c>
      <c r="D262" s="128" t="s">
        <v>110</v>
      </c>
      <c r="E262" s="128">
        <v>5.4949000000000003</v>
      </c>
      <c r="F262" s="118"/>
      <c r="G262" s="129" t="s">
        <v>199</v>
      </c>
      <c r="H262" s="129" t="s">
        <v>112</v>
      </c>
      <c r="I262" s="129">
        <v>71.591200000000001</v>
      </c>
    </row>
    <row r="263" spans="1:9" ht="15" hidden="1">
      <c r="A263" s="128" t="s">
        <v>6</v>
      </c>
      <c r="B263" s="128" t="s">
        <v>109</v>
      </c>
      <c r="C263" s="128">
        <v>-106.8099</v>
      </c>
      <c r="D263" s="128" t="s">
        <v>110</v>
      </c>
      <c r="E263" s="128">
        <v>45.845100000000002</v>
      </c>
      <c r="F263" s="118"/>
      <c r="G263" s="129" t="s">
        <v>6</v>
      </c>
      <c r="H263" s="129" t="s">
        <v>109</v>
      </c>
      <c r="I263" s="129">
        <v>51.244700000000002</v>
      </c>
    </row>
    <row r="264" spans="1:9" ht="15" hidden="1">
      <c r="A264" s="128" t="s">
        <v>6</v>
      </c>
      <c r="B264" s="128" t="s">
        <v>111</v>
      </c>
      <c r="C264" s="128">
        <v>0</v>
      </c>
      <c r="D264" s="128" t="s">
        <v>110</v>
      </c>
      <c r="E264" s="128">
        <v>89.209599999999995</v>
      </c>
      <c r="F264" s="118"/>
      <c r="G264" s="129" t="s">
        <v>6</v>
      </c>
      <c r="H264" s="129" t="s">
        <v>111</v>
      </c>
      <c r="I264" s="129">
        <v>72.074299999999994</v>
      </c>
    </row>
    <row r="265" spans="1:9" ht="15" hidden="1">
      <c r="A265" s="128" t="s">
        <v>6</v>
      </c>
      <c r="B265" s="128" t="s">
        <v>112</v>
      </c>
      <c r="C265" s="128">
        <v>-218.17500000000001</v>
      </c>
      <c r="D265" s="128" t="s">
        <v>110</v>
      </c>
      <c r="E265" s="128">
        <v>0</v>
      </c>
      <c r="F265" s="118"/>
      <c r="G265" s="129" t="s">
        <v>6</v>
      </c>
      <c r="H265" s="129" t="s">
        <v>112</v>
      </c>
      <c r="I265" s="129">
        <v>97.360799999999998</v>
      </c>
    </row>
    <row r="266" spans="1:9" ht="15" hidden="1">
      <c r="A266" s="128" t="s">
        <v>200</v>
      </c>
      <c r="B266" s="128" t="s">
        <v>109</v>
      </c>
      <c r="C266" s="128">
        <v>-187.42670000000001</v>
      </c>
      <c r="D266" s="128" t="s">
        <v>110</v>
      </c>
      <c r="E266" s="128">
        <v>1.1594</v>
      </c>
      <c r="F266" s="118"/>
      <c r="G266" s="129" t="s">
        <v>200</v>
      </c>
      <c r="H266" s="129" t="s">
        <v>109</v>
      </c>
      <c r="I266" s="129">
        <v>69.172399999999996</v>
      </c>
    </row>
    <row r="267" spans="1:9" ht="15" hidden="1">
      <c r="A267" s="128" t="s">
        <v>200</v>
      </c>
      <c r="B267" s="128" t="s">
        <v>111</v>
      </c>
      <c r="C267" s="128">
        <v>0</v>
      </c>
      <c r="D267" s="128" t="s">
        <v>110</v>
      </c>
      <c r="E267" s="128">
        <v>74.596699999999998</v>
      </c>
      <c r="F267" s="118"/>
      <c r="G267" s="129" t="s">
        <v>200</v>
      </c>
      <c r="H267" s="129" t="s">
        <v>111</v>
      </c>
      <c r="I267" s="129">
        <v>62.5657</v>
      </c>
    </row>
    <row r="268" spans="1:9" ht="15" hidden="1">
      <c r="A268" s="128" t="s">
        <v>200</v>
      </c>
      <c r="B268" s="128" t="s">
        <v>112</v>
      </c>
      <c r="C268" s="128">
        <v>-188.10409999999999</v>
      </c>
      <c r="D268" s="128" t="s">
        <v>110</v>
      </c>
      <c r="E268" s="128">
        <v>0.96640000000000004</v>
      </c>
      <c r="F268" s="118"/>
      <c r="G268" s="129" t="s">
        <v>200</v>
      </c>
      <c r="H268" s="129" t="s">
        <v>112</v>
      </c>
      <c r="I268" s="129">
        <v>92.636300000000006</v>
      </c>
    </row>
    <row r="269" spans="1:9" ht="15" hidden="1">
      <c r="A269" s="128" t="s">
        <v>7</v>
      </c>
      <c r="B269" s="128" t="s">
        <v>109</v>
      </c>
      <c r="C269" s="128">
        <v>-215.15700000000001</v>
      </c>
      <c r="D269" s="128" t="s">
        <v>110</v>
      </c>
      <c r="E269" s="128">
        <v>0</v>
      </c>
      <c r="F269" s="118"/>
      <c r="G269" s="129" t="s">
        <v>7</v>
      </c>
      <c r="H269" s="129" t="s">
        <v>109</v>
      </c>
      <c r="I269" s="129">
        <v>78.050200000000004</v>
      </c>
    </row>
    <row r="270" spans="1:9" ht="15" hidden="1">
      <c r="A270" s="128" t="s">
        <v>7</v>
      </c>
      <c r="B270" s="128" t="s">
        <v>111</v>
      </c>
      <c r="C270" s="128">
        <v>0</v>
      </c>
      <c r="D270" s="128" t="s">
        <v>110</v>
      </c>
      <c r="E270" s="128">
        <v>87.297300000000007</v>
      </c>
      <c r="F270" s="118"/>
      <c r="G270" s="129" t="s">
        <v>7</v>
      </c>
      <c r="H270" s="129" t="s">
        <v>111</v>
      </c>
      <c r="I270" s="129">
        <v>45.403399999999998</v>
      </c>
    </row>
    <row r="271" spans="1:9" ht="15" hidden="1">
      <c r="A271" s="128" t="s">
        <v>7</v>
      </c>
      <c r="B271" s="128" t="s">
        <v>112</v>
      </c>
      <c r="C271" s="128">
        <v>-110.916</v>
      </c>
      <c r="D271" s="128" t="s">
        <v>110</v>
      </c>
      <c r="E271" s="128">
        <v>43.111499999999999</v>
      </c>
      <c r="F271" s="118"/>
      <c r="G271" s="129" t="s">
        <v>7</v>
      </c>
      <c r="H271" s="129" t="s">
        <v>112</v>
      </c>
      <c r="I271" s="129">
        <v>76.102699999999999</v>
      </c>
    </row>
    <row r="272" spans="1:9" ht="15" hidden="1">
      <c r="A272" s="128" t="s">
        <v>201</v>
      </c>
      <c r="B272" s="128" t="s">
        <v>109</v>
      </c>
      <c r="C272" s="128">
        <v>-118.1902</v>
      </c>
      <c r="D272" s="128" t="s">
        <v>110</v>
      </c>
      <c r="E272" s="128">
        <v>7.1014999999999997</v>
      </c>
      <c r="F272" s="118"/>
      <c r="G272" s="129" t="s">
        <v>201</v>
      </c>
      <c r="H272" s="129" t="s">
        <v>109</v>
      </c>
      <c r="I272" s="129">
        <v>61.562600000000003</v>
      </c>
    </row>
    <row r="273" spans="1:9" ht="15" hidden="1">
      <c r="A273" s="128" t="s">
        <v>201</v>
      </c>
      <c r="B273" s="128" t="s">
        <v>111</v>
      </c>
      <c r="C273" s="128">
        <v>-1.0145</v>
      </c>
      <c r="D273" s="128" t="s">
        <v>110</v>
      </c>
      <c r="E273" s="128">
        <v>111.3374</v>
      </c>
      <c r="F273" s="118"/>
      <c r="G273" s="129" t="s">
        <v>201</v>
      </c>
      <c r="H273" s="129" t="s">
        <v>111</v>
      </c>
      <c r="I273" s="129">
        <v>50.347499999999997</v>
      </c>
    </row>
    <row r="274" spans="1:9" ht="15" hidden="1">
      <c r="A274" s="128" t="s">
        <v>201</v>
      </c>
      <c r="B274" s="128" t="s">
        <v>112</v>
      </c>
      <c r="C274" s="128">
        <v>-78.977400000000003</v>
      </c>
      <c r="D274" s="128" t="s">
        <v>110</v>
      </c>
      <c r="E274" s="128">
        <v>41.843000000000004</v>
      </c>
      <c r="F274" s="118"/>
      <c r="G274" s="129" t="s">
        <v>201</v>
      </c>
      <c r="H274" s="129" t="s">
        <v>112</v>
      </c>
      <c r="I274" s="129">
        <v>65.300799999999995</v>
      </c>
    </row>
    <row r="275" spans="1:9" ht="15" hidden="1">
      <c r="A275" s="128" t="s">
        <v>202</v>
      </c>
      <c r="B275" s="128" t="s">
        <v>109</v>
      </c>
      <c r="C275" s="128">
        <v>-18.434699999999999</v>
      </c>
      <c r="D275" s="128" t="s">
        <v>110</v>
      </c>
      <c r="E275" s="128">
        <v>0</v>
      </c>
      <c r="F275" s="118"/>
      <c r="G275" s="129" t="s">
        <v>202</v>
      </c>
      <c r="H275" s="129" t="s">
        <v>109</v>
      </c>
      <c r="I275" s="129">
        <v>64.268799999999999</v>
      </c>
    </row>
    <row r="276" spans="1:9" ht="15" hidden="1">
      <c r="A276" s="128" t="s">
        <v>202</v>
      </c>
      <c r="B276" s="128" t="s">
        <v>111</v>
      </c>
      <c r="C276" s="128">
        <v>-98.948599999999999</v>
      </c>
      <c r="D276" s="128" t="s">
        <v>110</v>
      </c>
      <c r="E276" s="128">
        <v>0</v>
      </c>
      <c r="F276" s="118"/>
      <c r="G276" s="129" t="s">
        <v>202</v>
      </c>
      <c r="H276" s="129" t="s">
        <v>111</v>
      </c>
      <c r="I276" s="129">
        <v>80.079899999999995</v>
      </c>
    </row>
    <row r="277" spans="1:9" ht="15" hidden="1">
      <c r="A277" s="128" t="s">
        <v>202</v>
      </c>
      <c r="B277" s="128" t="s">
        <v>112</v>
      </c>
      <c r="C277" s="128">
        <v>-195.10830000000001</v>
      </c>
      <c r="D277" s="128" t="s">
        <v>110</v>
      </c>
      <c r="E277" s="128">
        <v>0</v>
      </c>
      <c r="F277" s="118"/>
      <c r="G277" s="129" t="s">
        <v>202</v>
      </c>
      <c r="H277" s="129" t="s">
        <v>112</v>
      </c>
      <c r="I277" s="129">
        <v>85.712800000000001</v>
      </c>
    </row>
    <row r="278" spans="1:9" ht="15" hidden="1">
      <c r="A278" s="128" t="s">
        <v>35</v>
      </c>
      <c r="B278" s="128" t="s">
        <v>109</v>
      </c>
      <c r="C278" s="128">
        <v>-232.5393</v>
      </c>
      <c r="D278" s="128" t="s">
        <v>110</v>
      </c>
      <c r="E278" s="128">
        <v>0</v>
      </c>
      <c r="F278" s="118"/>
      <c r="G278" s="129" t="s">
        <v>35</v>
      </c>
      <c r="H278" s="129" t="s">
        <v>109</v>
      </c>
      <c r="I278" s="129">
        <v>92.444500000000005</v>
      </c>
    </row>
    <row r="279" spans="1:9" ht="15" hidden="1">
      <c r="A279" s="128" t="s">
        <v>35</v>
      </c>
      <c r="B279" s="128" t="s">
        <v>111</v>
      </c>
      <c r="C279" s="128">
        <v>-6.1563999999999997</v>
      </c>
      <c r="D279" s="128" t="s">
        <v>110</v>
      </c>
      <c r="E279" s="128">
        <v>100.3172</v>
      </c>
      <c r="F279" s="118"/>
      <c r="G279" s="129" t="s">
        <v>35</v>
      </c>
      <c r="H279" s="129" t="s">
        <v>111</v>
      </c>
      <c r="I279" s="129">
        <v>66.353899999999996</v>
      </c>
    </row>
    <row r="280" spans="1:9" ht="15" hidden="1">
      <c r="A280" s="128" t="s">
        <v>35</v>
      </c>
      <c r="B280" s="128" t="s">
        <v>112</v>
      </c>
      <c r="C280" s="128">
        <v>-138.8965</v>
      </c>
      <c r="D280" s="128" t="s">
        <v>110</v>
      </c>
      <c r="E280" s="128">
        <v>4.2488000000000001</v>
      </c>
      <c r="F280" s="118"/>
      <c r="G280" s="129" t="s">
        <v>35</v>
      </c>
      <c r="H280" s="129" t="s">
        <v>112</v>
      </c>
      <c r="I280" s="129">
        <v>81.735699999999994</v>
      </c>
    </row>
    <row r="281" spans="1:9" ht="15" hidden="1">
      <c r="A281" s="128" t="s">
        <v>203</v>
      </c>
      <c r="B281" s="128" t="s">
        <v>109</v>
      </c>
      <c r="C281" s="128">
        <v>-148.36840000000001</v>
      </c>
      <c r="D281" s="128" t="s">
        <v>110</v>
      </c>
      <c r="E281" s="128">
        <v>25.1843</v>
      </c>
      <c r="F281" s="118"/>
      <c r="G281" s="129" t="s">
        <v>203</v>
      </c>
      <c r="H281" s="129" t="s">
        <v>109</v>
      </c>
      <c r="I281" s="129">
        <v>65.917900000000003</v>
      </c>
    </row>
    <row r="282" spans="1:9" ht="15" hidden="1">
      <c r="A282" s="128" t="s">
        <v>203</v>
      </c>
      <c r="B282" s="128" t="s">
        <v>111</v>
      </c>
      <c r="C282" s="128">
        <v>0</v>
      </c>
      <c r="D282" s="128" t="s">
        <v>110</v>
      </c>
      <c r="E282" s="128">
        <v>97.813199999999995</v>
      </c>
      <c r="F282" s="118"/>
      <c r="G282" s="129" t="s">
        <v>203</v>
      </c>
      <c r="H282" s="129" t="s">
        <v>111</v>
      </c>
      <c r="I282" s="129">
        <v>71.864400000000003</v>
      </c>
    </row>
    <row r="283" spans="1:9" ht="15" hidden="1">
      <c r="A283" s="128" t="s">
        <v>203</v>
      </c>
      <c r="B283" s="128" t="s">
        <v>112</v>
      </c>
      <c r="C283" s="128">
        <v>-197.9614</v>
      </c>
      <c r="D283" s="128" t="s">
        <v>110</v>
      </c>
      <c r="E283" s="128">
        <v>0</v>
      </c>
      <c r="F283" s="118"/>
      <c r="G283" s="129" t="s">
        <v>203</v>
      </c>
      <c r="H283" s="129" t="s">
        <v>112</v>
      </c>
      <c r="I283" s="129">
        <v>99.991799999999998</v>
      </c>
    </row>
    <row r="284" spans="1:9" ht="15" hidden="1">
      <c r="A284" s="128" t="s">
        <v>204</v>
      </c>
      <c r="B284" s="128" t="s">
        <v>109</v>
      </c>
      <c r="C284" s="128">
        <v>-169.90710000000001</v>
      </c>
      <c r="D284" s="128" t="s">
        <v>110</v>
      </c>
      <c r="E284" s="128">
        <v>0</v>
      </c>
      <c r="F284" s="118"/>
      <c r="G284" s="129" t="s">
        <v>204</v>
      </c>
      <c r="H284" s="129" t="s">
        <v>109</v>
      </c>
      <c r="I284" s="129">
        <v>66.906999999999996</v>
      </c>
    </row>
    <row r="285" spans="1:9" ht="15" hidden="1">
      <c r="A285" s="128" t="s">
        <v>204</v>
      </c>
      <c r="B285" s="128" t="s">
        <v>111</v>
      </c>
      <c r="C285" s="128">
        <v>0</v>
      </c>
      <c r="D285" s="128" t="s">
        <v>110</v>
      </c>
      <c r="E285" s="128">
        <v>83.135499999999993</v>
      </c>
      <c r="F285" s="118"/>
      <c r="G285" s="129" t="s">
        <v>204</v>
      </c>
      <c r="H285" s="129" t="s">
        <v>111</v>
      </c>
      <c r="I285" s="129">
        <v>60.5349</v>
      </c>
    </row>
    <row r="286" spans="1:9" ht="15" hidden="1">
      <c r="A286" s="128" t="s">
        <v>204</v>
      </c>
      <c r="B286" s="128" t="s">
        <v>112</v>
      </c>
      <c r="C286" s="128">
        <v>-171.65780000000001</v>
      </c>
      <c r="D286" s="128" t="s">
        <v>110</v>
      </c>
      <c r="E286" s="128">
        <v>0</v>
      </c>
      <c r="F286" s="118"/>
      <c r="G286" s="129" t="s">
        <v>204</v>
      </c>
      <c r="H286" s="129" t="s">
        <v>112</v>
      </c>
      <c r="I286" s="129">
        <v>91.954499999999996</v>
      </c>
    </row>
    <row r="287" spans="1:9" ht="15" hidden="1">
      <c r="A287" s="128" t="s">
        <v>205</v>
      </c>
      <c r="B287" s="128" t="s">
        <v>109</v>
      </c>
      <c r="C287" s="128">
        <v>-198.22739999999999</v>
      </c>
      <c r="D287" s="128" t="s">
        <v>110</v>
      </c>
      <c r="E287" s="128">
        <v>0</v>
      </c>
      <c r="F287" s="118"/>
      <c r="G287" s="129" t="s">
        <v>205</v>
      </c>
      <c r="H287" s="129" t="s">
        <v>109</v>
      </c>
      <c r="I287" s="129">
        <v>78.5702</v>
      </c>
    </row>
    <row r="288" spans="1:9" ht="15" hidden="1">
      <c r="A288" s="128" t="s">
        <v>205</v>
      </c>
      <c r="B288" s="128" t="s">
        <v>111</v>
      </c>
      <c r="C288" s="128">
        <v>0</v>
      </c>
      <c r="D288" s="128" t="s">
        <v>110</v>
      </c>
      <c r="E288" s="128">
        <v>97.138900000000007</v>
      </c>
      <c r="F288" s="118"/>
      <c r="G288" s="129" t="s">
        <v>205</v>
      </c>
      <c r="H288" s="129" t="s">
        <v>111</v>
      </c>
      <c r="I288" s="129">
        <v>59.161799999999999</v>
      </c>
    </row>
    <row r="289" spans="1:9" ht="15" hidden="1">
      <c r="A289" s="128" t="s">
        <v>205</v>
      </c>
      <c r="B289" s="128" t="s">
        <v>112</v>
      </c>
      <c r="C289" s="128">
        <v>-149.05449999999999</v>
      </c>
      <c r="D289" s="128" t="s">
        <v>110</v>
      </c>
      <c r="E289" s="128">
        <v>22.6691</v>
      </c>
      <c r="F289" s="118"/>
      <c r="G289" s="129" t="s">
        <v>205</v>
      </c>
      <c r="H289" s="129" t="s">
        <v>112</v>
      </c>
      <c r="I289" s="129">
        <v>88.999700000000004</v>
      </c>
    </row>
    <row r="290" spans="1:9" ht="15" hidden="1">
      <c r="A290" s="128" t="s">
        <v>206</v>
      </c>
      <c r="B290" s="128" t="s">
        <v>109</v>
      </c>
      <c r="C290" s="128">
        <v>-138.6936</v>
      </c>
      <c r="D290" s="128" t="s">
        <v>110</v>
      </c>
      <c r="E290" s="128">
        <v>7.4169999999999998</v>
      </c>
      <c r="F290" s="118"/>
      <c r="G290" s="129" t="s">
        <v>206</v>
      </c>
      <c r="H290" s="129" t="s">
        <v>109</v>
      </c>
      <c r="I290" s="129">
        <v>72.528199999999998</v>
      </c>
    </row>
    <row r="291" spans="1:9" ht="15" hidden="1">
      <c r="A291" s="128" t="s">
        <v>206</v>
      </c>
      <c r="B291" s="128" t="s">
        <v>111</v>
      </c>
      <c r="C291" s="128">
        <v>-8.9117999999999995</v>
      </c>
      <c r="D291" s="128" t="s">
        <v>110</v>
      </c>
      <c r="E291" s="128">
        <v>101.7466</v>
      </c>
      <c r="F291" s="118"/>
      <c r="G291" s="129" t="s">
        <v>206</v>
      </c>
      <c r="H291" s="129" t="s">
        <v>111</v>
      </c>
      <c r="I291" s="129">
        <v>87.435699999999997</v>
      </c>
    </row>
    <row r="292" spans="1:9" ht="15" hidden="1">
      <c r="A292" s="128" t="s">
        <v>206</v>
      </c>
      <c r="B292" s="128" t="s">
        <v>112</v>
      </c>
      <c r="C292" s="128">
        <v>-235.9588</v>
      </c>
      <c r="D292" s="128" t="s">
        <v>110</v>
      </c>
      <c r="E292" s="128">
        <v>0</v>
      </c>
      <c r="F292" s="118"/>
      <c r="G292" s="129" t="s">
        <v>206</v>
      </c>
      <c r="H292" s="129" t="s">
        <v>112</v>
      </c>
      <c r="I292" s="129">
        <v>110.90389999999999</v>
      </c>
    </row>
    <row r="293" spans="1:9" ht="15" hidden="1">
      <c r="A293" s="128" t="s">
        <v>36</v>
      </c>
      <c r="B293" s="128" t="s">
        <v>109</v>
      </c>
      <c r="C293" s="128">
        <v>-196.4898</v>
      </c>
      <c r="D293" s="128" t="s">
        <v>110</v>
      </c>
      <c r="E293" s="128">
        <v>0</v>
      </c>
      <c r="F293" s="118"/>
      <c r="G293" s="129" t="s">
        <v>36</v>
      </c>
      <c r="H293" s="129" t="s">
        <v>109</v>
      </c>
      <c r="I293" s="129">
        <v>86.180300000000003</v>
      </c>
    </row>
    <row r="294" spans="1:9" ht="15" hidden="1">
      <c r="A294" s="128" t="s">
        <v>36</v>
      </c>
      <c r="B294" s="128" t="s">
        <v>111</v>
      </c>
      <c r="C294" s="128">
        <v>-99.787700000000001</v>
      </c>
      <c r="D294" s="128" t="s">
        <v>110</v>
      </c>
      <c r="E294" s="128">
        <v>0</v>
      </c>
      <c r="F294" s="118"/>
      <c r="G294" s="129" t="s">
        <v>36</v>
      </c>
      <c r="H294" s="129" t="s">
        <v>111</v>
      </c>
      <c r="I294" s="129">
        <v>70.327399999999997</v>
      </c>
    </row>
    <row r="295" spans="1:9" ht="15" hidden="1">
      <c r="A295" s="128" t="s">
        <v>36</v>
      </c>
      <c r="B295" s="128" t="s">
        <v>112</v>
      </c>
      <c r="C295" s="128">
        <v>-18.767800000000001</v>
      </c>
      <c r="D295" s="128" t="s">
        <v>110</v>
      </c>
      <c r="E295" s="128">
        <v>0</v>
      </c>
      <c r="F295" s="118"/>
      <c r="G295" s="129" t="s">
        <v>36</v>
      </c>
      <c r="H295" s="129" t="s">
        <v>112</v>
      </c>
      <c r="I295" s="129">
        <v>64.694500000000005</v>
      </c>
    </row>
    <row r="296" spans="1:9" ht="15" hidden="1">
      <c r="A296" s="128" t="s">
        <v>207</v>
      </c>
      <c r="B296" s="128" t="s">
        <v>109</v>
      </c>
      <c r="C296" s="128">
        <v>-3.6162999999999998</v>
      </c>
      <c r="D296" s="128" t="s">
        <v>110</v>
      </c>
      <c r="E296" s="128">
        <v>3.8403</v>
      </c>
      <c r="F296" s="118"/>
      <c r="G296" s="129" t="s">
        <v>207</v>
      </c>
      <c r="H296" s="129" t="s">
        <v>109</v>
      </c>
      <c r="I296" s="129">
        <v>4.9630000000000001</v>
      </c>
    </row>
    <row r="297" spans="1:9" ht="15" hidden="1">
      <c r="A297" s="128" t="s">
        <v>207</v>
      </c>
      <c r="B297" s="128" t="s">
        <v>111</v>
      </c>
      <c r="C297" s="128">
        <v>-26.621700000000001</v>
      </c>
      <c r="D297" s="128" t="s">
        <v>110</v>
      </c>
      <c r="E297" s="128">
        <v>3.6587999999999998</v>
      </c>
      <c r="F297" s="118"/>
      <c r="G297" s="129" t="s">
        <v>207</v>
      </c>
      <c r="H297" s="129" t="s">
        <v>111</v>
      </c>
      <c r="I297" s="129">
        <v>15.3489</v>
      </c>
    </row>
    <row r="298" spans="1:9" ht="15" hidden="1">
      <c r="A298" s="128" t="s">
        <v>207</v>
      </c>
      <c r="B298" s="128" t="s">
        <v>112</v>
      </c>
      <c r="C298" s="128">
        <v>-38.006</v>
      </c>
      <c r="D298" s="128" t="s">
        <v>110</v>
      </c>
      <c r="E298" s="128">
        <v>0</v>
      </c>
      <c r="F298" s="118"/>
      <c r="G298" s="129" t="s">
        <v>207</v>
      </c>
      <c r="H298" s="129" t="s">
        <v>112</v>
      </c>
      <c r="I298" s="129">
        <v>17.4009</v>
      </c>
    </row>
    <row r="299" spans="1:9" ht="15" hidden="1">
      <c r="A299" s="128" t="s">
        <v>208</v>
      </c>
      <c r="B299" s="128" t="s">
        <v>109</v>
      </c>
      <c r="C299" s="128">
        <v>0</v>
      </c>
      <c r="D299" s="128" t="s">
        <v>110</v>
      </c>
      <c r="E299" s="128">
        <v>10.594099999999999</v>
      </c>
      <c r="F299" s="118"/>
      <c r="G299" s="129" t="s">
        <v>208</v>
      </c>
      <c r="H299" s="129" t="s">
        <v>109</v>
      </c>
      <c r="I299" s="129">
        <v>5.9881000000000002</v>
      </c>
    </row>
    <row r="300" spans="1:9" ht="15" hidden="1">
      <c r="A300" s="128" t="s">
        <v>208</v>
      </c>
      <c r="B300" s="128" t="s">
        <v>111</v>
      </c>
      <c r="C300" s="128">
        <v>-0.34770000000000001</v>
      </c>
      <c r="D300" s="128" t="s">
        <v>110</v>
      </c>
      <c r="E300" s="128">
        <v>6.6673</v>
      </c>
      <c r="F300" s="118"/>
      <c r="G300" s="129" t="s">
        <v>208</v>
      </c>
      <c r="H300" s="129" t="s">
        <v>111</v>
      </c>
      <c r="I300" s="129">
        <v>8.0401000000000007</v>
      </c>
    </row>
    <row r="301" spans="1:9" ht="15" hidden="1">
      <c r="A301" s="128" t="s">
        <v>208</v>
      </c>
      <c r="B301" s="128" t="s">
        <v>112</v>
      </c>
      <c r="C301" s="128">
        <v>-5.5406000000000004</v>
      </c>
      <c r="D301" s="128" t="s">
        <v>110</v>
      </c>
      <c r="E301" s="128">
        <v>1.8789</v>
      </c>
      <c r="F301" s="118"/>
      <c r="G301" s="129" t="s">
        <v>208</v>
      </c>
      <c r="H301" s="129" t="s">
        <v>112</v>
      </c>
      <c r="I301" s="129">
        <v>10.092000000000001</v>
      </c>
    </row>
    <row r="302" spans="1:9" ht="15" hidden="1">
      <c r="A302" s="128" t="s">
        <v>209</v>
      </c>
      <c r="B302" s="128" t="s">
        <v>109</v>
      </c>
      <c r="C302" s="128">
        <v>-2.4765999999999999</v>
      </c>
      <c r="D302" s="128" t="s">
        <v>110</v>
      </c>
      <c r="E302" s="128">
        <v>61.473799999999997</v>
      </c>
      <c r="F302" s="118"/>
      <c r="G302" s="129" t="s">
        <v>209</v>
      </c>
      <c r="H302" s="129" t="s">
        <v>109</v>
      </c>
      <c r="I302" s="129">
        <v>29.285799999999998</v>
      </c>
    </row>
    <row r="303" spans="1:9" ht="15" hidden="1">
      <c r="A303" s="128" t="s">
        <v>209</v>
      </c>
      <c r="B303" s="128" t="s">
        <v>111</v>
      </c>
      <c r="C303" s="128">
        <v>-0.3745</v>
      </c>
      <c r="D303" s="128" t="s">
        <v>110</v>
      </c>
      <c r="E303" s="128">
        <v>81.960300000000004</v>
      </c>
      <c r="F303" s="118"/>
      <c r="G303" s="129" t="s">
        <v>209</v>
      </c>
      <c r="H303" s="129" t="s">
        <v>111</v>
      </c>
      <c r="I303" s="129">
        <v>28.468399999999999</v>
      </c>
    </row>
    <row r="304" spans="1:9" ht="15" hidden="1">
      <c r="A304" s="128" t="s">
        <v>209</v>
      </c>
      <c r="B304" s="128" t="s">
        <v>112</v>
      </c>
      <c r="C304" s="128">
        <v>-120.6335</v>
      </c>
      <c r="D304" s="128" t="s">
        <v>110</v>
      </c>
      <c r="E304" s="128">
        <v>10.766400000000001</v>
      </c>
      <c r="F304" s="118"/>
      <c r="G304" s="129" t="s">
        <v>209</v>
      </c>
      <c r="H304" s="129" t="s">
        <v>112</v>
      </c>
      <c r="I304" s="129">
        <v>92.152100000000004</v>
      </c>
    </row>
    <row r="305" spans="1:9" ht="15" hidden="1">
      <c r="A305" s="128" t="s">
        <v>210</v>
      </c>
      <c r="B305" s="128" t="s">
        <v>109</v>
      </c>
      <c r="C305" s="128">
        <v>0</v>
      </c>
      <c r="D305" s="128" t="s">
        <v>110</v>
      </c>
      <c r="E305" s="128">
        <v>14.6259</v>
      </c>
      <c r="F305" s="118"/>
      <c r="G305" s="129" t="s">
        <v>210</v>
      </c>
      <c r="H305" s="129" t="s">
        <v>109</v>
      </c>
      <c r="I305" s="129">
        <v>4.6253000000000002</v>
      </c>
    </row>
    <row r="306" spans="1:9" ht="15" hidden="1">
      <c r="A306" s="128" t="s">
        <v>210</v>
      </c>
      <c r="B306" s="128" t="s">
        <v>111</v>
      </c>
      <c r="C306" s="128">
        <v>0</v>
      </c>
      <c r="D306" s="128" t="s">
        <v>110</v>
      </c>
      <c r="E306" s="128">
        <v>11.876300000000001</v>
      </c>
      <c r="F306" s="118"/>
      <c r="G306" s="129" t="s">
        <v>210</v>
      </c>
      <c r="H306" s="129" t="s">
        <v>111</v>
      </c>
      <c r="I306" s="129">
        <v>14.580399999999999</v>
      </c>
    </row>
    <row r="307" spans="1:9" ht="15" hidden="1">
      <c r="A307" s="128" t="s">
        <v>210</v>
      </c>
      <c r="B307" s="128" t="s">
        <v>112</v>
      </c>
      <c r="C307" s="128">
        <v>-7.2232000000000003</v>
      </c>
      <c r="D307" s="128" t="s">
        <v>110</v>
      </c>
      <c r="E307" s="128">
        <v>6.4861000000000004</v>
      </c>
      <c r="F307" s="118"/>
      <c r="G307" s="129" t="s">
        <v>210</v>
      </c>
      <c r="H307" s="129" t="s">
        <v>112</v>
      </c>
      <c r="I307" s="129">
        <v>17.122800000000002</v>
      </c>
    </row>
    <row r="308" spans="1:9" ht="15" hidden="1">
      <c r="A308" s="128" t="s">
        <v>211</v>
      </c>
      <c r="B308" s="128" t="s">
        <v>109</v>
      </c>
      <c r="C308" s="128">
        <v>0</v>
      </c>
      <c r="D308" s="128" t="s">
        <v>110</v>
      </c>
      <c r="E308" s="128">
        <v>79.924000000000007</v>
      </c>
      <c r="F308" s="118"/>
      <c r="G308" s="129" t="s">
        <v>211</v>
      </c>
      <c r="H308" s="129" t="s">
        <v>109</v>
      </c>
      <c r="I308" s="129">
        <v>8.4413</v>
      </c>
    </row>
    <row r="309" spans="1:9" ht="15" hidden="1">
      <c r="A309" s="128" t="s">
        <v>211</v>
      </c>
      <c r="B309" s="128" t="s">
        <v>111</v>
      </c>
      <c r="C309" s="128">
        <v>0</v>
      </c>
      <c r="D309" s="128" t="s">
        <v>110</v>
      </c>
      <c r="E309" s="128">
        <v>78.259299999999996</v>
      </c>
      <c r="F309" s="118"/>
      <c r="G309" s="129" t="s">
        <v>211</v>
      </c>
      <c r="H309" s="129" t="s">
        <v>111</v>
      </c>
      <c r="I309" s="129">
        <v>24.496200000000002</v>
      </c>
    </row>
    <row r="310" spans="1:9" ht="15" hidden="1">
      <c r="A310" s="128" t="s">
        <v>211</v>
      </c>
      <c r="B310" s="128" t="s">
        <v>112</v>
      </c>
      <c r="C310" s="128">
        <v>0</v>
      </c>
      <c r="D310" s="128" t="s">
        <v>110</v>
      </c>
      <c r="E310" s="128">
        <v>43.323799999999999</v>
      </c>
      <c r="F310" s="118"/>
      <c r="G310" s="129" t="s">
        <v>211</v>
      </c>
      <c r="H310" s="129" t="s">
        <v>112</v>
      </c>
      <c r="I310" s="129">
        <v>34.108699999999999</v>
      </c>
    </row>
    <row r="311" spans="1:9" ht="15" hidden="1">
      <c r="A311" s="128" t="s">
        <v>212</v>
      </c>
      <c r="B311" s="128" t="s">
        <v>109</v>
      </c>
      <c r="C311" s="128">
        <v>-2.8340000000000001</v>
      </c>
      <c r="D311" s="128" t="s">
        <v>110</v>
      </c>
      <c r="E311" s="128">
        <v>19.133099999999999</v>
      </c>
      <c r="F311" s="118"/>
      <c r="G311" s="129" t="s">
        <v>212</v>
      </c>
      <c r="H311" s="129" t="s">
        <v>109</v>
      </c>
      <c r="I311" s="129">
        <v>44.568800000000003</v>
      </c>
    </row>
    <row r="312" spans="1:9" ht="15" hidden="1">
      <c r="A312" s="128" t="s">
        <v>212</v>
      </c>
      <c r="B312" s="128" t="s">
        <v>111</v>
      </c>
      <c r="C312" s="128">
        <v>-26.4101</v>
      </c>
      <c r="D312" s="128" t="s">
        <v>110</v>
      </c>
      <c r="E312" s="128">
        <v>0</v>
      </c>
      <c r="F312" s="118"/>
      <c r="G312" s="129" t="s">
        <v>212</v>
      </c>
      <c r="H312" s="129" t="s">
        <v>111</v>
      </c>
      <c r="I312" s="129">
        <v>46.200899999999997</v>
      </c>
    </row>
    <row r="313" spans="1:9" ht="15" hidden="1">
      <c r="A313" s="128" t="s">
        <v>212</v>
      </c>
      <c r="B313" s="128" t="s">
        <v>112</v>
      </c>
      <c r="C313" s="128">
        <v>-54.189100000000003</v>
      </c>
      <c r="D313" s="128" t="s">
        <v>110</v>
      </c>
      <c r="E313" s="128">
        <v>0</v>
      </c>
      <c r="F313" s="118"/>
      <c r="G313" s="129" t="s">
        <v>212</v>
      </c>
      <c r="H313" s="129" t="s">
        <v>112</v>
      </c>
      <c r="I313" s="129">
        <v>47.833100000000002</v>
      </c>
    </row>
    <row r="314" spans="1:9" ht="15" hidden="1">
      <c r="A314" s="128" t="s">
        <v>213</v>
      </c>
      <c r="B314" s="128" t="s">
        <v>109</v>
      </c>
      <c r="C314" s="128">
        <v>-23.602599999999999</v>
      </c>
      <c r="D314" s="128" t="s">
        <v>110</v>
      </c>
      <c r="E314" s="128">
        <v>58.706099999999999</v>
      </c>
      <c r="F314" s="118"/>
      <c r="G314" s="129" t="s">
        <v>213</v>
      </c>
      <c r="H314" s="129" t="s">
        <v>109</v>
      </c>
      <c r="I314" s="129">
        <v>20.301200000000001</v>
      </c>
    </row>
    <row r="315" spans="1:9" ht="15" hidden="1">
      <c r="A315" s="128" t="s">
        <v>213</v>
      </c>
      <c r="B315" s="128" t="s">
        <v>111</v>
      </c>
      <c r="C315" s="128">
        <v>-9.9430999999999994</v>
      </c>
      <c r="D315" s="128" t="s">
        <v>110</v>
      </c>
      <c r="E315" s="128">
        <v>48.2607</v>
      </c>
      <c r="F315" s="118"/>
      <c r="G315" s="129" t="s">
        <v>213</v>
      </c>
      <c r="H315" s="129" t="s">
        <v>111</v>
      </c>
      <c r="I315" s="129">
        <v>42.892899999999997</v>
      </c>
    </row>
    <row r="316" spans="1:9" ht="15" hidden="1">
      <c r="A316" s="128" t="s">
        <v>213</v>
      </c>
      <c r="B316" s="128" t="s">
        <v>112</v>
      </c>
      <c r="C316" s="128">
        <v>-146.87</v>
      </c>
      <c r="D316" s="128" t="s">
        <v>110</v>
      </c>
      <c r="E316" s="128">
        <v>0</v>
      </c>
      <c r="F316" s="118"/>
      <c r="G316" s="129" t="s">
        <v>213</v>
      </c>
      <c r="H316" s="129" t="s">
        <v>112</v>
      </c>
      <c r="I316" s="129">
        <v>0</v>
      </c>
    </row>
    <row r="317" spans="1:9" ht="15" hidden="1">
      <c r="A317" s="128" t="s">
        <v>214</v>
      </c>
      <c r="B317" s="128" t="s">
        <v>109</v>
      </c>
      <c r="C317" s="128">
        <v>-12.6317</v>
      </c>
      <c r="D317" s="128" t="s">
        <v>110</v>
      </c>
      <c r="E317" s="128">
        <v>0.61360000000000003</v>
      </c>
      <c r="F317" s="118"/>
      <c r="G317" s="129" t="s">
        <v>214</v>
      </c>
      <c r="H317" s="129" t="s">
        <v>109</v>
      </c>
      <c r="I317" s="129">
        <v>6.4668999999999999</v>
      </c>
    </row>
    <row r="318" spans="1:9" ht="15" hidden="1">
      <c r="A318" s="128" t="s">
        <v>214</v>
      </c>
      <c r="B318" s="128" t="s">
        <v>111</v>
      </c>
      <c r="C318" s="128">
        <v>-9.0939999999999994</v>
      </c>
      <c r="D318" s="128" t="s">
        <v>110</v>
      </c>
      <c r="E318" s="128">
        <v>0</v>
      </c>
      <c r="F318" s="118"/>
      <c r="G318" s="129" t="s">
        <v>214</v>
      </c>
      <c r="H318" s="129" t="s">
        <v>111</v>
      </c>
      <c r="I318" s="129">
        <v>11.8535</v>
      </c>
    </row>
    <row r="319" spans="1:9" ht="15" hidden="1">
      <c r="A319" s="128" t="s">
        <v>214</v>
      </c>
      <c r="B319" s="128" t="s">
        <v>112</v>
      </c>
      <c r="C319" s="128">
        <v>-19.751200000000001</v>
      </c>
      <c r="D319" s="128" t="s">
        <v>110</v>
      </c>
      <c r="E319" s="128">
        <v>0</v>
      </c>
      <c r="F319" s="118"/>
      <c r="G319" s="129" t="s">
        <v>214</v>
      </c>
      <c r="H319" s="129" t="s">
        <v>112</v>
      </c>
      <c r="I319" s="129">
        <v>14.088699999999999</v>
      </c>
    </row>
    <row r="320" spans="1:9" ht="15" hidden="1">
      <c r="A320" s="128" t="s">
        <v>215</v>
      </c>
      <c r="B320" s="128" t="s">
        <v>109</v>
      </c>
      <c r="C320" s="128">
        <v>-30.636299999999999</v>
      </c>
      <c r="D320" s="128" t="s">
        <v>110</v>
      </c>
      <c r="E320" s="128">
        <v>0</v>
      </c>
      <c r="F320" s="118"/>
      <c r="G320" s="129" t="s">
        <v>215</v>
      </c>
      <c r="H320" s="129" t="s">
        <v>109</v>
      </c>
      <c r="I320" s="129">
        <v>18.284099999999999</v>
      </c>
    </row>
    <row r="321" spans="1:9" ht="15" hidden="1">
      <c r="A321" s="128" t="s">
        <v>215</v>
      </c>
      <c r="B321" s="128" t="s">
        <v>111</v>
      </c>
      <c r="C321" s="128">
        <v>-19.081700000000001</v>
      </c>
      <c r="D321" s="128" t="s">
        <v>110</v>
      </c>
      <c r="E321" s="128">
        <v>1.4017999999999999</v>
      </c>
      <c r="F321" s="118"/>
      <c r="G321" s="129" t="s">
        <v>215</v>
      </c>
      <c r="H321" s="129" t="s">
        <v>111</v>
      </c>
      <c r="I321" s="129">
        <v>16.491299999999999</v>
      </c>
    </row>
    <row r="322" spans="1:9" ht="15" hidden="1">
      <c r="A322" s="128" t="s">
        <v>215</v>
      </c>
      <c r="B322" s="128" t="s">
        <v>112</v>
      </c>
      <c r="C322" s="128">
        <v>-10.4696</v>
      </c>
      <c r="D322" s="128" t="s">
        <v>110</v>
      </c>
      <c r="E322" s="128">
        <v>8.5947999999999993</v>
      </c>
      <c r="F322" s="118"/>
      <c r="G322" s="129" t="s">
        <v>215</v>
      </c>
      <c r="H322" s="129" t="s">
        <v>112</v>
      </c>
      <c r="I322" s="129">
        <v>14.698600000000001</v>
      </c>
    </row>
    <row r="323" spans="1:9" ht="15">
      <c r="A323" s="128" t="s">
        <v>216</v>
      </c>
      <c r="B323" s="128" t="s">
        <v>109</v>
      </c>
      <c r="C323" s="128">
        <v>-53.282499999999999</v>
      </c>
      <c r="D323" s="128" t="s">
        <v>110</v>
      </c>
      <c r="E323" s="128">
        <v>27.0047</v>
      </c>
      <c r="F323" s="118"/>
      <c r="G323" s="129" t="s">
        <v>216</v>
      </c>
      <c r="H323" s="129" t="s">
        <v>109</v>
      </c>
      <c r="I323" s="129">
        <v>32.784700000000001</v>
      </c>
    </row>
    <row r="324" spans="1:9" ht="15">
      <c r="A324" s="128" t="s">
        <v>216</v>
      </c>
      <c r="B324" s="128" t="s">
        <v>111</v>
      </c>
      <c r="C324" s="128">
        <v>0</v>
      </c>
      <c r="D324" s="128" t="s">
        <v>110</v>
      </c>
      <c r="E324" s="128">
        <v>52.914999999999999</v>
      </c>
      <c r="F324" s="118"/>
      <c r="G324" s="129" t="s">
        <v>216</v>
      </c>
      <c r="H324" s="142" t="s">
        <v>111</v>
      </c>
      <c r="I324" s="129">
        <v>9.7515000000000001</v>
      </c>
    </row>
    <row r="325" spans="1:9" ht="15">
      <c r="A325" s="128" t="s">
        <v>216</v>
      </c>
      <c r="B325" s="128" t="s">
        <v>112</v>
      </c>
      <c r="C325" s="128">
        <v>0</v>
      </c>
      <c r="D325" s="128" t="s">
        <v>110</v>
      </c>
      <c r="E325" s="128">
        <v>55.1554</v>
      </c>
      <c r="F325" s="118"/>
      <c r="G325" s="129" t="s">
        <v>216</v>
      </c>
      <c r="H325" s="129" t="s">
        <v>112</v>
      </c>
      <c r="I325" s="129">
        <v>14.2689</v>
      </c>
    </row>
    <row r="326" spans="1:9" ht="15" hidden="1">
      <c r="A326" s="128" t="s">
        <v>217</v>
      </c>
      <c r="B326" s="128" t="s">
        <v>109</v>
      </c>
      <c r="C326" s="128">
        <v>0</v>
      </c>
      <c r="D326" s="128" t="s">
        <v>110</v>
      </c>
      <c r="E326" s="128">
        <v>21.3612</v>
      </c>
      <c r="F326" s="118"/>
      <c r="G326" s="129" t="s">
        <v>217</v>
      </c>
      <c r="H326" s="129" t="s">
        <v>109</v>
      </c>
      <c r="I326" s="129">
        <v>20.5381</v>
      </c>
    </row>
    <row r="327" spans="1:9" ht="15" hidden="1">
      <c r="A327" s="128" t="s">
        <v>217</v>
      </c>
      <c r="B327" s="128" t="s">
        <v>111</v>
      </c>
      <c r="C327" s="128">
        <v>0</v>
      </c>
      <c r="D327" s="128" t="s">
        <v>110</v>
      </c>
      <c r="E327" s="128">
        <v>32.747700000000002</v>
      </c>
      <c r="F327" s="118"/>
      <c r="G327" s="129" t="s">
        <v>217</v>
      </c>
      <c r="H327" s="129" t="s">
        <v>111</v>
      </c>
      <c r="I327" s="129">
        <v>19.035799999999998</v>
      </c>
    </row>
    <row r="328" spans="1:9" ht="15" hidden="1">
      <c r="A328" s="128" t="s">
        <v>217</v>
      </c>
      <c r="B328" s="128" t="s">
        <v>112</v>
      </c>
      <c r="C328" s="128">
        <v>0</v>
      </c>
      <c r="D328" s="128" t="s">
        <v>110</v>
      </c>
      <c r="E328" s="128">
        <v>43.123899999999999</v>
      </c>
      <c r="F328" s="118"/>
      <c r="G328" s="129" t="s">
        <v>217</v>
      </c>
      <c r="H328" s="129" t="s">
        <v>112</v>
      </c>
      <c r="I328" s="129">
        <v>17.5335</v>
      </c>
    </row>
    <row r="329" spans="1:9" ht="15" hidden="1">
      <c r="A329" s="128" t="s">
        <v>218</v>
      </c>
      <c r="B329" s="128" t="s">
        <v>109</v>
      </c>
      <c r="C329" s="128">
        <v>0</v>
      </c>
      <c r="D329" s="128" t="s">
        <v>110</v>
      </c>
      <c r="E329" s="128">
        <v>10.4033</v>
      </c>
      <c r="F329" s="118"/>
      <c r="G329" s="129" t="s">
        <v>218</v>
      </c>
      <c r="H329" s="129" t="s">
        <v>109</v>
      </c>
      <c r="I329" s="129">
        <v>12.896000000000001</v>
      </c>
    </row>
    <row r="330" spans="1:9" ht="15" hidden="1">
      <c r="A330" s="128" t="s">
        <v>218</v>
      </c>
      <c r="B330" s="128" t="s">
        <v>111</v>
      </c>
      <c r="C330" s="128">
        <v>-37.447200000000002</v>
      </c>
      <c r="D330" s="128" t="s">
        <v>110</v>
      </c>
      <c r="E330" s="128">
        <v>4.2065000000000001</v>
      </c>
      <c r="F330" s="118"/>
      <c r="G330" s="129" t="s">
        <v>218</v>
      </c>
      <c r="H330" s="129" t="s">
        <v>111</v>
      </c>
      <c r="I330" s="129">
        <v>27.410799999999998</v>
      </c>
    </row>
    <row r="331" spans="1:9" ht="15" hidden="1">
      <c r="A331" s="128" t="s">
        <v>218</v>
      </c>
      <c r="B331" s="128" t="s">
        <v>112</v>
      </c>
      <c r="C331" s="128">
        <v>-66.7393</v>
      </c>
      <c r="D331" s="128" t="s">
        <v>110</v>
      </c>
      <c r="E331" s="128">
        <v>0</v>
      </c>
      <c r="F331" s="118"/>
      <c r="G331" s="129" t="s">
        <v>218</v>
      </c>
      <c r="H331" s="129" t="s">
        <v>112</v>
      </c>
      <c r="I331" s="129">
        <v>30.1782</v>
      </c>
    </row>
    <row r="332" spans="1:9" ht="15" hidden="1">
      <c r="A332" s="128" t="s">
        <v>219</v>
      </c>
      <c r="B332" s="128" t="s">
        <v>109</v>
      </c>
      <c r="C332" s="128">
        <v>-413.02710000000002</v>
      </c>
      <c r="D332" s="128" t="s">
        <v>110</v>
      </c>
      <c r="E332" s="128">
        <v>0</v>
      </c>
      <c r="F332" s="118"/>
      <c r="G332" s="129" t="s">
        <v>219</v>
      </c>
      <c r="H332" s="129" t="s">
        <v>109</v>
      </c>
      <c r="I332" s="129">
        <v>238.0044</v>
      </c>
    </row>
    <row r="333" spans="1:9" ht="15" hidden="1">
      <c r="A333" s="128" t="s">
        <v>219</v>
      </c>
      <c r="B333" s="128" t="s">
        <v>111</v>
      </c>
      <c r="C333" s="128">
        <v>-14.3065</v>
      </c>
      <c r="D333" s="128" t="s">
        <v>110</v>
      </c>
      <c r="E333" s="128">
        <v>188.2867</v>
      </c>
      <c r="F333" s="118"/>
      <c r="G333" s="129" t="s">
        <v>219</v>
      </c>
      <c r="H333" s="129" t="s">
        <v>111</v>
      </c>
      <c r="I333" s="129">
        <v>169.9093</v>
      </c>
    </row>
    <row r="334" spans="1:9" ht="15" hidden="1">
      <c r="A334" s="128" t="s">
        <v>219</v>
      </c>
      <c r="B334" s="128" t="s">
        <v>112</v>
      </c>
      <c r="C334" s="128">
        <v>0</v>
      </c>
      <c r="D334" s="128" t="s">
        <v>110</v>
      </c>
      <c r="E334" s="128">
        <v>214.12379999999999</v>
      </c>
      <c r="F334" s="118"/>
      <c r="G334" s="129" t="s">
        <v>219</v>
      </c>
      <c r="H334" s="129" t="s">
        <v>112</v>
      </c>
      <c r="I334" s="129">
        <v>67.209299999999999</v>
      </c>
    </row>
    <row r="335" spans="1:9" ht="15" hidden="1">
      <c r="A335" s="128" t="s">
        <v>220</v>
      </c>
      <c r="B335" s="128" t="s">
        <v>109</v>
      </c>
      <c r="C335" s="128">
        <v>0</v>
      </c>
      <c r="D335" s="128" t="s">
        <v>110</v>
      </c>
      <c r="E335" s="128">
        <v>205.54140000000001</v>
      </c>
      <c r="F335" s="118"/>
      <c r="G335" s="129" t="s">
        <v>220</v>
      </c>
      <c r="H335" s="129" t="s">
        <v>109</v>
      </c>
      <c r="I335" s="129">
        <v>246.29939999999999</v>
      </c>
    </row>
    <row r="336" spans="1:9" ht="15" hidden="1">
      <c r="A336" s="128" t="s">
        <v>220</v>
      </c>
      <c r="B336" s="128" t="s">
        <v>111</v>
      </c>
      <c r="C336" s="128">
        <v>-185.39019999999999</v>
      </c>
      <c r="D336" s="128" t="s">
        <v>110</v>
      </c>
      <c r="E336" s="128">
        <v>81.287499999999994</v>
      </c>
      <c r="F336" s="118"/>
      <c r="G336" s="129" t="s">
        <v>220</v>
      </c>
      <c r="H336" s="129" t="s">
        <v>111</v>
      </c>
      <c r="I336" s="129">
        <v>278.27390000000003</v>
      </c>
    </row>
    <row r="337" spans="1:9" ht="15" hidden="1">
      <c r="A337" s="128" t="s">
        <v>220</v>
      </c>
      <c r="B337" s="128" t="s">
        <v>112</v>
      </c>
      <c r="C337" s="128">
        <v>-351.09550000000002</v>
      </c>
      <c r="D337" s="128" t="s">
        <v>110</v>
      </c>
      <c r="E337" s="128">
        <v>0</v>
      </c>
      <c r="F337" s="118"/>
      <c r="G337" s="129" t="s">
        <v>220</v>
      </c>
      <c r="H337" s="129" t="s">
        <v>112</v>
      </c>
      <c r="I337" s="129">
        <v>282.48239999999998</v>
      </c>
    </row>
    <row r="338" spans="1:9" ht="15" hidden="1">
      <c r="A338" s="128" t="s">
        <v>221</v>
      </c>
      <c r="B338" s="128" t="s">
        <v>109</v>
      </c>
      <c r="C338" s="128">
        <v>-349.30939999999998</v>
      </c>
      <c r="D338" s="128" t="s">
        <v>110</v>
      </c>
      <c r="E338" s="128">
        <v>0</v>
      </c>
      <c r="F338" s="118"/>
      <c r="G338" s="129" t="s">
        <v>221</v>
      </c>
      <c r="H338" s="129" t="s">
        <v>109</v>
      </c>
      <c r="I338" s="129">
        <v>286.49540000000002</v>
      </c>
    </row>
    <row r="339" spans="1:9" ht="15" hidden="1">
      <c r="A339" s="128" t="s">
        <v>221</v>
      </c>
      <c r="B339" s="128" t="s">
        <v>111</v>
      </c>
      <c r="C339" s="128">
        <v>-183.2851</v>
      </c>
      <c r="D339" s="128" t="s">
        <v>110</v>
      </c>
      <c r="E339" s="128">
        <v>83.830399999999997</v>
      </c>
      <c r="F339" s="118"/>
      <c r="G339" s="129" t="s">
        <v>221</v>
      </c>
      <c r="H339" s="129" t="s">
        <v>111</v>
      </c>
      <c r="I339" s="129">
        <v>282.2869</v>
      </c>
    </row>
    <row r="340" spans="1:9" ht="15" hidden="1">
      <c r="A340" s="128" t="s">
        <v>221</v>
      </c>
      <c r="B340" s="128" t="s">
        <v>112</v>
      </c>
      <c r="C340" s="128">
        <v>0</v>
      </c>
      <c r="D340" s="128" t="s">
        <v>110</v>
      </c>
      <c r="E340" s="128">
        <v>211.58019999999999</v>
      </c>
      <c r="F340" s="118"/>
      <c r="G340" s="129" t="s">
        <v>221</v>
      </c>
      <c r="H340" s="129" t="s">
        <v>112</v>
      </c>
      <c r="I340" s="129">
        <v>248.5043</v>
      </c>
    </row>
    <row r="341" spans="1:9" ht="15" hidden="1">
      <c r="A341" s="128" t="s">
        <v>222</v>
      </c>
      <c r="B341" s="128" t="s">
        <v>109</v>
      </c>
      <c r="C341" s="128">
        <v>0</v>
      </c>
      <c r="D341" s="128" t="s">
        <v>110</v>
      </c>
      <c r="E341" s="128">
        <v>217.2373</v>
      </c>
      <c r="F341" s="118"/>
      <c r="G341" s="129" t="s">
        <v>222</v>
      </c>
      <c r="H341" s="129" t="s">
        <v>109</v>
      </c>
      <c r="I341" s="129">
        <v>37.985300000000002</v>
      </c>
    </row>
    <row r="342" spans="1:9" ht="15" hidden="1">
      <c r="A342" s="128" t="s">
        <v>222</v>
      </c>
      <c r="B342" s="128" t="s">
        <v>111</v>
      </c>
      <c r="C342" s="128">
        <v>-18.553799999999999</v>
      </c>
      <c r="D342" s="128" t="s">
        <v>110</v>
      </c>
      <c r="E342" s="128">
        <v>190.05860000000001</v>
      </c>
      <c r="F342" s="118"/>
      <c r="G342" s="129" t="s">
        <v>222</v>
      </c>
      <c r="H342" s="129" t="s">
        <v>111</v>
      </c>
      <c r="I342" s="129">
        <v>172.26249999999999</v>
      </c>
    </row>
    <row r="343" spans="1:9" ht="15" hidden="1">
      <c r="A343" s="128" t="s">
        <v>222</v>
      </c>
      <c r="B343" s="128" t="s">
        <v>112</v>
      </c>
      <c r="C343" s="128">
        <v>-420.37670000000003</v>
      </c>
      <c r="D343" s="128" t="s">
        <v>110</v>
      </c>
      <c r="E343" s="128">
        <v>0</v>
      </c>
      <c r="F343" s="118"/>
      <c r="G343" s="129" t="s">
        <v>222</v>
      </c>
      <c r="H343" s="129" t="s">
        <v>112</v>
      </c>
      <c r="I343" s="129">
        <v>240.66919999999999</v>
      </c>
    </row>
    <row r="344" spans="1:9" ht="15" hidden="1">
      <c r="A344" s="128" t="s">
        <v>223</v>
      </c>
      <c r="B344" s="128" t="s">
        <v>109</v>
      </c>
      <c r="C344" s="128">
        <v>-5.7443999999999997</v>
      </c>
      <c r="D344" s="128" t="s">
        <v>110</v>
      </c>
      <c r="E344" s="128">
        <v>0</v>
      </c>
      <c r="F344" s="118"/>
      <c r="G344" s="129" t="s">
        <v>223</v>
      </c>
      <c r="H344" s="129" t="s">
        <v>109</v>
      </c>
      <c r="I344" s="129">
        <v>6.7244999999999999</v>
      </c>
    </row>
    <row r="345" spans="1:9" ht="15" hidden="1">
      <c r="A345" s="128" t="s">
        <v>223</v>
      </c>
      <c r="B345" s="128" t="s">
        <v>111</v>
      </c>
      <c r="C345" s="128">
        <v>0</v>
      </c>
      <c r="D345" s="128" t="s">
        <v>110</v>
      </c>
      <c r="E345" s="128">
        <v>0.55959999999999999</v>
      </c>
      <c r="F345" s="118"/>
      <c r="G345" s="129" t="s">
        <v>223</v>
      </c>
      <c r="H345" s="129" t="s">
        <v>111</v>
      </c>
      <c r="I345" s="129">
        <v>4.2058</v>
      </c>
    </row>
    <row r="346" spans="1:9" ht="15" hidden="1">
      <c r="A346" s="128" t="s">
        <v>223</v>
      </c>
      <c r="B346" s="128" t="s">
        <v>112</v>
      </c>
      <c r="C346" s="128">
        <v>0</v>
      </c>
      <c r="D346" s="128" t="s">
        <v>110</v>
      </c>
      <c r="E346" s="128">
        <v>3.7305999999999999</v>
      </c>
      <c r="F346" s="118"/>
      <c r="G346" s="129" t="s">
        <v>223</v>
      </c>
      <c r="H346" s="129" t="s">
        <v>112</v>
      </c>
      <c r="I346" s="129">
        <v>7.2919999999999998</v>
      </c>
    </row>
    <row r="347" spans="1:9" ht="15" hidden="1">
      <c r="A347" s="128" t="s">
        <v>224</v>
      </c>
      <c r="B347" s="128" t="s">
        <v>109</v>
      </c>
      <c r="C347" s="128">
        <v>-1.3169999999999999</v>
      </c>
      <c r="D347" s="128" t="s">
        <v>110</v>
      </c>
      <c r="E347" s="128">
        <v>0</v>
      </c>
      <c r="F347" s="118"/>
      <c r="G347" s="129" t="s">
        <v>224</v>
      </c>
      <c r="H347" s="129" t="s">
        <v>109</v>
      </c>
      <c r="I347" s="129">
        <v>2.9074</v>
      </c>
    </row>
    <row r="348" spans="1:9" ht="15" hidden="1">
      <c r="A348" s="128" t="s">
        <v>224</v>
      </c>
      <c r="B348" s="128" t="s">
        <v>111</v>
      </c>
      <c r="C348" s="128">
        <v>-1.5E-3</v>
      </c>
      <c r="D348" s="128" t="s">
        <v>110</v>
      </c>
      <c r="E348" s="128">
        <v>0</v>
      </c>
      <c r="F348" s="118"/>
      <c r="G348" s="129" t="s">
        <v>224</v>
      </c>
      <c r="H348" s="129" t="s">
        <v>111</v>
      </c>
      <c r="I348" s="129">
        <v>1.7905</v>
      </c>
    </row>
    <row r="349" spans="1:9" ht="15" hidden="1">
      <c r="A349" s="128" t="s">
        <v>224</v>
      </c>
      <c r="B349" s="128" t="s">
        <v>112</v>
      </c>
      <c r="C349" s="128">
        <v>0</v>
      </c>
      <c r="D349" s="128" t="s">
        <v>110</v>
      </c>
      <c r="E349" s="128">
        <v>0.33100000000000002</v>
      </c>
      <c r="F349" s="118"/>
      <c r="G349" s="129" t="s">
        <v>224</v>
      </c>
      <c r="H349" s="129" t="s">
        <v>112</v>
      </c>
      <c r="I349" s="129">
        <v>0.72260000000000002</v>
      </c>
    </row>
  </sheetData>
  <autoFilter ref="A1:I349">
    <filterColumn colId="0">
      <filters>
        <filter val="B82"/>
      </filters>
    </filterColumn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92D050"/>
  </sheetPr>
  <dimension ref="A4:M19"/>
  <sheetViews>
    <sheetView zoomScale="115" zoomScaleNormal="115" workbookViewId="0">
      <selection activeCell="M18" sqref="M18"/>
    </sheetView>
  </sheetViews>
  <sheetFormatPr defaultRowHeight="12.75"/>
  <cols>
    <col min="1" max="1" width="14" style="20" bestFit="1" customWidth="1"/>
    <col min="12" max="12" width="10.42578125" bestFit="1" customWidth="1"/>
    <col min="13" max="13" width="11.85546875" bestFit="1" customWidth="1"/>
  </cols>
  <sheetData>
    <row r="4" spans="1:13" s="2" customFormat="1" ht="15.75" customHeight="1">
      <c r="A4" s="5" t="s">
        <v>32</v>
      </c>
      <c r="B4" s="4"/>
      <c r="C4" s="4"/>
      <c r="D4" s="4"/>
      <c r="E4" s="4"/>
      <c r="F4" s="4"/>
      <c r="G4" s="4"/>
      <c r="H4" s="4"/>
      <c r="I4" s="4"/>
      <c r="J4" s="4"/>
      <c r="K4" s="1"/>
      <c r="L4" s="1"/>
      <c r="M4" s="1"/>
    </row>
    <row r="5" spans="1:13" s="2" customFormat="1" ht="15.75" customHeight="1">
      <c r="A5" s="6" t="s">
        <v>33</v>
      </c>
      <c r="B5" s="7" t="s">
        <v>34</v>
      </c>
      <c r="C5" s="7" t="s">
        <v>4</v>
      </c>
      <c r="D5" s="8" t="s">
        <v>14</v>
      </c>
      <c r="E5" s="7" t="s">
        <v>5</v>
      </c>
      <c r="F5" s="7" t="s">
        <v>0</v>
      </c>
      <c r="G5" s="7" t="s">
        <v>6</v>
      </c>
      <c r="H5" s="7" t="s">
        <v>7</v>
      </c>
      <c r="I5" s="7" t="s">
        <v>8</v>
      </c>
      <c r="J5" s="8" t="s">
        <v>17</v>
      </c>
      <c r="K5" s="8" t="s">
        <v>35</v>
      </c>
      <c r="L5" s="8" t="s">
        <v>36</v>
      </c>
      <c r="M5" s="21" t="s">
        <v>37</v>
      </c>
    </row>
    <row r="6" spans="1:13" s="2" customFormat="1" ht="15.75" customHeight="1">
      <c r="A6" s="9" t="s">
        <v>38</v>
      </c>
      <c r="B6" s="10">
        <v>8.5</v>
      </c>
      <c r="C6" s="10">
        <v>11.5</v>
      </c>
      <c r="D6" s="10">
        <v>13</v>
      </c>
      <c r="E6" s="10">
        <v>14.5</v>
      </c>
      <c r="F6" s="10">
        <v>17</v>
      </c>
      <c r="G6" s="10">
        <v>19.5</v>
      </c>
      <c r="H6" s="10">
        <v>22</v>
      </c>
      <c r="I6" s="10">
        <v>25</v>
      </c>
      <c r="J6" s="10">
        <v>27.5</v>
      </c>
      <c r="K6" s="10">
        <v>30</v>
      </c>
      <c r="L6" s="10">
        <v>33</v>
      </c>
      <c r="M6" s="22">
        <v>0</v>
      </c>
    </row>
    <row r="7" spans="1:13" s="2" customFormat="1" ht="15.75" customHeight="1">
      <c r="A7" s="9" t="s">
        <v>39</v>
      </c>
      <c r="B7" s="11">
        <v>0.75</v>
      </c>
      <c r="C7" s="10">
        <v>0.9</v>
      </c>
      <c r="D7" s="10">
        <v>1</v>
      </c>
      <c r="E7" s="10">
        <v>1.05</v>
      </c>
      <c r="F7" s="10">
        <v>1.1499999999999999</v>
      </c>
      <c r="G7" s="10">
        <v>1.3</v>
      </c>
      <c r="H7" s="10">
        <v>1.4</v>
      </c>
      <c r="I7" s="10">
        <v>1.5</v>
      </c>
      <c r="J7" s="10">
        <v>1.6</v>
      </c>
      <c r="K7" s="10">
        <v>1.7</v>
      </c>
      <c r="L7" s="10">
        <v>1.8</v>
      </c>
      <c r="M7" s="23">
        <v>0</v>
      </c>
    </row>
    <row r="8" spans="1:13" s="2" customFormat="1" ht="15.75" customHeight="1">
      <c r="A8" s="9" t="s">
        <v>40</v>
      </c>
      <c r="B8" s="10">
        <v>11</v>
      </c>
      <c r="C8" s="10">
        <v>15</v>
      </c>
      <c r="D8" s="10">
        <v>16.5</v>
      </c>
      <c r="E8" s="10">
        <v>18.5</v>
      </c>
      <c r="F8" s="10">
        <v>22</v>
      </c>
      <c r="G8" s="10">
        <v>25.5</v>
      </c>
      <c r="H8" s="10">
        <v>29</v>
      </c>
      <c r="I8" s="10">
        <v>32</v>
      </c>
      <c r="J8" s="10">
        <v>36</v>
      </c>
      <c r="K8" s="10">
        <v>39.5</v>
      </c>
      <c r="L8" s="10">
        <v>43</v>
      </c>
      <c r="M8" s="22">
        <v>0</v>
      </c>
    </row>
    <row r="9" spans="1:13" s="2" customFormat="1" ht="15.75" customHeight="1">
      <c r="A9" s="9" t="s">
        <v>41</v>
      </c>
      <c r="B9" s="11">
        <v>1.1000000000000001</v>
      </c>
      <c r="C9" s="11">
        <v>1.35</v>
      </c>
      <c r="D9" s="11">
        <v>1.45</v>
      </c>
      <c r="E9" s="11">
        <v>1.55</v>
      </c>
      <c r="F9" s="11">
        <v>1.75</v>
      </c>
      <c r="G9" s="11">
        <v>1.95</v>
      </c>
      <c r="H9" s="11">
        <v>2.1</v>
      </c>
      <c r="I9" s="11">
        <v>2.25</v>
      </c>
      <c r="J9" s="11">
        <v>2.4500000000000002</v>
      </c>
      <c r="K9" s="11">
        <v>2.6</v>
      </c>
      <c r="L9" s="11">
        <v>2.75</v>
      </c>
      <c r="M9" s="22">
        <v>0</v>
      </c>
    </row>
    <row r="10" spans="1:13" s="2" customFormat="1" ht="15.75" customHeight="1">
      <c r="A10" s="9" t="s">
        <v>42</v>
      </c>
      <c r="B10" s="12">
        <v>24000</v>
      </c>
      <c r="C10" s="12">
        <v>27500</v>
      </c>
      <c r="D10" s="12">
        <v>28500</v>
      </c>
      <c r="E10" s="12">
        <v>30000</v>
      </c>
      <c r="F10" s="12">
        <v>32500</v>
      </c>
      <c r="G10" s="12">
        <v>34500</v>
      </c>
      <c r="H10" s="12">
        <v>36000</v>
      </c>
      <c r="I10" s="12">
        <v>37000</v>
      </c>
      <c r="J10" s="12">
        <v>38000</v>
      </c>
      <c r="K10" s="12">
        <v>39000</v>
      </c>
      <c r="L10" s="12">
        <v>39500</v>
      </c>
      <c r="M10" s="22">
        <v>0</v>
      </c>
    </row>
    <row r="11" spans="1:13" s="2" customFormat="1" ht="15.75" customHeight="1">
      <c r="A11" s="3"/>
      <c r="B11" s="4"/>
      <c r="C11" s="4"/>
      <c r="D11" s="3"/>
      <c r="E11" s="4"/>
      <c r="F11" s="4"/>
      <c r="G11" s="4"/>
      <c r="H11" s="3"/>
      <c r="I11" s="4"/>
      <c r="J11" s="4"/>
      <c r="K11" s="1"/>
      <c r="L11" s="1"/>
      <c r="M11" s="1"/>
    </row>
    <row r="12" spans="1:13" s="2" customFormat="1" ht="15.75" customHeight="1">
      <c r="A12" s="3"/>
      <c r="B12" s="4"/>
      <c r="C12" s="4"/>
      <c r="D12" s="3"/>
      <c r="E12" s="4"/>
      <c r="F12" s="4"/>
      <c r="G12" s="4"/>
      <c r="H12" s="3"/>
      <c r="I12" s="4"/>
      <c r="J12" s="4"/>
      <c r="K12" s="1"/>
      <c r="L12" s="1"/>
      <c r="M12" s="1"/>
    </row>
    <row r="13" spans="1:13" s="2" customFormat="1" ht="15.75" customHeight="1">
      <c r="A13" s="5" t="s">
        <v>43</v>
      </c>
      <c r="B13" s="4"/>
      <c r="C13" s="4"/>
      <c r="D13" s="4"/>
      <c r="E13" s="4"/>
      <c r="F13" s="4"/>
      <c r="G13" s="4"/>
      <c r="H13" s="4"/>
      <c r="I13" s="4"/>
      <c r="J13" s="4"/>
      <c r="K13" s="1"/>
      <c r="L13" s="1"/>
      <c r="M13" s="1"/>
    </row>
    <row r="14" spans="1:13" s="2" customFormat="1" ht="15.75" customHeight="1">
      <c r="A14" s="13" t="s">
        <v>44</v>
      </c>
      <c r="B14" s="8" t="s">
        <v>18</v>
      </c>
      <c r="C14" s="8" t="s">
        <v>45</v>
      </c>
      <c r="D14" s="8" t="s">
        <v>19</v>
      </c>
      <c r="E14" s="8" t="s">
        <v>20</v>
      </c>
      <c r="F14" s="14" t="s">
        <v>46</v>
      </c>
      <c r="G14" s="14" t="s">
        <v>47</v>
      </c>
      <c r="H14" s="14" t="s">
        <v>48</v>
      </c>
      <c r="I14" s="24" t="s">
        <v>37</v>
      </c>
      <c r="J14" s="4"/>
      <c r="K14" s="1"/>
      <c r="L14" s="1"/>
      <c r="M14" s="1"/>
    </row>
    <row r="15" spans="1:13" s="2" customFormat="1" ht="15.75" customHeight="1">
      <c r="A15" s="19" t="s">
        <v>49</v>
      </c>
      <c r="B15" s="15">
        <v>240</v>
      </c>
      <c r="C15" s="15">
        <v>300</v>
      </c>
      <c r="D15" s="15">
        <v>300</v>
      </c>
      <c r="E15" s="15">
        <v>400</v>
      </c>
      <c r="F15" s="15">
        <v>500</v>
      </c>
      <c r="G15" s="16">
        <v>400</v>
      </c>
      <c r="H15" s="16">
        <v>490</v>
      </c>
      <c r="I15" s="25"/>
      <c r="J15" s="4"/>
      <c r="K15" s="1"/>
      <c r="L15" s="1"/>
      <c r="M15" s="1"/>
    </row>
    <row r="16" spans="1:13" s="2" customFormat="1" ht="15.75" customHeight="1">
      <c r="A16" s="19" t="s">
        <v>50</v>
      </c>
      <c r="B16" s="17">
        <v>210</v>
      </c>
      <c r="C16" s="17">
        <v>260</v>
      </c>
      <c r="D16" s="17">
        <v>260</v>
      </c>
      <c r="E16" s="17">
        <v>350</v>
      </c>
      <c r="F16" s="15">
        <v>435</v>
      </c>
      <c r="G16" s="18">
        <f>G15/1.15</f>
        <v>347.82608695652175</v>
      </c>
      <c r="H16" s="18">
        <f>H15/1.15</f>
        <v>426.08695652173918</v>
      </c>
      <c r="I16" s="25">
        <v>365</v>
      </c>
      <c r="J16" s="4"/>
      <c r="K16" s="4"/>
      <c r="L16" s="4"/>
      <c r="M16" s="1"/>
    </row>
    <row r="17" spans="1:13" s="2" customFormat="1" ht="15.75" customHeight="1">
      <c r="A17" s="19" t="s">
        <v>51</v>
      </c>
      <c r="B17" s="17">
        <v>210</v>
      </c>
      <c r="C17" s="17">
        <v>260</v>
      </c>
      <c r="D17" s="17">
        <v>260</v>
      </c>
      <c r="E17" s="17">
        <v>350</v>
      </c>
      <c r="F17" s="15">
        <v>400</v>
      </c>
      <c r="G17" s="18">
        <f>G16/1.15</f>
        <v>302.4574669187146</v>
      </c>
      <c r="H17" s="18">
        <f>H16/1.15</f>
        <v>370.51039697542541</v>
      </c>
      <c r="I17" s="25">
        <v>365</v>
      </c>
      <c r="J17" s="4"/>
      <c r="K17" s="1"/>
      <c r="L17" s="1"/>
      <c r="M17" s="1"/>
    </row>
    <row r="18" spans="1:13" s="2" customFormat="1" ht="15.75" customHeight="1">
      <c r="A18" s="19" t="s">
        <v>52</v>
      </c>
      <c r="B18" s="17">
        <v>170</v>
      </c>
      <c r="C18" s="17">
        <v>210</v>
      </c>
      <c r="D18" s="17">
        <v>210</v>
      </c>
      <c r="E18" s="17">
        <v>280</v>
      </c>
      <c r="F18" s="15">
        <v>300</v>
      </c>
      <c r="G18" s="16">
        <f>MIN(0.7*G15,300)</f>
        <v>280</v>
      </c>
      <c r="H18" s="16">
        <f>MIN(0.7*H15,300)</f>
        <v>300</v>
      </c>
      <c r="I18" s="25"/>
      <c r="J18" s="4"/>
      <c r="K18" s="1"/>
      <c r="L18" s="1"/>
      <c r="M18" s="1"/>
    </row>
    <row r="19" spans="1:13" s="2" customFormat="1" ht="15.75" customHeight="1">
      <c r="A19" s="19" t="s">
        <v>53</v>
      </c>
      <c r="B19" s="15">
        <v>200000</v>
      </c>
      <c r="C19" s="15">
        <v>200000</v>
      </c>
      <c r="D19" s="15">
        <v>200000</v>
      </c>
      <c r="E19" s="15">
        <v>200000</v>
      </c>
      <c r="F19" s="15">
        <v>200000</v>
      </c>
      <c r="G19" s="15">
        <v>200000</v>
      </c>
      <c r="H19" s="15">
        <v>200000</v>
      </c>
      <c r="I19" s="25">
        <v>200000</v>
      </c>
      <c r="J19" s="4"/>
      <c r="K19" s="1"/>
      <c r="L19" s="1"/>
      <c r="M19" s="1"/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FOMULA</vt:lpstr>
      <vt:lpstr>1200</vt:lpstr>
      <vt:lpstr>1000</vt:lpstr>
      <vt:lpstr>Nội lực</vt:lpstr>
      <vt:lpstr>Bang tra</vt:lpstr>
      <vt:lpstr>'1200'!output_report</vt:lpstr>
      <vt:lpstr>output_report</vt:lpstr>
      <vt:lpstr>'1000'!Print_Area</vt:lpstr>
      <vt:lpstr>'1200'!Print_Area</vt:lpstr>
    </vt:vector>
  </TitlesOfParts>
  <Company>HOME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 QUANG BAO</dc:creator>
  <cp:lastModifiedBy>Dell</cp:lastModifiedBy>
  <cp:lastPrinted>2022-05-05T03:09:00Z</cp:lastPrinted>
  <dcterms:created xsi:type="dcterms:W3CDTF">2010-07-03T03:13:42Z</dcterms:created>
  <dcterms:modified xsi:type="dcterms:W3CDTF">2022-09-08T07:37:28Z</dcterms:modified>
</cp:coreProperties>
</file>