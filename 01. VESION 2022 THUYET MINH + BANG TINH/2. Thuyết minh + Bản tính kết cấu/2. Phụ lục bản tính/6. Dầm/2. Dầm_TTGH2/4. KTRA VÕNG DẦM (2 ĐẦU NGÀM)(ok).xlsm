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330" tabRatio="460"/>
  </bookViews>
  <sheets>
    <sheet name="D20X40 (2)" sheetId="8" r:id="rId1"/>
    <sheet name="D20X40" sheetId="7" r:id="rId2"/>
    <sheet name="DATA" sheetId="2" r:id="rId3"/>
  </sheets>
  <functionGroups builtInGroupCount="17"/>
  <definedNames>
    <definedName name="_xlnm.Print_Area" localSheetId="1">D20X40!$A$1:$J$92</definedName>
    <definedName name="_xlnm.Print_Area" localSheetId="0">'D20X40 (2)'!$A$1:$J$92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2" i="8" l="1"/>
  <c r="H82" i="8"/>
  <c r="G82" i="8"/>
  <c r="F82" i="8"/>
  <c r="E82" i="8"/>
  <c r="D82" i="8"/>
  <c r="C82" i="8"/>
  <c r="I75" i="8"/>
  <c r="H75" i="8"/>
  <c r="G75" i="8"/>
  <c r="F75" i="8"/>
  <c r="E75" i="8"/>
  <c r="D75" i="8"/>
  <c r="C75" i="8"/>
  <c r="H68" i="8"/>
  <c r="G68" i="8"/>
  <c r="F68" i="8"/>
  <c r="I61" i="8"/>
  <c r="H61" i="8"/>
  <c r="G61" i="8"/>
  <c r="I50" i="8"/>
  <c r="H50" i="8"/>
  <c r="G50" i="8"/>
  <c r="F50" i="8"/>
  <c r="E50" i="8"/>
  <c r="D50" i="8"/>
  <c r="C50" i="8"/>
  <c r="I45" i="8"/>
  <c r="H45" i="8"/>
  <c r="G45" i="8"/>
  <c r="F45" i="8"/>
  <c r="E45" i="8"/>
  <c r="D45" i="8"/>
  <c r="C45" i="8"/>
  <c r="I42" i="8"/>
  <c r="H42" i="8"/>
  <c r="G42" i="8"/>
  <c r="F42" i="8"/>
  <c r="F43" i="8" s="1"/>
  <c r="E42" i="8"/>
  <c r="D42" i="8"/>
  <c r="C42" i="8"/>
  <c r="C40" i="8"/>
  <c r="H39" i="8"/>
  <c r="F39" i="8"/>
  <c r="D39" i="8"/>
  <c r="C39" i="8"/>
  <c r="D38" i="8"/>
  <c r="E38" i="8" s="1"/>
  <c r="I37" i="8"/>
  <c r="I39" i="8" s="1"/>
  <c r="G37" i="8"/>
  <c r="G39" i="8" s="1"/>
  <c r="D37" i="8"/>
  <c r="E37" i="8" s="1"/>
  <c r="E39" i="8" s="1"/>
  <c r="B33" i="8"/>
  <c r="G76" i="8" s="1"/>
  <c r="B9" i="8"/>
  <c r="B8" i="8"/>
  <c r="B6" i="8"/>
  <c r="F79" i="8" s="1"/>
  <c r="E5" i="8"/>
  <c r="B5" i="8"/>
  <c r="E4" i="8"/>
  <c r="B4" i="8"/>
  <c r="D91" i="8"/>
  <c r="H43" i="8" l="1"/>
  <c r="D40" i="8"/>
  <c r="D46" i="8" s="1"/>
  <c r="C46" i="8"/>
  <c r="E43" i="8"/>
  <c r="D43" i="8"/>
  <c r="C76" i="8"/>
  <c r="H76" i="8"/>
  <c r="G72" i="8"/>
  <c r="F76" i="8"/>
  <c r="G51" i="8"/>
  <c r="C57" i="8"/>
  <c r="D57" i="8"/>
  <c r="C64" i="8"/>
  <c r="C71" i="8"/>
  <c r="F51" i="8"/>
  <c r="E57" i="8"/>
  <c r="D64" i="8"/>
  <c r="I71" i="8"/>
  <c r="D58" i="8"/>
  <c r="C65" i="8"/>
  <c r="C72" i="8"/>
  <c r="E58" i="8"/>
  <c r="D65" i="8"/>
  <c r="D72" i="8"/>
  <c r="E51" i="8"/>
  <c r="F58" i="8"/>
  <c r="E65" i="8"/>
  <c r="F91" i="8"/>
  <c r="E40" i="8"/>
  <c r="F38" i="8"/>
  <c r="E46" i="8"/>
  <c r="E52" i="8" s="1"/>
  <c r="G43" i="8"/>
  <c r="I43" i="8"/>
  <c r="C51" i="8"/>
  <c r="I57" i="8"/>
  <c r="E61" i="8"/>
  <c r="H64" i="8"/>
  <c r="I65" i="8"/>
  <c r="D68" i="8"/>
  <c r="G71" i="8"/>
  <c r="H72" i="8"/>
  <c r="D76" i="8"/>
  <c r="G79" i="8"/>
  <c r="C83" i="8"/>
  <c r="G83" i="8"/>
  <c r="D51" i="8"/>
  <c r="C58" i="8"/>
  <c r="F61" i="8"/>
  <c r="I64" i="8"/>
  <c r="E68" i="8"/>
  <c r="H71" i="8"/>
  <c r="I72" i="8"/>
  <c r="E76" i="8"/>
  <c r="H79" i="8"/>
  <c r="D83" i="8"/>
  <c r="I79" i="8"/>
  <c r="E83" i="8"/>
  <c r="H51" i="8"/>
  <c r="F57" i="8"/>
  <c r="G58" i="8"/>
  <c r="E64" i="8"/>
  <c r="F65" i="8"/>
  <c r="I68" i="8"/>
  <c r="D71" i="8"/>
  <c r="E72" i="8"/>
  <c r="I76" i="8"/>
  <c r="D79" i="8"/>
  <c r="H83" i="8"/>
  <c r="C10" i="8"/>
  <c r="I51" i="8"/>
  <c r="G57" i="8"/>
  <c r="H58" i="8"/>
  <c r="C61" i="8"/>
  <c r="F64" i="8"/>
  <c r="G65" i="8"/>
  <c r="E71" i="8"/>
  <c r="F72" i="8"/>
  <c r="E79" i="8"/>
  <c r="I83" i="8"/>
  <c r="F83" i="8"/>
  <c r="C79" i="8"/>
  <c r="C43" i="8"/>
  <c r="H57" i="8"/>
  <c r="I58" i="8"/>
  <c r="D61" i="8"/>
  <c r="G64" i="8"/>
  <c r="H65" i="8"/>
  <c r="C68" i="8"/>
  <c r="F71" i="8"/>
  <c r="D66" i="8" l="1"/>
  <c r="D67" i="8" s="1"/>
  <c r="D69" i="8" s="1"/>
  <c r="D70" i="8" s="1"/>
  <c r="D73" i="8"/>
  <c r="D74" i="8" s="1"/>
  <c r="D77" i="8" s="1"/>
  <c r="D78" i="8" s="1"/>
  <c r="D52" i="8"/>
  <c r="D59" i="8"/>
  <c r="D60" i="8" s="1"/>
  <c r="D62" i="8" s="1"/>
  <c r="D63" i="8" s="1"/>
  <c r="C59" i="8"/>
  <c r="C60" i="8" s="1"/>
  <c r="C62" i="8" s="1"/>
  <c r="C63" i="8" s="1"/>
  <c r="E73" i="8"/>
  <c r="E74" i="8" s="1"/>
  <c r="E77" i="8" s="1"/>
  <c r="E78" i="8" s="1"/>
  <c r="C66" i="8"/>
  <c r="C67" i="8" s="1"/>
  <c r="C69" i="8" s="1"/>
  <c r="C70" i="8" s="1"/>
  <c r="E66" i="8"/>
  <c r="E67" i="8" s="1"/>
  <c r="E69" i="8" s="1"/>
  <c r="E70" i="8" s="1"/>
  <c r="G38" i="8"/>
  <c r="F40" i="8"/>
  <c r="F46" i="8" s="1"/>
  <c r="F73" i="8" s="1"/>
  <c r="F74" i="8" s="1"/>
  <c r="F77" i="8" s="1"/>
  <c r="F78" i="8" s="1"/>
  <c r="D53" i="8"/>
  <c r="H49" i="8"/>
  <c r="F47" i="8"/>
  <c r="F48" i="8" s="1"/>
  <c r="F84" i="8" s="1"/>
  <c r="F85" i="8" s="1"/>
  <c r="C49" i="8"/>
  <c r="C53" i="8"/>
  <c r="G49" i="8"/>
  <c r="E47" i="8"/>
  <c r="E48" i="8" s="1"/>
  <c r="E49" i="8"/>
  <c r="F49" i="8"/>
  <c r="D47" i="8"/>
  <c r="D48" i="8" s="1"/>
  <c r="C47" i="8"/>
  <c r="C48" i="8" s="1"/>
  <c r="D49" i="8"/>
  <c r="G53" i="8"/>
  <c r="F53" i="8"/>
  <c r="E53" i="8"/>
  <c r="I49" i="8"/>
  <c r="G47" i="8"/>
  <c r="G48" i="8" s="1"/>
  <c r="E59" i="8"/>
  <c r="E60" i="8" s="1"/>
  <c r="E62" i="8" s="1"/>
  <c r="E63" i="8" s="1"/>
  <c r="C52" i="8"/>
  <c r="C73" i="8"/>
  <c r="C74" i="8" s="1"/>
  <c r="C77" i="8" s="1"/>
  <c r="C78" i="8" s="1"/>
  <c r="F66" i="8" l="1"/>
  <c r="F67" i="8" s="1"/>
  <c r="F69" i="8" s="1"/>
  <c r="F70" i="8" s="1"/>
  <c r="E54" i="8"/>
  <c r="E56" i="8" s="1"/>
  <c r="G54" i="8"/>
  <c r="G56" i="8" s="1"/>
  <c r="D54" i="8"/>
  <c r="D55" i="8" s="1"/>
  <c r="C54" i="8"/>
  <c r="C55" i="8" s="1"/>
  <c r="G80" i="8"/>
  <c r="G81" i="8" s="1"/>
  <c r="D80" i="8"/>
  <c r="D81" i="8" s="1"/>
  <c r="D84" i="8"/>
  <c r="D85" i="8" s="1"/>
  <c r="D86" i="8" s="1"/>
  <c r="G84" i="8"/>
  <c r="G85" i="8" s="1"/>
  <c r="F52" i="8"/>
  <c r="F59" i="8"/>
  <c r="F60" i="8" s="1"/>
  <c r="F62" i="8" s="1"/>
  <c r="F63" i="8" s="1"/>
  <c r="E84" i="8"/>
  <c r="E85" i="8" s="1"/>
  <c r="G40" i="8"/>
  <c r="G46" i="8" s="1"/>
  <c r="H38" i="8"/>
  <c r="C84" i="8"/>
  <c r="C85" i="8" s="1"/>
  <c r="E80" i="8"/>
  <c r="E81" i="8" s="1"/>
  <c r="F80" i="8"/>
  <c r="F81" i="8" s="1"/>
  <c r="F54" i="8"/>
  <c r="C80" i="8"/>
  <c r="C81" i="8" s="1"/>
  <c r="D56" i="8" l="1"/>
  <c r="C86" i="8"/>
  <c r="C56" i="8"/>
  <c r="E55" i="8"/>
  <c r="E86" i="8"/>
  <c r="G55" i="8"/>
  <c r="G73" i="8"/>
  <c r="G74" i="8" s="1"/>
  <c r="G77" i="8" s="1"/>
  <c r="G78" i="8" s="1"/>
  <c r="G52" i="8"/>
  <c r="G59" i="8"/>
  <c r="G60" i="8" s="1"/>
  <c r="G62" i="8" s="1"/>
  <c r="G63" i="8" s="1"/>
  <c r="G66" i="8"/>
  <c r="G67" i="8" s="1"/>
  <c r="G69" i="8" s="1"/>
  <c r="G70" i="8" s="1"/>
  <c r="F55" i="8"/>
  <c r="F56" i="8"/>
  <c r="F86" i="8"/>
  <c r="H40" i="8"/>
  <c r="H46" i="8" s="1"/>
  <c r="I38" i="8"/>
  <c r="H47" i="8"/>
  <c r="H48" i="8" s="1"/>
  <c r="H53" i="8"/>
  <c r="H59" i="8" l="1"/>
  <c r="H60" i="8" s="1"/>
  <c r="H62" i="8" s="1"/>
  <c r="H63" i="8" s="1"/>
  <c r="H66" i="8"/>
  <c r="H67" i="8" s="1"/>
  <c r="H69" i="8" s="1"/>
  <c r="H70" i="8" s="1"/>
  <c r="H73" i="8"/>
  <c r="H74" i="8" s="1"/>
  <c r="H77" i="8" s="1"/>
  <c r="H78" i="8" s="1"/>
  <c r="H52" i="8"/>
  <c r="H54" i="8"/>
  <c r="H80" i="8"/>
  <c r="H81" i="8" s="1"/>
  <c r="H84" i="8"/>
  <c r="H85" i="8" s="1"/>
  <c r="G86" i="8"/>
  <c r="I40" i="8"/>
  <c r="I46" i="8" s="1"/>
  <c r="I53" i="8"/>
  <c r="I47" i="8"/>
  <c r="I48" i="8" s="1"/>
  <c r="I54" i="8" l="1"/>
  <c r="I80" i="8"/>
  <c r="I81" i="8" s="1"/>
  <c r="I84" i="8"/>
  <c r="I85" i="8" s="1"/>
  <c r="H86" i="8"/>
  <c r="H55" i="8"/>
  <c r="H56" i="8"/>
  <c r="I52" i="8"/>
  <c r="I66" i="8"/>
  <c r="I67" i="8" s="1"/>
  <c r="I69" i="8" s="1"/>
  <c r="I70" i="8" s="1"/>
  <c r="I59" i="8"/>
  <c r="I60" i="8" s="1"/>
  <c r="I62" i="8" s="1"/>
  <c r="I63" i="8" s="1"/>
  <c r="I73" i="8"/>
  <c r="I74" i="8" s="1"/>
  <c r="I77" i="8" s="1"/>
  <c r="I78" i="8" s="1"/>
  <c r="I86" i="8" l="1"/>
  <c r="F90" i="8" s="1"/>
  <c r="A92" i="8" s="1"/>
  <c r="I55" i="8"/>
  <c r="I56" i="8"/>
  <c r="D91" i="7"/>
  <c r="I82" i="7" l="1"/>
  <c r="H82" i="7"/>
  <c r="G82" i="7"/>
  <c r="F82" i="7"/>
  <c r="E82" i="7"/>
  <c r="D82" i="7"/>
  <c r="C82" i="7"/>
  <c r="I75" i="7"/>
  <c r="H75" i="7"/>
  <c r="G75" i="7"/>
  <c r="F75" i="7"/>
  <c r="E75" i="7"/>
  <c r="D75" i="7"/>
  <c r="C75" i="7"/>
  <c r="I50" i="7"/>
  <c r="H50" i="7"/>
  <c r="G50" i="7"/>
  <c r="F50" i="7"/>
  <c r="E50" i="7"/>
  <c r="D50" i="7"/>
  <c r="C50" i="7"/>
  <c r="I45" i="7"/>
  <c r="H45" i="7"/>
  <c r="G45" i="7"/>
  <c r="F45" i="7"/>
  <c r="E45" i="7"/>
  <c r="D45" i="7"/>
  <c r="C45" i="7"/>
  <c r="I42" i="7"/>
  <c r="H42" i="7"/>
  <c r="G42" i="7"/>
  <c r="F42" i="7"/>
  <c r="E42" i="7"/>
  <c r="D42" i="7"/>
  <c r="C42" i="7"/>
  <c r="C40" i="7"/>
  <c r="H39" i="7"/>
  <c r="F39" i="7"/>
  <c r="C39" i="7"/>
  <c r="D38" i="7"/>
  <c r="E38" i="7" s="1"/>
  <c r="I37" i="7"/>
  <c r="I39" i="7" s="1"/>
  <c r="G37" i="7"/>
  <c r="G39" i="7" s="1"/>
  <c r="D37" i="7"/>
  <c r="D39" i="7" s="1"/>
  <c r="B33" i="7"/>
  <c r="B9" i="7"/>
  <c r="G72" i="7" s="1"/>
  <c r="B8" i="7"/>
  <c r="B6" i="7"/>
  <c r="F79" i="7" s="1"/>
  <c r="E5" i="7"/>
  <c r="B5" i="7"/>
  <c r="E4" i="7"/>
  <c r="C76" i="7" s="1"/>
  <c r="B4" i="7"/>
  <c r="C43" i="7" l="1"/>
  <c r="I64" i="7"/>
  <c r="I72" i="7"/>
  <c r="E76" i="7"/>
  <c r="C58" i="7"/>
  <c r="F61" i="7"/>
  <c r="E68" i="7"/>
  <c r="H71" i="7"/>
  <c r="H79" i="7"/>
  <c r="D83" i="7"/>
  <c r="D51" i="7"/>
  <c r="H43" i="7"/>
  <c r="I43" i="7"/>
  <c r="F43" i="7"/>
  <c r="C46" i="7"/>
  <c r="E37" i="7"/>
  <c r="E39" i="7" s="1"/>
  <c r="E43" i="7" s="1"/>
  <c r="D43" i="7"/>
  <c r="F91" i="7"/>
  <c r="F38" i="7"/>
  <c r="E40" i="7"/>
  <c r="E46" i="7" s="1"/>
  <c r="C51" i="7"/>
  <c r="I57" i="7"/>
  <c r="E61" i="7"/>
  <c r="H64" i="7"/>
  <c r="I65" i="7"/>
  <c r="D68" i="7"/>
  <c r="G71" i="7"/>
  <c r="H72" i="7"/>
  <c r="D76" i="7"/>
  <c r="G79" i="7"/>
  <c r="C83" i="7"/>
  <c r="D40" i="7"/>
  <c r="D46" i="7" s="1"/>
  <c r="E51" i="7"/>
  <c r="C57" i="7"/>
  <c r="D58" i="7"/>
  <c r="G61" i="7"/>
  <c r="C65" i="7"/>
  <c r="F68" i="7"/>
  <c r="I71" i="7"/>
  <c r="F76" i="7"/>
  <c r="I79" i="7"/>
  <c r="E83" i="7"/>
  <c r="G43" i="7"/>
  <c r="F51" i="7"/>
  <c r="D57" i="7"/>
  <c r="E58" i="7"/>
  <c r="H61" i="7"/>
  <c r="C64" i="7"/>
  <c r="D65" i="7"/>
  <c r="G68" i="7"/>
  <c r="C72" i="7"/>
  <c r="G76" i="7"/>
  <c r="F83" i="7"/>
  <c r="G51" i="7"/>
  <c r="E57" i="7"/>
  <c r="F58" i="7"/>
  <c r="I61" i="7"/>
  <c r="D64" i="7"/>
  <c r="E65" i="7"/>
  <c r="H68" i="7"/>
  <c r="C71" i="7"/>
  <c r="D72" i="7"/>
  <c r="H76" i="7"/>
  <c r="C79" i="7"/>
  <c r="G83" i="7"/>
  <c r="H51" i="7"/>
  <c r="F57" i="7"/>
  <c r="G58" i="7"/>
  <c r="E64" i="7"/>
  <c r="F65" i="7"/>
  <c r="I68" i="7"/>
  <c r="D71" i="7"/>
  <c r="E72" i="7"/>
  <c r="I76" i="7"/>
  <c r="D79" i="7"/>
  <c r="H83" i="7"/>
  <c r="C10" i="7"/>
  <c r="I51" i="7"/>
  <c r="G57" i="7"/>
  <c r="H58" i="7"/>
  <c r="C61" i="7"/>
  <c r="F64" i="7"/>
  <c r="G65" i="7"/>
  <c r="E71" i="7"/>
  <c r="F72" i="7"/>
  <c r="E79" i="7"/>
  <c r="I83" i="7"/>
  <c r="H57" i="7"/>
  <c r="I58" i="7"/>
  <c r="D61" i="7"/>
  <c r="G64" i="7"/>
  <c r="H65" i="7"/>
  <c r="C68" i="7"/>
  <c r="F71" i="7"/>
  <c r="C59" i="7" l="1"/>
  <c r="C60" i="7" s="1"/>
  <c r="C62" i="7" s="1"/>
  <c r="C63" i="7" s="1"/>
  <c r="E52" i="7"/>
  <c r="D59" i="7"/>
  <c r="D60" i="7" s="1"/>
  <c r="D62" i="7" s="1"/>
  <c r="D63" i="7" s="1"/>
  <c r="D66" i="7"/>
  <c r="D67" i="7" s="1"/>
  <c r="D69" i="7" s="1"/>
  <c r="D70" i="7" s="1"/>
  <c r="D73" i="7"/>
  <c r="D74" i="7" s="1"/>
  <c r="D77" i="7" s="1"/>
  <c r="D78" i="7" s="1"/>
  <c r="D52" i="7"/>
  <c r="C73" i="7"/>
  <c r="C74" i="7" s="1"/>
  <c r="C77" i="7" s="1"/>
  <c r="C78" i="7" s="1"/>
  <c r="C66" i="7"/>
  <c r="C67" i="7" s="1"/>
  <c r="C69" i="7" s="1"/>
  <c r="C70" i="7" s="1"/>
  <c r="C52" i="7"/>
  <c r="E73" i="7"/>
  <c r="E74" i="7" s="1"/>
  <c r="E77" i="7" s="1"/>
  <c r="E78" i="7" s="1"/>
  <c r="E66" i="7"/>
  <c r="E67" i="7" s="1"/>
  <c r="E69" i="7" s="1"/>
  <c r="E70" i="7" s="1"/>
  <c r="E59" i="7"/>
  <c r="E60" i="7" s="1"/>
  <c r="E62" i="7" s="1"/>
  <c r="E63" i="7" s="1"/>
  <c r="D53" i="7"/>
  <c r="H49" i="7"/>
  <c r="F47" i="7"/>
  <c r="F48" i="7" s="1"/>
  <c r="F84" i="7" s="1"/>
  <c r="F85" i="7" s="1"/>
  <c r="C53" i="7"/>
  <c r="G49" i="7"/>
  <c r="E47" i="7"/>
  <c r="E48" i="7" s="1"/>
  <c r="E84" i="7" s="1"/>
  <c r="E85" i="7" s="1"/>
  <c r="F49" i="7"/>
  <c r="D47" i="7"/>
  <c r="D48" i="7" s="1"/>
  <c r="E49" i="7"/>
  <c r="C47" i="7"/>
  <c r="C48" i="7" s="1"/>
  <c r="C80" i="7" s="1"/>
  <c r="C81" i="7" s="1"/>
  <c r="D49" i="7"/>
  <c r="C49" i="7"/>
  <c r="F53" i="7"/>
  <c r="E53" i="7"/>
  <c r="I49" i="7"/>
  <c r="F40" i="7"/>
  <c r="F46" i="7" s="1"/>
  <c r="G38" i="7"/>
  <c r="C84" i="7" l="1"/>
  <c r="C85" i="7" s="1"/>
  <c r="E80" i="7"/>
  <c r="E81" i="7" s="1"/>
  <c r="G40" i="7"/>
  <c r="G46" i="7" s="1"/>
  <c r="H38" i="7"/>
  <c r="D54" i="7"/>
  <c r="D84" i="7"/>
  <c r="D85" i="7" s="1"/>
  <c r="F59" i="7"/>
  <c r="F60" i="7" s="1"/>
  <c r="F62" i="7" s="1"/>
  <c r="F63" i="7" s="1"/>
  <c r="F66" i="7"/>
  <c r="F67" i="7" s="1"/>
  <c r="F69" i="7" s="1"/>
  <c r="F70" i="7" s="1"/>
  <c r="F73" i="7"/>
  <c r="F74" i="7" s="1"/>
  <c r="F77" i="7" s="1"/>
  <c r="F78" i="7" s="1"/>
  <c r="F52" i="7"/>
  <c r="G53" i="7"/>
  <c r="E54" i="7"/>
  <c r="G47" i="7"/>
  <c r="G48" i="7" s="1"/>
  <c r="D80" i="7"/>
  <c r="D81" i="7" s="1"/>
  <c r="C54" i="7"/>
  <c r="F80" i="7"/>
  <c r="F81" i="7" s="1"/>
  <c r="F54" i="7"/>
  <c r="F55" i="7" l="1"/>
  <c r="F56" i="7"/>
  <c r="F86" i="7"/>
  <c r="C86" i="7"/>
  <c r="C55" i="7"/>
  <c r="C56" i="7"/>
  <c r="G54" i="7"/>
  <c r="G84" i="7"/>
  <c r="G85" i="7" s="1"/>
  <c r="G80" i="7"/>
  <c r="G81" i="7" s="1"/>
  <c r="D86" i="7"/>
  <c r="D55" i="7"/>
  <c r="D56" i="7"/>
  <c r="E86" i="7"/>
  <c r="E55" i="7"/>
  <c r="E56" i="7"/>
  <c r="H40" i="7"/>
  <c r="H46" i="7" s="1"/>
  <c r="I38" i="7"/>
  <c r="H47" i="7"/>
  <c r="H48" i="7" s="1"/>
  <c r="H53" i="7"/>
  <c r="G73" i="7"/>
  <c r="G74" i="7" s="1"/>
  <c r="G77" i="7" s="1"/>
  <c r="G78" i="7" s="1"/>
  <c r="G52" i="7"/>
  <c r="G66" i="7"/>
  <c r="G67" i="7" s="1"/>
  <c r="G69" i="7" s="1"/>
  <c r="G70" i="7" s="1"/>
  <c r="G59" i="7"/>
  <c r="G60" i="7" s="1"/>
  <c r="G62" i="7" s="1"/>
  <c r="G63" i="7" s="1"/>
  <c r="H52" i="7" l="1"/>
  <c r="H73" i="7"/>
  <c r="H74" i="7" s="1"/>
  <c r="H77" i="7" s="1"/>
  <c r="H78" i="7" s="1"/>
  <c r="H66" i="7"/>
  <c r="H67" i="7" s="1"/>
  <c r="H69" i="7" s="1"/>
  <c r="H70" i="7" s="1"/>
  <c r="H59" i="7"/>
  <c r="H60" i="7" s="1"/>
  <c r="H62" i="7" s="1"/>
  <c r="H63" i="7" s="1"/>
  <c r="G56" i="7"/>
  <c r="G86" i="7"/>
  <c r="G55" i="7"/>
  <c r="H80" i="7"/>
  <c r="H81" i="7" s="1"/>
  <c r="H54" i="7"/>
  <c r="H84" i="7"/>
  <c r="H85" i="7" s="1"/>
  <c r="I40" i="7"/>
  <c r="I46" i="7" s="1"/>
  <c r="I53" i="7"/>
  <c r="I47" i="7"/>
  <c r="I48" i="7" s="1"/>
  <c r="D40" i="2"/>
  <c r="D39" i="2"/>
  <c r="D38" i="2"/>
  <c r="H86" i="7" l="1"/>
  <c r="H56" i="7"/>
  <c r="H55" i="7"/>
  <c r="I54" i="7"/>
  <c r="I84" i="7"/>
  <c r="I85" i="7" s="1"/>
  <c r="I80" i="7"/>
  <c r="I81" i="7" s="1"/>
  <c r="I66" i="7"/>
  <c r="I67" i="7" s="1"/>
  <c r="I69" i="7" s="1"/>
  <c r="I70" i="7" s="1"/>
  <c r="I59" i="7"/>
  <c r="I60" i="7" s="1"/>
  <c r="I62" i="7" s="1"/>
  <c r="I63" i="7" s="1"/>
  <c r="I73" i="7"/>
  <c r="I74" i="7" s="1"/>
  <c r="I77" i="7" s="1"/>
  <c r="I78" i="7" s="1"/>
  <c r="I52" i="7"/>
  <c r="I56" i="7" l="1"/>
  <c r="I86" i="7"/>
  <c r="I55" i="7"/>
  <c r="F90" i="7" l="1"/>
  <c r="A92" i="7" s="1"/>
  <c r="D5" i="2"/>
  <c r="C5" i="2"/>
</calcChain>
</file>

<file path=xl/sharedStrings.xml><?xml version="1.0" encoding="utf-8"?>
<sst xmlns="http://schemas.openxmlformats.org/spreadsheetml/2006/main" count="318" uniqueCount="126">
  <si>
    <t>a. Bê tông</t>
  </si>
  <si>
    <t>B25</t>
  </si>
  <si>
    <t xml:space="preserve">Rb = </t>
  </si>
  <si>
    <t>1. Các thông số đầu vào</t>
  </si>
  <si>
    <t>Mpa</t>
  </si>
  <si>
    <t xml:space="preserve">Rbt = </t>
  </si>
  <si>
    <t>Rbt,ser =</t>
  </si>
  <si>
    <t>Eb =</t>
  </si>
  <si>
    <t>b. Cốt thép</t>
  </si>
  <si>
    <t>CB400-V</t>
  </si>
  <si>
    <t>Rs =</t>
  </si>
  <si>
    <t xml:space="preserve">Es = </t>
  </si>
  <si>
    <r>
      <rPr>
        <sz val="11"/>
        <color indexed="8"/>
        <rFont val="Symbol"/>
        <family val="1"/>
        <charset val="2"/>
      </rPr>
      <t>a</t>
    </r>
    <r>
      <rPr>
        <sz val="11"/>
        <color indexed="8"/>
        <rFont val="Arial"/>
        <family val="2"/>
      </rPr>
      <t xml:space="preserve"> = E</t>
    </r>
    <r>
      <rPr>
        <vertAlign val="subscript"/>
        <sz val="11"/>
        <color indexed="8"/>
        <rFont val="Arial"/>
        <family val="2"/>
      </rPr>
      <t>s</t>
    </r>
    <r>
      <rPr>
        <sz val="11"/>
        <color indexed="8"/>
        <rFont val="Arial"/>
        <family val="2"/>
      </rPr>
      <t xml:space="preserve"> / E</t>
    </r>
    <r>
      <rPr>
        <vertAlign val="subscript"/>
        <sz val="11"/>
        <color indexed="8"/>
        <rFont val="Arial"/>
        <family val="2"/>
      </rPr>
      <t>b</t>
    </r>
    <r>
      <rPr>
        <sz val="11"/>
        <color indexed="8"/>
        <rFont val="Arial"/>
        <family val="2"/>
      </rPr>
      <t xml:space="preserve"> = </t>
    </r>
  </si>
  <si>
    <t>c. Thông tin tiết diện</t>
  </si>
  <si>
    <t xml:space="preserve">b = </t>
  </si>
  <si>
    <t>mm</t>
  </si>
  <si>
    <t>h=</t>
  </si>
  <si>
    <t>=</t>
  </si>
  <si>
    <t xml:space="preserve">d. Momen tại tiết diện tính toán </t>
  </si>
  <si>
    <t>BE TONG</t>
  </si>
  <si>
    <t>STT</t>
  </si>
  <si>
    <t>Tên</t>
  </si>
  <si>
    <t>Rb,n
Rb,ser</t>
  </si>
  <si>
    <t>Rbt,n
Rbt,ser</t>
  </si>
  <si>
    <t>Rb (MPa)</t>
  </si>
  <si>
    <t>Rbt (MPa)</t>
  </si>
  <si>
    <t>Eb (MPa)</t>
  </si>
  <si>
    <t>B15</t>
  </si>
  <si>
    <t>B20</t>
  </si>
  <si>
    <t>B22.5</t>
  </si>
  <si>
    <t>B30</t>
  </si>
  <si>
    <t>B35</t>
  </si>
  <si>
    <t>B40</t>
  </si>
  <si>
    <t>B45</t>
  </si>
  <si>
    <t>B50</t>
  </si>
  <si>
    <t>B60</t>
  </si>
  <si>
    <t>COT THEP</t>
  </si>
  <si>
    <t>Rs (MPa)</t>
  </si>
  <si>
    <t>Rsc (MPa)</t>
  </si>
  <si>
    <t>Rsw (MPa)</t>
  </si>
  <si>
    <t>Es (MPa)</t>
  </si>
  <si>
    <t>A-I</t>
  </si>
  <si>
    <t>A-II</t>
  </si>
  <si>
    <t>A-III</t>
  </si>
  <si>
    <t>A-IV</t>
  </si>
  <si>
    <t>CB240-T</t>
  </si>
  <si>
    <t>CB300-V</t>
  </si>
  <si>
    <t>CB500-V</t>
  </si>
  <si>
    <t>e. Môi trường</t>
  </si>
  <si>
    <t>Độ ẩm:</t>
  </si>
  <si>
    <r>
      <rPr>
        <sz val="11"/>
        <color theme="1"/>
        <rFont val="Symbol"/>
        <family val="1"/>
        <charset val="2"/>
      </rPr>
      <t>e</t>
    </r>
    <r>
      <rPr>
        <vertAlign val="subscript"/>
        <sz val="11"/>
        <color theme="1"/>
        <rFont val="Arial"/>
        <family val="2"/>
      </rPr>
      <t>b1,red</t>
    </r>
    <r>
      <rPr>
        <sz val="11"/>
        <color theme="1"/>
        <rFont val="Arial"/>
        <family val="2"/>
      </rPr>
      <t xml:space="preserve"> =</t>
    </r>
  </si>
  <si>
    <t>(ngắn hạn)</t>
  </si>
  <si>
    <t>Nhịp dầm L =</t>
  </si>
  <si>
    <t>m</t>
  </si>
  <si>
    <t>DO VONG</t>
  </si>
  <si>
    <t>L/x</t>
  </si>
  <si>
    <t>Nhip L(m)</t>
  </si>
  <si>
    <t xml:space="preserve">Rb,ser = </t>
  </si>
  <si>
    <t>HE SO BIEN DANG CUA BE TONG</t>
  </si>
  <si>
    <t>Lớn hơn 75</t>
  </si>
  <si>
    <t>Từ 40 đến 75</t>
  </si>
  <si>
    <t>Dưới 40</t>
  </si>
  <si>
    <t>nén</t>
  </si>
  <si>
    <t>kéo</t>
  </si>
  <si>
    <t>(Bảng M.1 5574:2018)</t>
  </si>
  <si>
    <r>
      <t>Độ võng cho phép [f</t>
    </r>
    <r>
      <rPr>
        <vertAlign val="subscript"/>
        <sz val="11"/>
        <color theme="1"/>
        <rFont val="Arial"/>
        <family val="2"/>
      </rPr>
      <t>u</t>
    </r>
    <r>
      <rPr>
        <sz val="11"/>
        <color theme="1"/>
        <rFont val="Arial"/>
        <family val="2"/>
      </rPr>
      <t>] =   L/</t>
    </r>
  </si>
  <si>
    <t>Sup,L</t>
  </si>
  <si>
    <t>1-1</t>
  </si>
  <si>
    <t>2-2</t>
  </si>
  <si>
    <t>3-3</t>
  </si>
  <si>
    <t>4-4</t>
  </si>
  <si>
    <t>5-5</t>
  </si>
  <si>
    <t>Sup,R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</si>
  <si>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Arial"/>
        <family val="2"/>
      </rPr>
      <t>'</t>
    </r>
    <r>
      <rPr>
        <vertAlign val="subscript"/>
        <sz val="11"/>
        <color theme="1"/>
        <rFont val="Arial"/>
        <family val="2"/>
      </rPr>
      <t>s</t>
    </r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</si>
  <si>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Arial"/>
        <family val="2"/>
      </rPr>
      <t>s</t>
    </r>
  </si>
  <si>
    <r>
      <t>Thép A</t>
    </r>
    <r>
      <rPr>
        <vertAlign val="subscript"/>
        <sz val="11"/>
        <color theme="1"/>
        <rFont val="Arial"/>
        <family val="2"/>
      </rPr>
      <t>s</t>
    </r>
  </si>
  <si>
    <r>
      <t>Thép A'</t>
    </r>
    <r>
      <rPr>
        <vertAlign val="subscript"/>
        <sz val="11"/>
        <color theme="1"/>
        <rFont val="Arial"/>
        <family val="2"/>
      </rPr>
      <t>s</t>
    </r>
  </si>
  <si>
    <t>TD</t>
  </si>
  <si>
    <r>
      <t>y</t>
    </r>
    <r>
      <rPr>
        <vertAlign val="subscript"/>
        <sz val="11"/>
        <color theme="1"/>
        <rFont val="Arial"/>
        <family val="2"/>
      </rPr>
      <t>c</t>
    </r>
  </si>
  <si>
    <r>
      <t>I</t>
    </r>
    <r>
      <rPr>
        <vertAlign val="subscript"/>
        <sz val="11"/>
        <color theme="1"/>
        <rFont val="Arial"/>
        <family val="2"/>
      </rPr>
      <t xml:space="preserve">red </t>
    </r>
  </si>
  <si>
    <r>
      <t>D</t>
    </r>
    <r>
      <rPr>
        <vertAlign val="subscript"/>
        <sz val="11"/>
        <color theme="1"/>
        <rFont val="Arial"/>
        <family val="2"/>
      </rPr>
      <t>1</t>
    </r>
  </si>
  <si>
    <r>
      <t>D</t>
    </r>
    <r>
      <rPr>
        <vertAlign val="subscript"/>
        <sz val="11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</si>
  <si>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D</t>
    </r>
    <r>
      <rPr>
        <vertAlign val="subscript"/>
        <sz val="11"/>
        <color theme="1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</si>
  <si>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(1/r)</t>
    </r>
    <r>
      <rPr>
        <vertAlign val="subscript"/>
        <sz val="11"/>
        <color theme="1"/>
        <rFont val="Arial"/>
        <family val="2"/>
      </rPr>
      <t>1</t>
    </r>
  </si>
  <si>
    <r>
      <t>(1/r)</t>
    </r>
    <r>
      <rPr>
        <vertAlign val="subscript"/>
        <sz val="11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</si>
  <si>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(1/r)</t>
    </r>
    <r>
      <rPr>
        <vertAlign val="subscript"/>
        <sz val="11"/>
        <color theme="1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</si>
  <si>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(1/r)</t>
    </r>
    <r>
      <rPr>
        <sz val="11"/>
        <color theme="1"/>
        <rFont val="Calibri"/>
        <family val="2"/>
        <scheme val="minor"/>
      </rPr>
      <t/>
    </r>
  </si>
  <si>
    <r>
      <t>A</t>
    </r>
    <r>
      <rPr>
        <vertAlign val="subscript"/>
        <sz val="11"/>
        <color theme="1"/>
        <rFont val="Arial"/>
        <family val="2"/>
      </rPr>
      <t xml:space="preserve">s </t>
    </r>
    <r>
      <rPr>
        <sz val="11"/>
        <color theme="1"/>
        <rFont val="Arial"/>
        <family val="2"/>
      </rPr>
      <t>(cm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)</t>
    </r>
  </si>
  <si>
    <r>
      <t>A'</t>
    </r>
    <r>
      <rPr>
        <vertAlign val="subscript"/>
        <sz val="11"/>
        <color theme="1"/>
        <rFont val="Arial"/>
        <family val="2"/>
      </rPr>
      <t xml:space="preserve">s </t>
    </r>
    <r>
      <rPr>
        <sz val="11"/>
        <color theme="1"/>
        <rFont val="Arial"/>
        <family val="2"/>
      </rPr>
      <t>(cm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)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</si>
  <si>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"/>
        <family val="2"/>
      </rPr>
      <t>s1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</si>
  <si>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"/>
        <family val="2"/>
      </rPr>
      <t>s2</t>
    </r>
  </si>
  <si>
    <r>
      <t>E</t>
    </r>
    <r>
      <rPr>
        <vertAlign val="subscript"/>
        <sz val="11"/>
        <color theme="1"/>
        <rFont val="Arial"/>
        <family val="2"/>
      </rPr>
      <t>b,1</t>
    </r>
  </si>
  <si>
    <t>(CT 179 TCVN 5574:2018)</t>
  </si>
  <si>
    <t>Độ võng của dầm</t>
  </si>
  <si>
    <t xml:space="preserve"> f = </t>
  </si>
  <si>
    <r>
      <t>M</t>
    </r>
    <r>
      <rPr>
        <vertAlign val="subscript"/>
        <sz val="11"/>
        <color theme="1"/>
        <rFont val="Arial"/>
        <family val="2"/>
      </rPr>
      <t>crc</t>
    </r>
  </si>
  <si>
    <t>Trạng thái</t>
  </si>
  <si>
    <r>
      <rPr>
        <sz val="11"/>
        <color theme="1"/>
        <rFont val="Symbol"/>
        <family val="1"/>
        <charset val="2"/>
      </rPr>
      <t>j</t>
    </r>
    <r>
      <rPr>
        <vertAlign val="subscript"/>
        <sz val="11"/>
        <color theme="1"/>
        <rFont val="Arial"/>
        <family val="2"/>
      </rPr>
      <t>b,cr</t>
    </r>
  </si>
  <si>
    <t>HE SO TU BIEN</t>
  </si>
  <si>
    <r>
      <t>M</t>
    </r>
    <r>
      <rPr>
        <vertAlign val="subscript"/>
        <sz val="11"/>
        <color theme="1"/>
        <rFont val="Arial"/>
        <family val="2"/>
      </rPr>
      <t>tt</t>
    </r>
    <r>
      <rPr>
        <sz val="11"/>
        <color theme="1"/>
        <rFont val="Arial"/>
        <family val="2"/>
      </rPr>
      <t xml:space="preserve"> : Là momen do tĩnh tải gây ra</t>
    </r>
  </si>
  <si>
    <r>
      <t xml:space="preserve">Hệ số </t>
    </r>
    <r>
      <rPr>
        <sz val="11"/>
        <color theme="1"/>
        <rFont val="Symbol"/>
        <family val="1"/>
        <charset val="2"/>
      </rPr>
      <t>y</t>
    </r>
    <r>
      <rPr>
        <sz val="11"/>
        <color theme="1"/>
        <rFont val="Arial"/>
        <family val="2"/>
      </rPr>
      <t>:</t>
    </r>
  </si>
  <si>
    <r>
      <t>M</t>
    </r>
    <r>
      <rPr>
        <vertAlign val="subscript"/>
        <sz val="11"/>
        <color indexed="8"/>
        <rFont val="Arial"/>
        <family val="2"/>
      </rPr>
      <t>tt</t>
    </r>
  </si>
  <si>
    <r>
      <t>M</t>
    </r>
    <r>
      <rPr>
        <vertAlign val="subscript"/>
        <sz val="11"/>
        <color indexed="8"/>
        <rFont val="Arial"/>
        <family val="2"/>
      </rPr>
      <t>ht</t>
    </r>
  </si>
  <si>
    <t>(dài hạn)</t>
  </si>
  <si>
    <r>
      <t>(1/r)</t>
    </r>
    <r>
      <rPr>
        <vertAlign val="subscript"/>
        <sz val="11"/>
        <color theme="1"/>
        <rFont val="Arial"/>
        <family val="2"/>
      </rPr>
      <t>2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</si>
  <si>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"/>
        <family val="2"/>
      </rPr>
      <t>s1</t>
    </r>
    <r>
      <rPr>
        <sz val="11"/>
        <color theme="1"/>
        <rFont val="Arial"/>
        <family val="2"/>
      </rPr>
      <t>=</t>
    </r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"/>
        <family val="2"/>
      </rPr>
      <t>s2</t>
    </r>
  </si>
  <si>
    <t>2. Tính (1/r)</t>
  </si>
  <si>
    <t>3. Tính f</t>
  </si>
  <si>
    <r>
      <t>a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 xml:space="preserve"> (mm)</t>
    </r>
  </si>
  <si>
    <r>
      <t>a'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 xml:space="preserve"> (mm)</t>
    </r>
  </si>
  <si>
    <r>
      <t>h'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 xml:space="preserve"> (mm)</t>
    </r>
  </si>
  <si>
    <r>
      <t>h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 xml:space="preserve"> (mm)</t>
    </r>
  </si>
  <si>
    <r>
      <t>y</t>
    </r>
    <r>
      <rPr>
        <vertAlign val="subscript"/>
        <sz val="11"/>
        <color theme="1"/>
        <rFont val="Arial"/>
        <family val="2"/>
      </rPr>
      <t xml:space="preserve">t </t>
    </r>
    <r>
      <rPr>
        <sz val="11"/>
        <color theme="1"/>
        <rFont val="Arial"/>
        <family val="2"/>
      </rPr>
      <t>(mm)</t>
    </r>
  </si>
  <si>
    <r>
      <t>I</t>
    </r>
    <r>
      <rPr>
        <vertAlign val="subscript"/>
        <sz val="11"/>
        <color theme="1"/>
        <rFont val="Arial"/>
        <family val="2"/>
      </rPr>
      <t xml:space="preserve">red </t>
    </r>
    <r>
      <rPr>
        <sz val="11"/>
        <color theme="1"/>
        <rFont val="Arial"/>
        <family val="2"/>
      </rPr>
      <t>(m</t>
    </r>
    <r>
      <rPr>
        <vertAlign val="superscript"/>
        <sz val="11"/>
        <color theme="1"/>
        <rFont val="Arial"/>
        <family val="2"/>
      </rPr>
      <t>4</t>
    </r>
    <r>
      <rPr>
        <sz val="11"/>
        <color theme="1"/>
        <rFont val="Arial"/>
        <family val="2"/>
      </rPr>
      <t>)</t>
    </r>
  </si>
  <si>
    <r>
      <t>A</t>
    </r>
    <r>
      <rPr>
        <vertAlign val="subscript"/>
        <sz val="11"/>
        <color theme="1"/>
        <rFont val="Arial"/>
        <family val="2"/>
      </rPr>
      <t xml:space="preserve">red </t>
    </r>
    <r>
      <rPr>
        <sz val="11"/>
        <color theme="1"/>
        <rFont val="Arial"/>
        <family val="2"/>
      </rPr>
      <t>(m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)</t>
    </r>
  </si>
  <si>
    <r>
      <t>d</t>
    </r>
    <r>
      <rPr>
        <vertAlign val="subscript"/>
        <sz val="11"/>
        <color theme="1"/>
        <rFont val="Arial"/>
        <family val="2"/>
      </rPr>
      <t xml:space="preserve">s </t>
    </r>
    <r>
      <rPr>
        <sz val="11"/>
        <color theme="1"/>
        <rFont val="Arial"/>
        <family val="2"/>
      </rPr>
      <t>(mm)</t>
    </r>
  </si>
  <si>
    <r>
      <t>y</t>
    </r>
    <r>
      <rPr>
        <vertAlign val="subscript"/>
        <sz val="11"/>
        <color theme="1"/>
        <rFont val="Arial"/>
        <family val="2"/>
      </rPr>
      <t xml:space="preserve">c </t>
    </r>
    <r>
      <rPr>
        <sz val="11"/>
        <color theme="1"/>
        <rFont val="Arial"/>
        <family val="2"/>
      </rPr>
      <t>(mm)</t>
    </r>
  </si>
  <si>
    <r>
      <t>S</t>
    </r>
    <r>
      <rPr>
        <vertAlign val="subscript"/>
        <sz val="11"/>
        <color theme="1"/>
        <rFont val="Arial"/>
        <family val="2"/>
      </rPr>
      <t>t,red</t>
    </r>
    <r>
      <rPr>
        <sz val="11"/>
        <color theme="1"/>
        <rFont val="Arial"/>
        <family val="2"/>
      </rPr>
      <t>(m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)</t>
    </r>
  </si>
  <si>
    <r>
      <t>M</t>
    </r>
    <r>
      <rPr>
        <vertAlign val="subscript"/>
        <sz val="11"/>
        <color theme="1"/>
        <rFont val="Arial"/>
        <family val="2"/>
      </rPr>
      <t>ht</t>
    </r>
    <r>
      <rPr>
        <sz val="11"/>
        <color theme="1"/>
        <rFont val="Arial"/>
        <family val="2"/>
      </rPr>
      <t xml:space="preserve"> : Là momen do hoạt tải gây ra</t>
    </r>
  </si>
  <si>
    <r>
      <t xml:space="preserve">(Giả thiết hoạt tải dài hạn chiếm </t>
    </r>
    <r>
      <rPr>
        <i/>
        <sz val="11"/>
        <color indexed="8"/>
        <rFont val="Symbol"/>
        <family val="1"/>
        <charset val="2"/>
      </rPr>
      <t>y</t>
    </r>
    <r>
      <rPr>
        <i/>
        <sz val="11"/>
        <color indexed="8"/>
        <rFont val="Arial"/>
        <family val="2"/>
      </rPr>
      <t xml:space="preserve"> hoạt tải toàn phần)</t>
    </r>
  </si>
  <si>
    <r>
      <t xml:space="preserve">TÍNH ĐỘ VÕNG DẦM
</t>
    </r>
    <r>
      <rPr>
        <sz val="11"/>
        <color theme="1"/>
        <rFont val="Arial"/>
        <family val="2"/>
      </rPr>
      <t>(THEO 5574:2018)</t>
    </r>
  </si>
  <si>
    <t>3D18</t>
  </si>
  <si>
    <t>2D18</t>
  </si>
  <si>
    <t>5D18</t>
  </si>
  <si>
    <t>3D20</t>
  </si>
  <si>
    <t>2D16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</si>
</sst>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#,##0.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1"/>
      <charset val="2"/>
    </font>
    <font>
      <sz val="11"/>
      <color indexed="8"/>
      <name val="Symbol"/>
      <family val="1"/>
      <charset val="2"/>
    </font>
    <font>
      <sz val="11"/>
      <color indexed="8"/>
      <name val="Arial"/>
      <family val="2"/>
    </font>
    <font>
      <vertAlign val="subscript"/>
      <sz val="11"/>
      <color indexed="8"/>
      <name val="Arial"/>
      <family val="2"/>
    </font>
    <font>
      <sz val="11"/>
      <name val="Arial"/>
      <family val="2"/>
    </font>
    <font>
      <i/>
      <sz val="11"/>
      <color theme="1"/>
      <name val="Arial"/>
      <family val="2"/>
    </font>
    <font>
      <i/>
      <sz val="11"/>
      <color indexed="8"/>
      <name val="Symbol"/>
      <family val="1"/>
      <charset val="2"/>
    </font>
    <font>
      <i/>
      <sz val="11"/>
      <color indexed="8"/>
      <name val="Arial"/>
      <family val="2"/>
    </font>
    <font>
      <vertAlign val="subscript"/>
      <sz val="11"/>
      <color theme="1"/>
      <name val="Arial"/>
      <family val="2"/>
    </font>
    <font>
      <sz val="11"/>
      <color theme="1"/>
      <name val="Symbol"/>
      <family val="1"/>
      <charset val="2"/>
    </font>
    <font>
      <sz val="14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1"/>
      <color theme="4" tint="-0.249977111117893"/>
      <name val="Arial"/>
      <family val="2"/>
    </font>
    <font>
      <sz val="11"/>
      <color rgb="FFC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2" fontId="2" fillId="0" borderId="0" xfId="0" applyNumberFormat="1" applyFont="1"/>
    <xf numFmtId="0" fontId="4" fillId="0" borderId="0" xfId="0" applyFont="1"/>
    <xf numFmtId="0" fontId="10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9" fillId="0" borderId="0" xfId="0" applyFont="1"/>
    <xf numFmtId="1" fontId="2" fillId="0" borderId="0" xfId="0" applyNumberFormat="1" applyFont="1" applyAlignment="1">
      <alignment horizontal="left"/>
    </xf>
    <xf numFmtId="0" fontId="17" fillId="0" borderId="0" xfId="0" applyFont="1"/>
    <xf numFmtId="0" fontId="2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Fill="1"/>
    <xf numFmtId="0" fontId="2" fillId="0" borderId="0" xfId="0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64" fontId="2" fillId="0" borderId="11" xfId="0" applyNumberFormat="1" applyFont="1" applyBorder="1" applyAlignment="1">
      <alignment horizontal="center" vertical="center" wrapText="1"/>
    </xf>
    <xf numFmtId="164" fontId="2" fillId="0" borderId="12" xfId="0" applyNumberFormat="1" applyFont="1" applyBorder="1" applyAlignment="1">
      <alignment horizontal="center" vertical="center" wrapText="1"/>
    </xf>
    <xf numFmtId="164" fontId="2" fillId="0" borderId="13" xfId="0" applyNumberFormat="1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65" fontId="2" fillId="0" borderId="18" xfId="0" applyNumberFormat="1" applyFont="1" applyBorder="1" applyAlignment="1">
      <alignment horizontal="center" vertical="center"/>
    </xf>
    <xf numFmtId="165" fontId="2" fillId="0" borderId="19" xfId="0" applyNumberFormat="1" applyFon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19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horizontal="center" vertical="center"/>
    </xf>
    <xf numFmtId="1" fontId="2" fillId="0" borderId="19" xfId="0" applyNumberFormat="1" applyFont="1" applyBorder="1" applyAlignment="1">
      <alignment horizontal="center" vertical="center"/>
    </xf>
    <xf numFmtId="1" fontId="2" fillId="0" borderId="18" xfId="0" applyNumberFormat="1" applyFont="1" applyFill="1" applyBorder="1" applyAlignment="1">
      <alignment horizontal="center"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8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165" fontId="2" fillId="0" borderId="18" xfId="0" applyNumberFormat="1" applyFont="1" applyFill="1" applyBorder="1" applyAlignment="1">
      <alignment horizontal="center" vertical="center"/>
    </xf>
    <xf numFmtId="165" fontId="2" fillId="0" borderId="19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 wrapText="1"/>
    </xf>
    <xf numFmtId="164" fontId="2" fillId="0" borderId="22" xfId="0" applyNumberFormat="1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/>
    </xf>
    <xf numFmtId="2" fontId="2" fillId="5" borderId="15" xfId="0" applyNumberFormat="1" applyFont="1" applyFill="1" applyBorder="1" applyAlignment="1">
      <alignment horizontal="center" vertical="center"/>
    </xf>
    <xf numFmtId="2" fontId="2" fillId="5" borderId="16" xfId="0" applyNumberFormat="1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2" fontId="2" fillId="5" borderId="18" xfId="0" applyNumberFormat="1" applyFont="1" applyFill="1" applyBorder="1" applyAlignment="1">
      <alignment horizontal="center" vertical="center"/>
    </xf>
    <xf numFmtId="2" fontId="2" fillId="5" borderId="19" xfId="0" applyNumberFormat="1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2" fontId="2" fillId="0" borderId="15" xfId="0" applyNumberFormat="1" applyFont="1" applyFill="1" applyBorder="1" applyAlignment="1">
      <alignment horizontal="center" vertical="center"/>
    </xf>
    <xf numFmtId="2" fontId="2" fillId="0" borderId="16" xfId="0" applyNumberFormat="1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18" fillId="2" borderId="0" xfId="0" applyFont="1" applyFill="1"/>
    <xf numFmtId="166" fontId="2" fillId="0" borderId="18" xfId="0" applyNumberFormat="1" applyFont="1" applyBorder="1" applyAlignment="1">
      <alignment horizontal="center" vertical="center"/>
    </xf>
    <xf numFmtId="166" fontId="2" fillId="0" borderId="19" xfId="0" applyNumberFormat="1" applyFont="1" applyBorder="1" applyAlignment="1">
      <alignment horizontal="center" vertical="center"/>
    </xf>
    <xf numFmtId="0" fontId="4" fillId="6" borderId="9" xfId="0" applyFont="1" applyFill="1" applyBorder="1"/>
    <xf numFmtId="0" fontId="4" fillId="4" borderId="10" xfId="0" applyFont="1" applyFill="1" applyBorder="1"/>
    <xf numFmtId="0" fontId="4" fillId="6" borderId="10" xfId="0" applyFont="1" applyFill="1" applyBorder="1"/>
    <xf numFmtId="0" fontId="4" fillId="6" borderId="2" xfId="0" applyFont="1" applyFill="1" applyBorder="1"/>
    <xf numFmtId="0" fontId="4" fillId="6" borderId="6" xfId="0" applyFont="1" applyFill="1" applyBorder="1"/>
    <xf numFmtId="0" fontId="4" fillId="4" borderId="3" xfId="0" applyFont="1" applyFill="1" applyBorder="1"/>
    <xf numFmtId="0" fontId="4" fillId="6" borderId="3" xfId="0" applyFont="1" applyFill="1" applyBorder="1"/>
    <xf numFmtId="0" fontId="4" fillId="6" borderId="4" xfId="0" applyFont="1" applyFill="1" applyBorder="1"/>
    <xf numFmtId="0" fontId="15" fillId="3" borderId="7" xfId="0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15</xdr:row>
      <xdr:rowOff>99736</xdr:rowOff>
    </xdr:from>
    <xdr:to>
      <xdr:col>9</xdr:col>
      <xdr:colOff>200025</xdr:colOff>
      <xdr:row>19</xdr:row>
      <xdr:rowOff>123561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DB6BA277-F666-4D6A-9796-9636C3CDD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4176436"/>
          <a:ext cx="5200650" cy="1014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15</xdr:row>
      <xdr:rowOff>99736</xdr:rowOff>
    </xdr:from>
    <xdr:to>
      <xdr:col>9</xdr:col>
      <xdr:colOff>200025</xdr:colOff>
      <xdr:row>19</xdr:row>
      <xdr:rowOff>123561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DB6BA277-F666-4D6A-9796-9636C3CDD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4176436"/>
          <a:ext cx="5200650" cy="1014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P92"/>
  <sheetViews>
    <sheetView tabSelected="1" view="pageBreakPreview" topLeftCell="A79" zoomScale="115" zoomScaleNormal="100" zoomScaleSheetLayoutView="115" workbookViewId="0">
      <selection activeCell="H31" sqref="H31"/>
    </sheetView>
  </sheetViews>
  <sheetFormatPr defaultColWidth="8.7109375" defaultRowHeight="20.100000000000001" customHeight="1"/>
  <cols>
    <col min="1" max="1" width="8.7109375" style="1"/>
    <col min="2" max="2" width="9" style="1" customWidth="1"/>
    <col min="3" max="3" width="8.7109375" style="1" customWidth="1"/>
    <col min="4" max="5" width="8.7109375" style="1"/>
    <col min="6" max="7" width="8.7109375" style="1" customWidth="1"/>
    <col min="8" max="10" width="8.7109375" style="1"/>
    <col min="11" max="11" width="2.7109375" style="81" customWidth="1"/>
    <col min="12" max="12" width="8.7109375" style="1"/>
    <col min="13" max="13" width="14.140625" style="1" bestFit="1" customWidth="1"/>
    <col min="14" max="14" width="8.7109375" style="1"/>
    <col min="15" max="15" width="9.42578125" style="1" bestFit="1" customWidth="1"/>
    <col min="16" max="17" width="8.7109375" style="1"/>
    <col min="18" max="18" width="9.42578125" style="1" bestFit="1" customWidth="1"/>
    <col min="19" max="16384" width="8.7109375" style="1"/>
  </cols>
  <sheetData>
    <row r="1" spans="1:10" ht="48" customHeight="1">
      <c r="A1" s="92" t="s">
        <v>120</v>
      </c>
      <c r="B1" s="93"/>
      <c r="C1" s="93"/>
      <c r="D1" s="93"/>
      <c r="E1" s="93"/>
      <c r="F1" s="93"/>
      <c r="G1" s="93"/>
      <c r="H1" s="93"/>
      <c r="I1" s="93"/>
      <c r="J1" s="94"/>
    </row>
    <row r="2" spans="1:10" ht="20.100000000000001" customHeight="1">
      <c r="A2" s="3" t="s">
        <v>3</v>
      </c>
    </row>
    <row r="3" spans="1:10" ht="20.100000000000001" customHeight="1">
      <c r="A3" s="3" t="s">
        <v>0</v>
      </c>
      <c r="C3" s="4" t="s">
        <v>1</v>
      </c>
    </row>
    <row r="4" spans="1:10" ht="20.100000000000001" customHeight="1">
      <c r="A4" s="1" t="s">
        <v>2</v>
      </c>
      <c r="B4" s="1">
        <f>VLOOKUP(C3,DATA!B3:G12,4,0)</f>
        <v>14.5</v>
      </c>
      <c r="C4" s="1" t="s">
        <v>4</v>
      </c>
      <c r="D4" s="1" t="s">
        <v>57</v>
      </c>
      <c r="E4" s="1">
        <f>VLOOKUP(C3,DATA!B3:G12,2,0)</f>
        <v>18.5</v>
      </c>
      <c r="F4" s="1" t="s">
        <v>4</v>
      </c>
    </row>
    <row r="5" spans="1:10" ht="20.100000000000001" customHeight="1">
      <c r="A5" s="1" t="s">
        <v>5</v>
      </c>
      <c r="B5" s="1">
        <f>VLOOKUP(C3,DATA!B3:G12,5,0)</f>
        <v>1.05</v>
      </c>
      <c r="C5" s="1" t="s">
        <v>4</v>
      </c>
      <c r="D5" s="1" t="s">
        <v>6</v>
      </c>
      <c r="E5" s="1">
        <f>VLOOKUP(C3,DATA!B3:G12,3,0)</f>
        <v>1.55</v>
      </c>
      <c r="F5" s="1" t="s">
        <v>4</v>
      </c>
    </row>
    <row r="6" spans="1:10" ht="20.100000000000001" customHeight="1">
      <c r="A6" s="1" t="s">
        <v>7</v>
      </c>
      <c r="B6" s="1">
        <f>VLOOKUP(C3,DATA!B3:G12,6,0)</f>
        <v>30000</v>
      </c>
      <c r="C6" s="1" t="s">
        <v>4</v>
      </c>
    </row>
    <row r="7" spans="1:10" ht="20.100000000000001" customHeight="1">
      <c r="A7" s="3" t="s">
        <v>8</v>
      </c>
      <c r="C7" s="4" t="s">
        <v>47</v>
      </c>
    </row>
    <row r="8" spans="1:10" ht="20.100000000000001" customHeight="1">
      <c r="A8" s="1" t="s">
        <v>10</v>
      </c>
      <c r="B8" s="1">
        <f>VLOOKUP(C7,DATA!B16:F23,2,0)</f>
        <v>435</v>
      </c>
      <c r="C8" s="1" t="s">
        <v>4</v>
      </c>
    </row>
    <row r="9" spans="1:10" ht="20.100000000000001" customHeight="1">
      <c r="A9" s="1" t="s">
        <v>11</v>
      </c>
      <c r="B9" s="1">
        <f>VLOOKUP(C7,DATA!B16:F23,5,0)</f>
        <v>200000</v>
      </c>
      <c r="C9" s="1" t="s">
        <v>4</v>
      </c>
    </row>
    <row r="10" spans="1:10" ht="20.100000000000001" customHeight="1">
      <c r="A10" s="5" t="s">
        <v>12</v>
      </c>
      <c r="C10" s="6">
        <f>B9/B6</f>
        <v>6.666666666666667</v>
      </c>
    </row>
    <row r="11" spans="1:10" ht="20.100000000000001" customHeight="1">
      <c r="A11" s="3" t="s">
        <v>13</v>
      </c>
    </row>
    <row r="12" spans="1:10" ht="20.100000000000001" customHeight="1">
      <c r="A12" s="1" t="s">
        <v>14</v>
      </c>
      <c r="B12" s="7">
        <v>250</v>
      </c>
      <c r="C12" s="1" t="s">
        <v>15</v>
      </c>
      <c r="E12" s="7"/>
      <c r="H12" s="7"/>
    </row>
    <row r="13" spans="1:10" ht="20.100000000000001" customHeight="1">
      <c r="A13" s="1" t="s">
        <v>16</v>
      </c>
      <c r="B13" s="7">
        <v>600</v>
      </c>
      <c r="C13" s="1" t="s">
        <v>15</v>
      </c>
      <c r="E13" s="7"/>
      <c r="H13" s="7"/>
    </row>
    <row r="14" spans="1:10" ht="20.100000000000001" customHeight="1">
      <c r="H14" s="6"/>
    </row>
    <row r="15" spans="1:10" ht="20.100000000000001" customHeight="1">
      <c r="A15" s="3" t="s">
        <v>18</v>
      </c>
      <c r="E15" s="8" t="s">
        <v>119</v>
      </c>
    </row>
    <row r="16" spans="1:10" ht="20.100000000000001" customHeight="1">
      <c r="A16" s="3"/>
      <c r="E16" s="8"/>
    </row>
    <row r="17" spans="1:11" ht="20.100000000000001" customHeight="1">
      <c r="A17" s="3"/>
      <c r="E17" s="8"/>
    </row>
    <row r="18" spans="1:11" ht="20.100000000000001" customHeight="1">
      <c r="A18" s="3"/>
      <c r="E18" s="8"/>
    </row>
    <row r="19" spans="1:11" ht="20.100000000000001" customHeight="1">
      <c r="A19" s="3"/>
      <c r="E19" s="8"/>
    </row>
    <row r="20" spans="1:11" ht="20.100000000000001" customHeight="1">
      <c r="A20" s="3"/>
      <c r="E20" s="8"/>
    </row>
    <row r="21" spans="1:11" ht="20.100000000000001" customHeight="1">
      <c r="A21" s="3"/>
      <c r="E21" s="8"/>
    </row>
    <row r="22" spans="1:11" ht="20.100000000000001" customHeight="1">
      <c r="B22" s="16" t="s">
        <v>77</v>
      </c>
      <c r="C22" s="17" t="s">
        <v>66</v>
      </c>
      <c r="D22" s="18" t="s">
        <v>67</v>
      </c>
      <c r="E22" s="18" t="s">
        <v>68</v>
      </c>
      <c r="F22" s="18" t="s">
        <v>69</v>
      </c>
      <c r="G22" s="18" t="s">
        <v>70</v>
      </c>
      <c r="H22" s="18" t="s">
        <v>71</v>
      </c>
      <c r="I22" s="16" t="s">
        <v>72</v>
      </c>
    </row>
    <row r="23" spans="1:11" ht="20.100000000000001" customHeight="1">
      <c r="B23" s="15" t="s">
        <v>101</v>
      </c>
      <c r="C23" s="84">
        <v>0</v>
      </c>
      <c r="D23" s="85">
        <v>0</v>
      </c>
      <c r="E23" s="86">
        <v>0</v>
      </c>
      <c r="F23" s="85">
        <v>0</v>
      </c>
      <c r="G23" s="86">
        <v>0</v>
      </c>
      <c r="H23" s="85">
        <v>0</v>
      </c>
      <c r="I23" s="87">
        <v>0</v>
      </c>
    </row>
    <row r="24" spans="1:11" ht="20.100000000000001" customHeight="1">
      <c r="B24" s="15" t="s">
        <v>102</v>
      </c>
      <c r="C24" s="88">
        <v>0</v>
      </c>
      <c r="D24" s="89">
        <v>18.48</v>
      </c>
      <c r="E24" s="90">
        <v>66.67</v>
      </c>
      <c r="F24" s="89">
        <v>66.67</v>
      </c>
      <c r="G24" s="90">
        <v>66.67</v>
      </c>
      <c r="H24" s="89">
        <v>18.48</v>
      </c>
      <c r="I24" s="91">
        <v>0</v>
      </c>
    </row>
    <row r="25" spans="1:11" s="21" customFormat="1" ht="20.100000000000001" customHeight="1">
      <c r="B25" s="22"/>
      <c r="C25" s="23"/>
      <c r="D25" s="23"/>
      <c r="E25" s="23"/>
      <c r="F25" s="23"/>
      <c r="G25" s="23"/>
      <c r="H25" s="23"/>
      <c r="I25" s="23"/>
      <c r="K25" s="81"/>
    </row>
    <row r="26" spans="1:11" s="21" customFormat="1" ht="20.100000000000001" customHeight="1">
      <c r="A26" s="21" t="s">
        <v>99</v>
      </c>
      <c r="B26" s="22"/>
      <c r="C26" s="23"/>
      <c r="D26" s="23"/>
      <c r="E26" s="23"/>
      <c r="F26" s="23"/>
      <c r="G26" s="23"/>
      <c r="H26" s="23"/>
      <c r="I26" s="23"/>
      <c r="K26" s="81"/>
    </row>
    <row r="27" spans="1:11" s="21" customFormat="1" ht="20.100000000000001" customHeight="1">
      <c r="A27" s="21" t="s">
        <v>118</v>
      </c>
      <c r="B27" s="22"/>
      <c r="C27" s="23"/>
      <c r="D27" s="23"/>
      <c r="E27" s="23"/>
      <c r="F27" s="23"/>
      <c r="G27" s="23"/>
      <c r="H27" s="23"/>
      <c r="I27" s="23"/>
      <c r="K27" s="81"/>
    </row>
    <row r="28" spans="1:11" s="21" customFormat="1" ht="20.100000000000001" customHeight="1">
      <c r="A28" s="21" t="s">
        <v>100</v>
      </c>
      <c r="B28" s="24">
        <v>0.3</v>
      </c>
      <c r="C28" s="23"/>
      <c r="D28" s="23"/>
      <c r="E28" s="23"/>
      <c r="F28" s="23"/>
      <c r="G28" s="23"/>
      <c r="H28" s="23"/>
      <c r="I28" s="23"/>
      <c r="K28" s="81"/>
    </row>
    <row r="29" spans="1:11" s="21" customFormat="1" ht="20.100000000000001" customHeight="1">
      <c r="B29" s="24"/>
      <c r="C29" s="23"/>
      <c r="D29" s="23"/>
      <c r="E29" s="23"/>
      <c r="F29" s="23"/>
      <c r="G29" s="23"/>
      <c r="H29" s="23"/>
      <c r="I29" s="23"/>
      <c r="K29" s="81"/>
    </row>
    <row r="30" spans="1:11" ht="20.100000000000001" customHeight="1">
      <c r="A30" s="3" t="s">
        <v>48</v>
      </c>
      <c r="B30" s="7"/>
      <c r="D30" s="8"/>
    </row>
    <row r="31" spans="1:11" ht="20.100000000000001" customHeight="1">
      <c r="A31" s="1" t="s">
        <v>49</v>
      </c>
      <c r="B31" s="7" t="s">
        <v>60</v>
      </c>
      <c r="D31" s="8"/>
    </row>
    <row r="32" spans="1:11" ht="20.100000000000001" customHeight="1">
      <c r="A32" s="5" t="s">
        <v>50</v>
      </c>
      <c r="B32" s="12">
        <v>1.5E-3</v>
      </c>
      <c r="C32" s="1" t="s">
        <v>51</v>
      </c>
      <c r="D32" s="8"/>
    </row>
    <row r="33" spans="1:9" ht="20.100000000000001" customHeight="1">
      <c r="A33" s="5" t="s">
        <v>50</v>
      </c>
      <c r="B33" s="12">
        <f>VLOOKUP(B31,DATA!A33:C35,2,0)</f>
        <v>4.7999999999999996E-3</v>
      </c>
      <c r="C33" s="1" t="s">
        <v>103</v>
      </c>
    </row>
    <row r="34" spans="1:9" ht="20.100000000000001" customHeight="1">
      <c r="A34" s="5"/>
      <c r="B34" s="12"/>
    </row>
    <row r="35" spans="1:9" ht="20.100000000000001" customHeight="1">
      <c r="A35" s="3" t="s">
        <v>106</v>
      </c>
    </row>
    <row r="36" spans="1:9" ht="20.100000000000001" customHeight="1">
      <c r="B36" s="16" t="s">
        <v>77</v>
      </c>
      <c r="C36" s="17" t="s">
        <v>66</v>
      </c>
      <c r="D36" s="18" t="s">
        <v>67</v>
      </c>
      <c r="E36" s="18" t="s">
        <v>68</v>
      </c>
      <c r="F36" s="18" t="s">
        <v>69</v>
      </c>
      <c r="G36" s="18" t="s">
        <v>70</v>
      </c>
      <c r="H36" s="18" t="s">
        <v>71</v>
      </c>
      <c r="I36" s="16" t="s">
        <v>72</v>
      </c>
    </row>
    <row r="37" spans="1:9" ht="20.100000000000001" customHeight="1">
      <c r="B37" s="53" t="s">
        <v>108</v>
      </c>
      <c r="C37" s="31">
        <v>30</v>
      </c>
      <c r="D37" s="31">
        <f>C37</f>
        <v>30</v>
      </c>
      <c r="E37" s="31">
        <f t="shared" ref="E37:I38" si="0">D37</f>
        <v>30</v>
      </c>
      <c r="F37" s="31">
        <v>30</v>
      </c>
      <c r="G37" s="31">
        <f t="shared" si="0"/>
        <v>30</v>
      </c>
      <c r="H37" s="31">
        <v>30</v>
      </c>
      <c r="I37" s="32">
        <f t="shared" si="0"/>
        <v>30</v>
      </c>
    </row>
    <row r="38" spans="1:9" ht="20.100000000000001" customHeight="1">
      <c r="B38" s="53" t="s">
        <v>109</v>
      </c>
      <c r="C38" s="33">
        <v>30</v>
      </c>
      <c r="D38" s="33">
        <f>C38</f>
        <v>30</v>
      </c>
      <c r="E38" s="33">
        <f t="shared" si="0"/>
        <v>30</v>
      </c>
      <c r="F38" s="33">
        <f t="shared" si="0"/>
        <v>30</v>
      </c>
      <c r="G38" s="33">
        <f t="shared" si="0"/>
        <v>30</v>
      </c>
      <c r="H38" s="33">
        <f t="shared" si="0"/>
        <v>30</v>
      </c>
      <c r="I38" s="34">
        <f t="shared" si="0"/>
        <v>30</v>
      </c>
    </row>
    <row r="39" spans="1:9" ht="20.100000000000001" customHeight="1">
      <c r="B39" s="53" t="s">
        <v>111</v>
      </c>
      <c r="C39" s="36">
        <f>$B$13-C37</f>
        <v>570</v>
      </c>
      <c r="D39" s="36">
        <f t="shared" ref="D39:I40" si="1">$B$13-D37</f>
        <v>570</v>
      </c>
      <c r="E39" s="36">
        <f t="shared" si="1"/>
        <v>570</v>
      </c>
      <c r="F39" s="36">
        <f t="shared" si="1"/>
        <v>570</v>
      </c>
      <c r="G39" s="36">
        <f t="shared" si="1"/>
        <v>570</v>
      </c>
      <c r="H39" s="36">
        <f t="shared" si="1"/>
        <v>570</v>
      </c>
      <c r="I39" s="37">
        <f t="shared" si="1"/>
        <v>570</v>
      </c>
    </row>
    <row r="40" spans="1:9" ht="20.100000000000001" customHeight="1">
      <c r="B40" s="53" t="s">
        <v>110</v>
      </c>
      <c r="C40" s="36">
        <f>$B$13-C38</f>
        <v>570</v>
      </c>
      <c r="D40" s="36">
        <f t="shared" si="1"/>
        <v>570</v>
      </c>
      <c r="E40" s="36">
        <f t="shared" si="1"/>
        <v>570</v>
      </c>
      <c r="F40" s="36">
        <f t="shared" si="1"/>
        <v>570</v>
      </c>
      <c r="G40" s="36">
        <f t="shared" si="1"/>
        <v>570</v>
      </c>
      <c r="H40" s="36">
        <f t="shared" si="1"/>
        <v>570</v>
      </c>
      <c r="I40" s="37">
        <f t="shared" si="1"/>
        <v>570</v>
      </c>
    </row>
    <row r="41" spans="1:9" ht="20.100000000000001" customHeight="1">
      <c r="B41" s="35" t="s">
        <v>75</v>
      </c>
      <c r="C41" s="33" t="s">
        <v>124</v>
      </c>
      <c r="D41" s="33" t="s">
        <v>124</v>
      </c>
      <c r="E41" s="33" t="s">
        <v>124</v>
      </c>
      <c r="F41" s="33" t="s">
        <v>124</v>
      </c>
      <c r="G41" s="33" t="s">
        <v>124</v>
      </c>
      <c r="H41" s="33" t="s">
        <v>124</v>
      </c>
      <c r="I41" s="33" t="s">
        <v>124</v>
      </c>
    </row>
    <row r="42" spans="1:9" ht="20.100000000000001" customHeight="1">
      <c r="B42" s="35" t="s">
        <v>87</v>
      </c>
      <c r="C42" s="38">
        <f>(RIGHT(C41,LEN(C41)-FIND("D",C41))/20)^2*PI()*LEFT(C41,FIND("D",C41)-1)</f>
        <v>9.4247779607693793</v>
      </c>
      <c r="D42" s="38">
        <f t="shared" ref="D42:I42" si="2">(RIGHT(D41,LEN(D41)-FIND("D",D41))/20)^2*PI()*LEFT(D41,FIND("D",D41)-1)</f>
        <v>9.4247779607693793</v>
      </c>
      <c r="E42" s="38">
        <f t="shared" si="2"/>
        <v>9.4247779607693793</v>
      </c>
      <c r="F42" s="38">
        <f t="shared" si="2"/>
        <v>9.4247779607693793</v>
      </c>
      <c r="G42" s="38">
        <f t="shared" si="2"/>
        <v>9.4247779607693793</v>
      </c>
      <c r="H42" s="38">
        <f t="shared" si="2"/>
        <v>9.4247779607693793</v>
      </c>
      <c r="I42" s="39">
        <f t="shared" si="2"/>
        <v>9.4247779607693793</v>
      </c>
    </row>
    <row r="43" spans="1:9" ht="20.100000000000001" customHeight="1">
      <c r="B43" s="54" t="s">
        <v>74</v>
      </c>
      <c r="C43" s="40">
        <f>C42/(C39*$B$12/100)</f>
        <v>6.6138792707153542E-3</v>
      </c>
      <c r="D43" s="40">
        <f t="shared" ref="D43:I43" si="3">D42/(D39*$B$12/100)</f>
        <v>6.6138792707153542E-3</v>
      </c>
      <c r="E43" s="40">
        <f t="shared" si="3"/>
        <v>6.6138792707153542E-3</v>
      </c>
      <c r="F43" s="40">
        <f t="shared" si="3"/>
        <v>6.6138792707153542E-3</v>
      </c>
      <c r="G43" s="40">
        <f t="shared" si="3"/>
        <v>6.6138792707153542E-3</v>
      </c>
      <c r="H43" s="40">
        <f t="shared" si="3"/>
        <v>6.6138792707153542E-3</v>
      </c>
      <c r="I43" s="41">
        <f t="shared" si="3"/>
        <v>6.6138792707153542E-3</v>
      </c>
    </row>
    <row r="44" spans="1:9" ht="20.100000000000001" customHeight="1">
      <c r="B44" s="35" t="s">
        <v>76</v>
      </c>
      <c r="C44" s="33" t="s">
        <v>125</v>
      </c>
      <c r="D44" s="33" t="s">
        <v>125</v>
      </c>
      <c r="E44" s="33" t="s">
        <v>125</v>
      </c>
      <c r="F44" s="33" t="s">
        <v>125</v>
      </c>
      <c r="G44" s="33" t="s">
        <v>125</v>
      </c>
      <c r="H44" s="33" t="s">
        <v>125</v>
      </c>
      <c r="I44" s="33" t="s">
        <v>125</v>
      </c>
    </row>
    <row r="45" spans="1:9" ht="20.100000000000001" customHeight="1">
      <c r="B45" s="35" t="s">
        <v>88</v>
      </c>
      <c r="C45" s="38">
        <f>(RIGHT(C44,LEN(C44)-FIND("D",C44))/20)^2*PI()*LEFT(C44,FIND("D",C44)-1)</f>
        <v>4.0212385965949355</v>
      </c>
      <c r="D45" s="38">
        <f t="shared" ref="D45:I45" si="4">(RIGHT(D44,LEN(D44)-FIND("D",D44))/20)^2*PI()*LEFT(D44,FIND("D",D44)-1)</f>
        <v>4.0212385965949355</v>
      </c>
      <c r="E45" s="38">
        <f t="shared" si="4"/>
        <v>4.0212385965949355</v>
      </c>
      <c r="F45" s="38">
        <f t="shared" si="4"/>
        <v>4.0212385965949355</v>
      </c>
      <c r="G45" s="38">
        <f t="shared" si="4"/>
        <v>4.0212385965949355</v>
      </c>
      <c r="H45" s="38">
        <f t="shared" si="4"/>
        <v>4.0212385965949355</v>
      </c>
      <c r="I45" s="39">
        <f t="shared" si="4"/>
        <v>4.0212385965949355</v>
      </c>
    </row>
    <row r="46" spans="1:9" ht="20.100000000000001" customHeight="1">
      <c r="B46" s="54" t="s">
        <v>73</v>
      </c>
      <c r="C46" s="40">
        <f>C45/(C40*$B$12/100)</f>
        <v>2.8219218221718846E-3</v>
      </c>
      <c r="D46" s="40">
        <f t="shared" ref="D46:I46" si="5">D45/(D40*$B$12/100)</f>
        <v>2.8219218221718846E-3</v>
      </c>
      <c r="E46" s="40">
        <f t="shared" si="5"/>
        <v>2.8219218221718846E-3</v>
      </c>
      <c r="F46" s="40">
        <f t="shared" si="5"/>
        <v>2.8219218221718846E-3</v>
      </c>
      <c r="G46" s="40">
        <f t="shared" si="5"/>
        <v>2.8219218221718846E-3</v>
      </c>
      <c r="H46" s="40">
        <f t="shared" si="5"/>
        <v>2.8219218221718846E-3</v>
      </c>
      <c r="I46" s="41">
        <f t="shared" si="5"/>
        <v>2.8219218221718846E-3</v>
      </c>
    </row>
    <row r="47" spans="1:9" ht="20.100000000000001" customHeight="1">
      <c r="B47" s="54" t="s">
        <v>112</v>
      </c>
      <c r="C47" s="82">
        <f>($B$12*$B$13^2/2+$C$10*C42*C38*100+$C$10*C45*C39*100)/($B$12*$B$13+$C$10*C42*100+$C$10*C45*100)</f>
        <v>293.88140070699774</v>
      </c>
      <c r="D47" s="82">
        <f t="shared" ref="D47:I47" si="6">($B$12*$B$13^2/2+$C$10*D42*D38*100+$C$10*D45*D39*100)/($B$12*$B$13+$C$10*D42*100+$C$10*D45*100)</f>
        <v>293.88140070699774</v>
      </c>
      <c r="E47" s="82">
        <f t="shared" si="6"/>
        <v>293.88140070699774</v>
      </c>
      <c r="F47" s="82">
        <f t="shared" si="6"/>
        <v>293.88140070699774</v>
      </c>
      <c r="G47" s="82">
        <f t="shared" si="6"/>
        <v>293.88140070699774</v>
      </c>
      <c r="H47" s="82">
        <f t="shared" si="6"/>
        <v>293.88140070699774</v>
      </c>
      <c r="I47" s="83">
        <f t="shared" si="6"/>
        <v>293.88140070699774</v>
      </c>
    </row>
    <row r="48" spans="1:9" ht="20.100000000000001" customHeight="1">
      <c r="B48" s="54" t="s">
        <v>113</v>
      </c>
      <c r="C48" s="40">
        <f>($B$12*$B$13^3/12+$B$12*$B$13*($B$13/2-C47)^2+$C$10*(C42*100*(C39-C47)^2)+$C$10*(C45*100*(C47-C38)^2))/1000^4</f>
        <v>5.171329934439914E-3</v>
      </c>
      <c r="D48" s="40">
        <f t="shared" ref="D48:I48" si="7">($B$12*$B$13^3/12+$B$12*$B$13*($B$13/2-D47)^2+$C$10*(D42*100*(D39-D47)^2)+$C$10*(D45*100*(D47-D38)^2))/1000^4</f>
        <v>5.171329934439914E-3</v>
      </c>
      <c r="E48" s="40">
        <f t="shared" si="7"/>
        <v>5.171329934439914E-3</v>
      </c>
      <c r="F48" s="40">
        <f t="shared" si="7"/>
        <v>5.171329934439914E-3</v>
      </c>
      <c r="G48" s="40">
        <f t="shared" si="7"/>
        <v>5.171329934439914E-3</v>
      </c>
      <c r="H48" s="40">
        <f t="shared" si="7"/>
        <v>5.171329934439914E-3</v>
      </c>
      <c r="I48" s="41">
        <f t="shared" si="7"/>
        <v>5.171329934439914E-3</v>
      </c>
    </row>
    <row r="49" spans="2:16" ht="20.100000000000001" customHeight="1">
      <c r="B49" s="54" t="s">
        <v>114</v>
      </c>
      <c r="C49" s="40">
        <f>($B$12*$B$13+$C$10*C42*100+$C$10*C45*100)/1000^2</f>
        <v>0.15896401103824287</v>
      </c>
      <c r="D49" s="40">
        <f t="shared" ref="D49:I49" si="8">($B$12*$B$13+$C$10*D42*100+$C$10*D45*100)/1000^2</f>
        <v>0.15896401103824287</v>
      </c>
      <c r="E49" s="40">
        <f t="shared" si="8"/>
        <v>0.15896401103824287</v>
      </c>
      <c r="F49" s="40">
        <f t="shared" si="8"/>
        <v>0.15896401103824287</v>
      </c>
      <c r="G49" s="40">
        <f t="shared" si="8"/>
        <v>0.15896401103824287</v>
      </c>
      <c r="H49" s="40">
        <f t="shared" si="8"/>
        <v>0.15896401103824287</v>
      </c>
      <c r="I49" s="41">
        <f t="shared" si="8"/>
        <v>0.15896401103824287</v>
      </c>
    </row>
    <row r="50" spans="2:16" ht="20.100000000000001" customHeight="1">
      <c r="B50" s="54" t="s">
        <v>115</v>
      </c>
      <c r="C50" s="42">
        <f>MAX(RIGHT(C41,LEN(C41)-FIND("D",C41)),RIGHT(C44,LEN(C44)-FIND("D",C44)))</f>
        <v>20</v>
      </c>
      <c r="D50" s="42">
        <f t="shared" ref="D50:I50" si="9">MAX(RIGHT(D41,LEN(D41)-FIND("D",D41)),RIGHT(D44,LEN(D44)-FIND("D",D44)))</f>
        <v>20</v>
      </c>
      <c r="E50" s="42">
        <f t="shared" si="9"/>
        <v>20</v>
      </c>
      <c r="F50" s="42">
        <f t="shared" si="9"/>
        <v>20</v>
      </c>
      <c r="G50" s="42">
        <f t="shared" si="9"/>
        <v>20</v>
      </c>
      <c r="H50" s="42">
        <f t="shared" si="9"/>
        <v>20</v>
      </c>
      <c r="I50" s="43">
        <f t="shared" si="9"/>
        <v>20</v>
      </c>
    </row>
    <row r="51" spans="2:16" ht="20.100000000000001" customHeight="1">
      <c r="B51" s="55" t="s">
        <v>105</v>
      </c>
      <c r="C51" s="44">
        <f>0.0015*$B$9/$E$4</f>
        <v>16.216216216216218</v>
      </c>
      <c r="D51" s="44">
        <f t="shared" ref="D51:I51" si="10">0.0015*$B$9/$E$4</f>
        <v>16.216216216216218</v>
      </c>
      <c r="E51" s="44">
        <f t="shared" si="10"/>
        <v>16.216216216216218</v>
      </c>
      <c r="F51" s="44">
        <f t="shared" si="10"/>
        <v>16.216216216216218</v>
      </c>
      <c r="G51" s="44">
        <f t="shared" si="10"/>
        <v>16.216216216216218</v>
      </c>
      <c r="H51" s="44">
        <f t="shared" si="10"/>
        <v>16.216216216216218</v>
      </c>
      <c r="I51" s="45">
        <f t="shared" si="10"/>
        <v>16.216216216216218</v>
      </c>
    </row>
    <row r="52" spans="2:16" ht="20.100000000000001" customHeight="1">
      <c r="B52" s="54" t="s">
        <v>116</v>
      </c>
      <c r="C52" s="46">
        <f>(C$39*(((C$43*C51+C$46*C51)^2+2*(C$43*C51+C$46*C51*C$38/C$39))^0.5-(C$43*C51+C$46*C51)))</f>
        <v>193.61049711336238</v>
      </c>
      <c r="D52" s="46">
        <f t="shared" ref="D52:I52" si="11">(D$39*(((D$43*D51+D$46*D51)^2+2*(D$43*D51+D$46*D51*D$38/D$39))^0.5-(D$43*D51+D$46*D51)))</f>
        <v>193.61049711336238</v>
      </c>
      <c r="E52" s="46">
        <f t="shared" si="11"/>
        <v>193.61049711336238</v>
      </c>
      <c r="F52" s="46">
        <f t="shared" si="11"/>
        <v>193.61049711336238</v>
      </c>
      <c r="G52" s="46">
        <f t="shared" si="11"/>
        <v>193.61049711336238</v>
      </c>
      <c r="H52" s="46">
        <f t="shared" si="11"/>
        <v>193.61049711336238</v>
      </c>
      <c r="I52" s="47">
        <f t="shared" si="11"/>
        <v>193.61049711336238</v>
      </c>
    </row>
    <row r="53" spans="2:16" ht="20.100000000000001" customHeight="1">
      <c r="B53" s="55" t="s">
        <v>117</v>
      </c>
      <c r="C53" s="48">
        <f>($B$12*$B$13^2/2+$C$10*C42*C38*100+$C$10*C45*C39*100)/1000^3</f>
        <v>4.671656622592147E-2</v>
      </c>
      <c r="D53" s="48">
        <f t="shared" ref="D53:I53" si="12">($B$12*$B$13^2/2+$C$10*D42*D38*100+$C$10*D45*D39*100)/1000^3</f>
        <v>4.671656622592147E-2</v>
      </c>
      <c r="E53" s="48">
        <f t="shared" si="12"/>
        <v>4.671656622592147E-2</v>
      </c>
      <c r="F53" s="48">
        <f t="shared" si="12"/>
        <v>4.671656622592147E-2</v>
      </c>
      <c r="G53" s="48">
        <f t="shared" si="12"/>
        <v>4.671656622592147E-2</v>
      </c>
      <c r="H53" s="48">
        <f t="shared" si="12"/>
        <v>4.671656622592147E-2</v>
      </c>
      <c r="I53" s="49">
        <f t="shared" si="12"/>
        <v>4.671656622592147E-2</v>
      </c>
    </row>
    <row r="54" spans="2:16" ht="20.100000000000001" customHeight="1">
      <c r="B54" s="54" t="s">
        <v>95</v>
      </c>
      <c r="C54" s="50">
        <f t="shared" ref="C54:E54" si="13">((1.3*$E$5*C48*C49)/C53)*1000</f>
        <v>35.457261986734181</v>
      </c>
      <c r="D54" s="50">
        <f t="shared" si="13"/>
        <v>35.457261986734181</v>
      </c>
      <c r="E54" s="50">
        <f t="shared" si="13"/>
        <v>35.457261986734181</v>
      </c>
      <c r="F54" s="50">
        <f>((1.3*$E$5*F48*F49)/F53)*1000</f>
        <v>35.457261986734181</v>
      </c>
      <c r="G54" s="50">
        <f t="shared" ref="G54:I54" si="14">((1.3*$E$5*G48*G49)/G53)*1000</f>
        <v>35.457261986734181</v>
      </c>
      <c r="H54" s="50">
        <f t="shared" si="14"/>
        <v>35.457261986734181</v>
      </c>
      <c r="I54" s="50">
        <f t="shared" si="14"/>
        <v>35.457261986734181</v>
      </c>
    </row>
    <row r="55" spans="2:16" ht="48" customHeight="1">
      <c r="B55" s="56" t="s">
        <v>96</v>
      </c>
      <c r="C55" s="51" t="str">
        <f t="shared" ref="C55:I55" si="15">IF(ABS(C54)&lt;=ABS(SUM(C23:C24)),"Nứt","Không nứt")</f>
        <v>Không nứt</v>
      </c>
      <c r="D55" s="51" t="str">
        <f t="shared" si="15"/>
        <v>Không nứt</v>
      </c>
      <c r="E55" s="51" t="str">
        <f t="shared" si="15"/>
        <v>Nứt</v>
      </c>
      <c r="F55" s="51" t="str">
        <f t="shared" si="15"/>
        <v>Nứt</v>
      </c>
      <c r="G55" s="51" t="str">
        <f t="shared" si="15"/>
        <v>Nứt</v>
      </c>
      <c r="H55" s="51" t="str">
        <f t="shared" si="15"/>
        <v>Không nứt</v>
      </c>
      <c r="I55" s="52" t="str">
        <f t="shared" si="15"/>
        <v>Không nứt</v>
      </c>
    </row>
    <row r="56" spans="2:16" ht="48" customHeight="1">
      <c r="B56" s="19"/>
      <c r="C56" s="28">
        <f t="shared" ref="C56:I56" si="16">IF(ABS(C54)&lt;=ABS(SUM(C23:C24)),1,0)</f>
        <v>0</v>
      </c>
      <c r="D56" s="29">
        <f t="shared" si="16"/>
        <v>0</v>
      </c>
      <c r="E56" s="29">
        <f t="shared" si="16"/>
        <v>1</v>
      </c>
      <c r="F56" s="29">
        <f t="shared" si="16"/>
        <v>1</v>
      </c>
      <c r="G56" s="29">
        <f t="shared" si="16"/>
        <v>1</v>
      </c>
      <c r="H56" s="29">
        <f t="shared" si="16"/>
        <v>0</v>
      </c>
      <c r="I56" s="30">
        <f t="shared" si="16"/>
        <v>0</v>
      </c>
    </row>
    <row r="57" spans="2:16" ht="20.100000000000001" customHeight="1">
      <c r="B57" s="57" t="s">
        <v>89</v>
      </c>
      <c r="C57" s="58">
        <f t="shared" ref="C57:I58" si="17">$B$9*$B$32/$E$4</f>
        <v>16.216216216216218</v>
      </c>
      <c r="D57" s="58">
        <f t="shared" si="17"/>
        <v>16.216216216216218</v>
      </c>
      <c r="E57" s="58">
        <f t="shared" si="17"/>
        <v>16.216216216216218</v>
      </c>
      <c r="F57" s="58">
        <f t="shared" si="17"/>
        <v>16.216216216216218</v>
      </c>
      <c r="G57" s="58">
        <f t="shared" si="17"/>
        <v>16.216216216216218</v>
      </c>
      <c r="H57" s="58">
        <f t="shared" si="17"/>
        <v>16.216216216216218</v>
      </c>
      <c r="I57" s="59">
        <f t="shared" si="17"/>
        <v>16.216216216216218</v>
      </c>
    </row>
    <row r="58" spans="2:16" ht="20.100000000000001" customHeight="1">
      <c r="B58" s="60" t="s">
        <v>90</v>
      </c>
      <c r="C58" s="61">
        <f t="shared" si="17"/>
        <v>16.216216216216218</v>
      </c>
      <c r="D58" s="61">
        <f t="shared" si="17"/>
        <v>16.216216216216218</v>
      </c>
      <c r="E58" s="61">
        <f t="shared" si="17"/>
        <v>16.216216216216218</v>
      </c>
      <c r="F58" s="61">
        <f t="shared" si="17"/>
        <v>16.216216216216218</v>
      </c>
      <c r="G58" s="61">
        <f t="shared" si="17"/>
        <v>16.216216216216218</v>
      </c>
      <c r="H58" s="61">
        <f t="shared" si="17"/>
        <v>16.216216216216218</v>
      </c>
      <c r="I58" s="62">
        <f t="shared" si="17"/>
        <v>16.216216216216218</v>
      </c>
    </row>
    <row r="59" spans="2:16" ht="20.100000000000001" customHeight="1">
      <c r="B59" s="63" t="s">
        <v>78</v>
      </c>
      <c r="C59" s="61">
        <f>(C$39*(((C$43*C58+C$46*C57)^2+2*(C$43*C58+C$46*C57*C$38/C$39))^0.5-(C$43*C58+C$46*C57)))</f>
        <v>193.61049711336238</v>
      </c>
      <c r="D59" s="61">
        <f t="shared" ref="D59:I59" si="18">(D39*(((D43*D58+D46*D57)^2+2*(D43*D58+D46*D57*D38/D39))^0.5-(D43*D58+D46*D57)))</f>
        <v>193.61049711336238</v>
      </c>
      <c r="E59" s="61">
        <f t="shared" si="18"/>
        <v>193.61049711336238</v>
      </c>
      <c r="F59" s="61">
        <f t="shared" si="18"/>
        <v>193.61049711336238</v>
      </c>
      <c r="G59" s="61">
        <f t="shared" si="18"/>
        <v>193.61049711336238</v>
      </c>
      <c r="H59" s="61">
        <f t="shared" si="18"/>
        <v>193.61049711336238</v>
      </c>
      <c r="I59" s="62">
        <f t="shared" si="18"/>
        <v>193.61049711336238</v>
      </c>
      <c r="P59" s="6"/>
    </row>
    <row r="60" spans="2:16" ht="20.100000000000001" customHeight="1">
      <c r="B60" s="63" t="s">
        <v>79</v>
      </c>
      <c r="C60" s="64">
        <f>($B$12*C59^3/3+C$42*100*C57*(C$39-C59)^2+C$45*100*C58*(C59-C$38)^2)/1000^4</f>
        <v>2.9445341871300003E-3</v>
      </c>
      <c r="D60" s="64">
        <f t="shared" ref="D60:I60" si="19">($B$12*D59^3/3+D42*100*D57*(D39-D59)^2+D45*100*D58*(D59-D38)^2)/1000^4</f>
        <v>2.9445341871300003E-3</v>
      </c>
      <c r="E60" s="64">
        <f t="shared" si="19"/>
        <v>2.9445341871300003E-3</v>
      </c>
      <c r="F60" s="64">
        <f t="shared" si="19"/>
        <v>2.9445341871300003E-3</v>
      </c>
      <c r="G60" s="64">
        <f t="shared" si="19"/>
        <v>2.9445341871300003E-3</v>
      </c>
      <c r="H60" s="64">
        <f t="shared" si="19"/>
        <v>2.9445341871300003E-3</v>
      </c>
      <c r="I60" s="65">
        <f t="shared" si="19"/>
        <v>2.9445341871300003E-3</v>
      </c>
    </row>
    <row r="61" spans="2:16" ht="20.100000000000001" customHeight="1">
      <c r="B61" s="63" t="s">
        <v>91</v>
      </c>
      <c r="C61" s="64">
        <f>$E$4/$B$32</f>
        <v>12333.333333333334</v>
      </c>
      <c r="D61" s="64">
        <f t="shared" ref="D61:I61" si="20">$E$4/$B$32</f>
        <v>12333.333333333334</v>
      </c>
      <c r="E61" s="64">
        <f t="shared" si="20"/>
        <v>12333.333333333334</v>
      </c>
      <c r="F61" s="64">
        <f t="shared" si="20"/>
        <v>12333.333333333334</v>
      </c>
      <c r="G61" s="64">
        <f t="shared" si="20"/>
        <v>12333.333333333334</v>
      </c>
      <c r="H61" s="64">
        <f t="shared" si="20"/>
        <v>12333.333333333334</v>
      </c>
      <c r="I61" s="65">
        <f t="shared" si="20"/>
        <v>12333.333333333334</v>
      </c>
    </row>
    <row r="62" spans="2:16" ht="20.100000000000001" customHeight="1">
      <c r="B62" s="63" t="s">
        <v>80</v>
      </c>
      <c r="C62" s="64">
        <f>C61*C60*1000</f>
        <v>36315.921641270004</v>
      </c>
      <c r="D62" s="64">
        <f t="shared" ref="D62:I62" si="21">D61*D60*1000</f>
        <v>36315.921641270004</v>
      </c>
      <c r="E62" s="64">
        <f t="shared" si="21"/>
        <v>36315.921641270004</v>
      </c>
      <c r="F62" s="64">
        <f t="shared" si="21"/>
        <v>36315.921641270004</v>
      </c>
      <c r="G62" s="64">
        <f t="shared" si="21"/>
        <v>36315.921641270004</v>
      </c>
      <c r="H62" s="64">
        <f t="shared" si="21"/>
        <v>36315.921641270004</v>
      </c>
      <c r="I62" s="65">
        <f t="shared" si="21"/>
        <v>36315.921641270004</v>
      </c>
    </row>
    <row r="63" spans="2:16" ht="20.100000000000001" customHeight="1">
      <c r="B63" s="66" t="s">
        <v>83</v>
      </c>
      <c r="C63" s="67">
        <f t="shared" ref="C63:I63" si="22">(C23+C24)/C62</f>
        <v>0</v>
      </c>
      <c r="D63" s="67">
        <f t="shared" si="22"/>
        <v>5.0886771324561478E-4</v>
      </c>
      <c r="E63" s="67">
        <f t="shared" si="22"/>
        <v>1.8358338983812303E-3</v>
      </c>
      <c r="F63" s="67">
        <f t="shared" si="22"/>
        <v>1.8358338983812303E-3</v>
      </c>
      <c r="G63" s="67">
        <f t="shared" si="22"/>
        <v>1.8358338983812303E-3</v>
      </c>
      <c r="H63" s="67">
        <f t="shared" si="22"/>
        <v>5.0886771324561478E-4</v>
      </c>
      <c r="I63" s="68">
        <f t="shared" si="22"/>
        <v>0</v>
      </c>
    </row>
    <row r="64" spans="2:16" ht="20.100000000000001" customHeight="1">
      <c r="B64" s="69" t="s">
        <v>89</v>
      </c>
      <c r="C64" s="70">
        <f t="shared" ref="C64:I65" si="23">$B$9*$B$32/$E$4</f>
        <v>16.216216216216218</v>
      </c>
      <c r="D64" s="70">
        <f t="shared" si="23"/>
        <v>16.216216216216218</v>
      </c>
      <c r="E64" s="70">
        <f t="shared" si="23"/>
        <v>16.216216216216218</v>
      </c>
      <c r="F64" s="70">
        <f t="shared" si="23"/>
        <v>16.216216216216218</v>
      </c>
      <c r="G64" s="70">
        <f t="shared" si="23"/>
        <v>16.216216216216218</v>
      </c>
      <c r="H64" s="70">
        <f t="shared" si="23"/>
        <v>16.216216216216218</v>
      </c>
      <c r="I64" s="71">
        <f t="shared" si="23"/>
        <v>16.216216216216218</v>
      </c>
    </row>
    <row r="65" spans="2:9" ht="20.100000000000001" customHeight="1">
      <c r="B65" s="55" t="s">
        <v>90</v>
      </c>
      <c r="C65" s="46">
        <f t="shared" si="23"/>
        <v>16.216216216216218</v>
      </c>
      <c r="D65" s="46">
        <f t="shared" si="23"/>
        <v>16.216216216216218</v>
      </c>
      <c r="E65" s="46">
        <f t="shared" si="23"/>
        <v>16.216216216216218</v>
      </c>
      <c r="F65" s="46">
        <f t="shared" si="23"/>
        <v>16.216216216216218</v>
      </c>
      <c r="G65" s="46">
        <f t="shared" si="23"/>
        <v>16.216216216216218</v>
      </c>
      <c r="H65" s="46">
        <f t="shared" si="23"/>
        <v>16.216216216216218</v>
      </c>
      <c r="I65" s="47">
        <f t="shared" si="23"/>
        <v>16.216216216216218</v>
      </c>
    </row>
    <row r="66" spans="2:9" ht="20.100000000000001" customHeight="1">
      <c r="B66" s="72" t="s">
        <v>78</v>
      </c>
      <c r="C66" s="46">
        <f>(C$39*(((C$43*C65+C$46*C64)^2+2*(C$43*C65+C$46*C64*C$38/C$39))^0.5-(C$43*C65+C$46*C64)))</f>
        <v>193.61049711336238</v>
      </c>
      <c r="D66" s="46">
        <f t="shared" ref="D66:I66" si="24">(D$39*(((D$43*D65+D$46*D64)^2+2*(D$43*D65+D$46*D64*D$38/D$39))^0.5-(D$43*D65+D$46*D64)))</f>
        <v>193.61049711336238</v>
      </c>
      <c r="E66" s="46">
        <f t="shared" si="24"/>
        <v>193.61049711336238</v>
      </c>
      <c r="F66" s="46">
        <f t="shared" si="24"/>
        <v>193.61049711336238</v>
      </c>
      <c r="G66" s="46">
        <f t="shared" si="24"/>
        <v>193.61049711336238</v>
      </c>
      <c r="H66" s="46">
        <f t="shared" si="24"/>
        <v>193.61049711336238</v>
      </c>
      <c r="I66" s="47">
        <f t="shared" si="24"/>
        <v>193.61049711336238</v>
      </c>
    </row>
    <row r="67" spans="2:9" ht="20.100000000000001" customHeight="1">
      <c r="B67" s="72" t="s">
        <v>79</v>
      </c>
      <c r="C67" s="73">
        <f t="shared" ref="C67:I67" si="25">($B$12*C66^3/3+C$42*100*C64*(C$39-C66)^2+C$45*100*C65*(C66-C$38)^2)/1000^4</f>
        <v>2.9445341871300003E-3</v>
      </c>
      <c r="D67" s="73">
        <f t="shared" si="25"/>
        <v>2.9445341871300003E-3</v>
      </c>
      <c r="E67" s="73">
        <f t="shared" si="25"/>
        <v>2.9445341871300003E-3</v>
      </c>
      <c r="F67" s="73">
        <f t="shared" si="25"/>
        <v>2.9445341871300003E-3</v>
      </c>
      <c r="G67" s="73">
        <f t="shared" si="25"/>
        <v>2.9445341871300003E-3</v>
      </c>
      <c r="H67" s="73">
        <f t="shared" si="25"/>
        <v>2.9445341871300003E-3</v>
      </c>
      <c r="I67" s="74">
        <f t="shared" si="25"/>
        <v>2.9445341871300003E-3</v>
      </c>
    </row>
    <row r="68" spans="2:9" ht="20.100000000000001" customHeight="1">
      <c r="B68" s="72" t="s">
        <v>91</v>
      </c>
      <c r="C68" s="73">
        <f>+$E$4/$B$32</f>
        <v>12333.333333333334</v>
      </c>
      <c r="D68" s="73">
        <f t="shared" ref="D68:I68" si="26">+$E$4/$B$32</f>
        <v>12333.333333333334</v>
      </c>
      <c r="E68" s="73">
        <f t="shared" si="26"/>
        <v>12333.333333333334</v>
      </c>
      <c r="F68" s="73">
        <f t="shared" si="26"/>
        <v>12333.333333333334</v>
      </c>
      <c r="G68" s="73">
        <f t="shared" si="26"/>
        <v>12333.333333333334</v>
      </c>
      <c r="H68" s="73">
        <f t="shared" si="26"/>
        <v>12333.333333333334</v>
      </c>
      <c r="I68" s="74">
        <f t="shared" si="26"/>
        <v>12333.333333333334</v>
      </c>
    </row>
    <row r="69" spans="2:9" ht="20.100000000000001" customHeight="1">
      <c r="B69" s="72" t="s">
        <v>81</v>
      </c>
      <c r="C69" s="73">
        <f>C68*C67*1000</f>
        <v>36315.921641270004</v>
      </c>
      <c r="D69" s="73">
        <f t="shared" ref="D69:I69" si="27">D68*D67*1000</f>
        <v>36315.921641270004</v>
      </c>
      <c r="E69" s="73">
        <f t="shared" si="27"/>
        <v>36315.921641270004</v>
      </c>
      <c r="F69" s="73">
        <f t="shared" si="27"/>
        <v>36315.921641270004</v>
      </c>
      <c r="G69" s="73">
        <f t="shared" si="27"/>
        <v>36315.921641270004</v>
      </c>
      <c r="H69" s="73">
        <f t="shared" si="27"/>
        <v>36315.921641270004</v>
      </c>
      <c r="I69" s="74">
        <f t="shared" si="27"/>
        <v>36315.921641270004</v>
      </c>
    </row>
    <row r="70" spans="2:9" ht="20.100000000000001" customHeight="1">
      <c r="B70" s="75" t="s">
        <v>84</v>
      </c>
      <c r="C70" s="76">
        <f t="shared" ref="C70:I70" si="28">(C23+C24*$B$28)/C69</f>
        <v>0</v>
      </c>
      <c r="D70" s="76">
        <f t="shared" si="28"/>
        <v>1.5266031397368442E-4</v>
      </c>
      <c r="E70" s="76">
        <f t="shared" si="28"/>
        <v>5.5075016951436915E-4</v>
      </c>
      <c r="F70" s="76">
        <f t="shared" si="28"/>
        <v>5.5075016951436915E-4</v>
      </c>
      <c r="G70" s="76">
        <f t="shared" si="28"/>
        <v>5.5075016951436915E-4</v>
      </c>
      <c r="H70" s="76">
        <f t="shared" si="28"/>
        <v>1.5266031397368442E-4</v>
      </c>
      <c r="I70" s="77">
        <f t="shared" si="28"/>
        <v>0</v>
      </c>
    </row>
    <row r="71" spans="2:9" ht="20.100000000000001" customHeight="1">
      <c r="B71" s="57" t="s">
        <v>89</v>
      </c>
      <c r="C71" s="58">
        <f t="shared" ref="C71:I72" si="29">$B$9*$B$33/$E$4</f>
        <v>51.891891891891888</v>
      </c>
      <c r="D71" s="58">
        <f t="shared" si="29"/>
        <v>51.891891891891888</v>
      </c>
      <c r="E71" s="58">
        <f t="shared" si="29"/>
        <v>51.891891891891888</v>
      </c>
      <c r="F71" s="58">
        <f t="shared" si="29"/>
        <v>51.891891891891888</v>
      </c>
      <c r="G71" s="58">
        <f t="shared" si="29"/>
        <v>51.891891891891888</v>
      </c>
      <c r="H71" s="58">
        <f t="shared" si="29"/>
        <v>51.891891891891888</v>
      </c>
      <c r="I71" s="59">
        <f t="shared" si="29"/>
        <v>51.891891891891888</v>
      </c>
    </row>
    <row r="72" spans="2:9" ht="20.100000000000001" customHeight="1">
      <c r="B72" s="60" t="s">
        <v>90</v>
      </c>
      <c r="C72" s="61">
        <f>$B$9*$B$33/$E$4</f>
        <v>51.891891891891888</v>
      </c>
      <c r="D72" s="61">
        <f t="shared" si="29"/>
        <v>51.891891891891888</v>
      </c>
      <c r="E72" s="61">
        <f t="shared" si="29"/>
        <v>51.891891891891888</v>
      </c>
      <c r="F72" s="61">
        <f t="shared" si="29"/>
        <v>51.891891891891888</v>
      </c>
      <c r="G72" s="61">
        <f t="shared" si="29"/>
        <v>51.891891891891888</v>
      </c>
      <c r="H72" s="61">
        <f t="shared" si="29"/>
        <v>51.891891891891888</v>
      </c>
      <c r="I72" s="62">
        <f t="shared" si="29"/>
        <v>51.891891891891888</v>
      </c>
    </row>
    <row r="73" spans="2:9" ht="20.100000000000001" customHeight="1">
      <c r="B73" s="63" t="s">
        <v>78</v>
      </c>
      <c r="C73" s="61">
        <f>(C$39*(((C$43*C72+C$46*C71)^2+2*(C$43*C72+C$46*C71*C$38/C$39))^0.5-(C$43*C72+C$46*C71)))</f>
        <v>274.00302870236976</v>
      </c>
      <c r="D73" s="61">
        <f t="shared" ref="D73:I73" si="30">(D$39*(((D$43*D72+D$46*D71)^2+2*(D$43*D72+D$46*D71*D$38/D$39))^0.5-(D$43*D72+D$46*D71)))</f>
        <v>274.00302870236976</v>
      </c>
      <c r="E73" s="61">
        <f t="shared" si="30"/>
        <v>274.00302870236976</v>
      </c>
      <c r="F73" s="61">
        <f t="shared" si="30"/>
        <v>274.00302870236976</v>
      </c>
      <c r="G73" s="61">
        <f t="shared" si="30"/>
        <v>274.00302870236976</v>
      </c>
      <c r="H73" s="61">
        <f t="shared" si="30"/>
        <v>274.00302870236976</v>
      </c>
      <c r="I73" s="62">
        <f t="shared" si="30"/>
        <v>274.00302870236976</v>
      </c>
    </row>
    <row r="74" spans="2:9" ht="20.100000000000001" customHeight="1">
      <c r="B74" s="63" t="s">
        <v>79</v>
      </c>
      <c r="C74" s="64">
        <f t="shared" ref="C74:I74" si="31">($B$12*C73^3/3+C$42*100*C71*(C$39-C73)^2+C$45*100*C72*(C73-C$38)^2)/1000^4</f>
        <v>7.2416029786689365E-3</v>
      </c>
      <c r="D74" s="64">
        <f t="shared" si="31"/>
        <v>7.2416029786689365E-3</v>
      </c>
      <c r="E74" s="64">
        <f t="shared" si="31"/>
        <v>7.2416029786689365E-3</v>
      </c>
      <c r="F74" s="64">
        <f t="shared" si="31"/>
        <v>7.2416029786689365E-3</v>
      </c>
      <c r="G74" s="64">
        <f t="shared" si="31"/>
        <v>7.2416029786689365E-3</v>
      </c>
      <c r="H74" s="64">
        <f t="shared" si="31"/>
        <v>7.2416029786689365E-3</v>
      </c>
      <c r="I74" s="65">
        <f t="shared" si="31"/>
        <v>7.2416029786689365E-3</v>
      </c>
    </row>
    <row r="75" spans="2:9" ht="20.100000000000001" customHeight="1">
      <c r="B75" s="60" t="s">
        <v>97</v>
      </c>
      <c r="C75" s="61">
        <f>VLOOKUP($B$31,DATA!$A$38:$K$40,MATCH('D20X40 (2)'!$C$3,DATA!$B$37:$K$37)+1,0)</f>
        <v>2.5</v>
      </c>
      <c r="D75" s="61">
        <f>VLOOKUP($B$31,DATA!$A$38:$K$40,MATCH('D20X40 (2)'!$C$3,DATA!$B$37:$K$37)+1,0)</f>
        <v>2.5</v>
      </c>
      <c r="E75" s="61">
        <f>VLOOKUP($B$31,DATA!$A$38:$K$40,MATCH('D20X40 (2)'!$C$3,DATA!$B$37:$K$37)+1,0)</f>
        <v>2.5</v>
      </c>
      <c r="F75" s="61">
        <f>VLOOKUP($B$31,DATA!$A$38:$K$40,MATCH('D20X40 (2)'!$C$3,DATA!$B$37:$K$37)+1,0)</f>
        <v>2.5</v>
      </c>
      <c r="G75" s="61">
        <f>VLOOKUP($B$31,DATA!$A$38:$K$40,MATCH('D20X40 (2)'!$C$3,DATA!$B$37:$K$37)+1,0)</f>
        <v>2.5</v>
      </c>
      <c r="H75" s="61">
        <f>VLOOKUP($B$31,DATA!$A$38:$K$40,MATCH('D20X40 (2)'!$C$3,DATA!$B$37:$K$37)+1,0)</f>
        <v>2.5</v>
      </c>
      <c r="I75" s="62">
        <f>VLOOKUP($B$31,DATA!$A$38:$K$40,MATCH('D20X40 (2)'!$C$3,DATA!$B$37:$K$37)+1,0)</f>
        <v>2.5</v>
      </c>
    </row>
    <row r="76" spans="2:9" ht="20.100000000000001" customHeight="1">
      <c r="B76" s="63" t="s">
        <v>91</v>
      </c>
      <c r="C76" s="64">
        <f>+$E$4/$B$33</f>
        <v>3854.166666666667</v>
      </c>
      <c r="D76" s="64">
        <f t="shared" ref="D76:I76" si="32">+$E$4/$B$33</f>
        <v>3854.166666666667</v>
      </c>
      <c r="E76" s="64">
        <f t="shared" si="32"/>
        <v>3854.166666666667</v>
      </c>
      <c r="F76" s="64">
        <f t="shared" si="32"/>
        <v>3854.166666666667</v>
      </c>
      <c r="G76" s="64">
        <f t="shared" si="32"/>
        <v>3854.166666666667</v>
      </c>
      <c r="H76" s="64">
        <f t="shared" si="32"/>
        <v>3854.166666666667</v>
      </c>
      <c r="I76" s="65">
        <f t="shared" si="32"/>
        <v>3854.166666666667</v>
      </c>
    </row>
    <row r="77" spans="2:9" ht="20.100000000000001" customHeight="1">
      <c r="B77" s="63" t="s">
        <v>82</v>
      </c>
      <c r="C77" s="64">
        <f>C76*C74*1000</f>
        <v>27910.34481361986</v>
      </c>
      <c r="D77" s="64">
        <f t="shared" ref="D77:I77" si="33">D76*D74*1000</f>
        <v>27910.34481361986</v>
      </c>
      <c r="E77" s="64">
        <f t="shared" si="33"/>
        <v>27910.34481361986</v>
      </c>
      <c r="F77" s="64">
        <f t="shared" si="33"/>
        <v>27910.34481361986</v>
      </c>
      <c r="G77" s="64">
        <f t="shared" si="33"/>
        <v>27910.34481361986</v>
      </c>
      <c r="H77" s="64">
        <f t="shared" si="33"/>
        <v>27910.34481361986</v>
      </c>
      <c r="I77" s="65">
        <f t="shared" si="33"/>
        <v>27910.34481361986</v>
      </c>
    </row>
    <row r="78" spans="2:9" ht="20.100000000000001" customHeight="1">
      <c r="B78" s="66" t="s">
        <v>85</v>
      </c>
      <c r="C78" s="67">
        <f t="shared" ref="C78:I78" si="34">(C23+$B$28*C24)/C77</f>
        <v>0</v>
      </c>
      <c r="D78" s="67">
        <f t="shared" si="34"/>
        <v>1.9863602678583191E-4</v>
      </c>
      <c r="E78" s="67">
        <f t="shared" si="34"/>
        <v>7.1661601221923246E-4</v>
      </c>
      <c r="F78" s="67">
        <f t="shared" si="34"/>
        <v>7.1661601221923246E-4</v>
      </c>
      <c r="G78" s="67">
        <f t="shared" si="34"/>
        <v>7.1661601221923246E-4</v>
      </c>
      <c r="H78" s="67">
        <f t="shared" si="34"/>
        <v>1.9863602678583191E-4</v>
      </c>
      <c r="I78" s="68">
        <f t="shared" si="34"/>
        <v>0</v>
      </c>
    </row>
    <row r="79" spans="2:9" ht="20.100000000000001" customHeight="1">
      <c r="B79" s="78" t="s">
        <v>91</v>
      </c>
      <c r="C79" s="79">
        <f>0.85*$B$6</f>
        <v>25500</v>
      </c>
      <c r="D79" s="79">
        <f t="shared" ref="D79:I79" si="35">0.85*$B$6</f>
        <v>25500</v>
      </c>
      <c r="E79" s="79">
        <f t="shared" si="35"/>
        <v>25500</v>
      </c>
      <c r="F79" s="79">
        <f t="shared" si="35"/>
        <v>25500</v>
      </c>
      <c r="G79" s="79">
        <f t="shared" si="35"/>
        <v>25500</v>
      </c>
      <c r="H79" s="79">
        <f t="shared" si="35"/>
        <v>25500</v>
      </c>
      <c r="I79" s="80">
        <f t="shared" si="35"/>
        <v>25500</v>
      </c>
    </row>
    <row r="80" spans="2:9" ht="20.100000000000001" customHeight="1">
      <c r="B80" s="72" t="s">
        <v>80</v>
      </c>
      <c r="C80" s="73">
        <f t="shared" ref="C80:I80" si="36">C79*C48*1000</f>
        <v>131868.91332821781</v>
      </c>
      <c r="D80" s="73">
        <f t="shared" si="36"/>
        <v>131868.91332821781</v>
      </c>
      <c r="E80" s="73">
        <f t="shared" si="36"/>
        <v>131868.91332821781</v>
      </c>
      <c r="F80" s="73">
        <f t="shared" si="36"/>
        <v>131868.91332821781</v>
      </c>
      <c r="G80" s="73">
        <f t="shared" si="36"/>
        <v>131868.91332821781</v>
      </c>
      <c r="H80" s="73">
        <f t="shared" si="36"/>
        <v>131868.91332821781</v>
      </c>
      <c r="I80" s="74">
        <f t="shared" si="36"/>
        <v>131868.91332821781</v>
      </c>
    </row>
    <row r="81" spans="1:9" ht="20.100000000000001" customHeight="1">
      <c r="B81" s="75" t="s">
        <v>83</v>
      </c>
      <c r="C81" s="76">
        <f t="shared" ref="C81:I81" si="37">(C24*(1-$B$28))/C80</f>
        <v>0</v>
      </c>
      <c r="D81" s="76">
        <f t="shared" si="37"/>
        <v>9.8097418667602735E-5</v>
      </c>
      <c r="E81" s="76">
        <f t="shared" si="37"/>
        <v>3.5390448606975508E-4</v>
      </c>
      <c r="F81" s="76">
        <f t="shared" si="37"/>
        <v>3.5390448606975508E-4</v>
      </c>
      <c r="G81" s="76">
        <f t="shared" si="37"/>
        <v>3.5390448606975508E-4</v>
      </c>
      <c r="H81" s="76">
        <f t="shared" si="37"/>
        <v>9.8097418667602735E-5</v>
      </c>
      <c r="I81" s="77">
        <f t="shared" si="37"/>
        <v>0</v>
      </c>
    </row>
    <row r="82" spans="1:9" ht="20.100000000000001" customHeight="1">
      <c r="B82" s="57" t="s">
        <v>97</v>
      </c>
      <c r="C82" s="58">
        <f>VLOOKUP($B$31,DATA!$A$38:$K$40,MATCH('D20X40 (2)'!$C$3,DATA!$B$37:$K$37)+1,0)</f>
        <v>2.5</v>
      </c>
      <c r="D82" s="58">
        <f>VLOOKUP($B$31,DATA!$A$38:$K$40,MATCH('D20X40 (2)'!$C$3,DATA!$B$37:$K$37)+1,0)</f>
        <v>2.5</v>
      </c>
      <c r="E82" s="58">
        <f>VLOOKUP($B$31,DATA!$A$38:$K$40,MATCH('D20X40 (2)'!$C$3,DATA!$B$37:$K$37)+1,0)</f>
        <v>2.5</v>
      </c>
      <c r="F82" s="58">
        <f>VLOOKUP($B$31,DATA!$A$38:$K$40,MATCH('D20X40 (2)'!$C$3,DATA!$B$37:$K$37)+1,0)</f>
        <v>2.5</v>
      </c>
      <c r="G82" s="58">
        <f>VLOOKUP($B$31,DATA!$A$38:$K$40,MATCH('D20X40 (2)'!$C$3,DATA!$B$37:$K$37)+1,0)</f>
        <v>2.5</v>
      </c>
      <c r="H82" s="58">
        <f>VLOOKUP($B$31,DATA!$A$38:$K$40,MATCH('D20X40 (2)'!$C$3,DATA!$B$37:$K$37)+1,0)</f>
        <v>2.5</v>
      </c>
      <c r="I82" s="59">
        <f>VLOOKUP($B$31,DATA!$A$38:$K$40,MATCH('D20X40 (2)'!$C$3,DATA!$B$37:$K$37)+1,0)</f>
        <v>2.5</v>
      </c>
    </row>
    <row r="83" spans="1:9" ht="20.100000000000001" customHeight="1">
      <c r="B83" s="63" t="s">
        <v>91</v>
      </c>
      <c r="C83" s="64">
        <f>+$B$6/(1+C82)</f>
        <v>8571.4285714285706</v>
      </c>
      <c r="D83" s="64">
        <f t="shared" ref="D83:I83" si="38">+$B$6/(1+D82)</f>
        <v>8571.4285714285706</v>
      </c>
      <c r="E83" s="64">
        <f t="shared" si="38"/>
        <v>8571.4285714285706</v>
      </c>
      <c r="F83" s="64">
        <f t="shared" si="38"/>
        <v>8571.4285714285706</v>
      </c>
      <c r="G83" s="64">
        <f t="shared" si="38"/>
        <v>8571.4285714285706</v>
      </c>
      <c r="H83" s="64">
        <f t="shared" si="38"/>
        <v>8571.4285714285706</v>
      </c>
      <c r="I83" s="65">
        <f t="shared" si="38"/>
        <v>8571.4285714285706</v>
      </c>
    </row>
    <row r="84" spans="1:9" ht="20.100000000000001" customHeight="1">
      <c r="B84" s="63" t="s">
        <v>80</v>
      </c>
      <c r="C84" s="64">
        <f t="shared" ref="C84:I84" si="39">C83*C48*1000</f>
        <v>44325.685152342121</v>
      </c>
      <c r="D84" s="64">
        <f t="shared" si="39"/>
        <v>44325.685152342121</v>
      </c>
      <c r="E84" s="64">
        <f t="shared" si="39"/>
        <v>44325.685152342121</v>
      </c>
      <c r="F84" s="64">
        <f t="shared" si="39"/>
        <v>44325.685152342121</v>
      </c>
      <c r="G84" s="64">
        <f t="shared" si="39"/>
        <v>44325.685152342121</v>
      </c>
      <c r="H84" s="64">
        <f t="shared" si="39"/>
        <v>44325.685152342121</v>
      </c>
      <c r="I84" s="65">
        <f t="shared" si="39"/>
        <v>44325.685152342121</v>
      </c>
    </row>
    <row r="85" spans="1:9" ht="20.100000000000001" customHeight="1">
      <c r="B85" s="66" t="s">
        <v>104</v>
      </c>
      <c r="C85" s="67">
        <f t="shared" ref="C85:I85" si="40">(C23+C24*$B$28)/C84</f>
        <v>0</v>
      </c>
      <c r="D85" s="67">
        <f t="shared" si="40"/>
        <v>1.2507420880119346E-4</v>
      </c>
      <c r="E85" s="67">
        <f t="shared" si="40"/>
        <v>4.5122821973893774E-4</v>
      </c>
      <c r="F85" s="67">
        <f t="shared" si="40"/>
        <v>4.5122821973893774E-4</v>
      </c>
      <c r="G85" s="67">
        <f t="shared" si="40"/>
        <v>4.5122821973893774E-4</v>
      </c>
      <c r="H85" s="67">
        <f t="shared" si="40"/>
        <v>1.2507420880119346E-4</v>
      </c>
      <c r="I85" s="68">
        <f t="shared" si="40"/>
        <v>0</v>
      </c>
    </row>
    <row r="86" spans="1:9" ht="20.100000000000001" customHeight="1">
      <c r="B86" s="25" t="s">
        <v>86</v>
      </c>
      <c r="C86" s="26">
        <f t="shared" ref="C86:I86" si="41">IF(ABS(C54)&lt;=ABS(SUM(C23:C24)),C63-C70+C78,C78+C85)</f>
        <v>0</v>
      </c>
      <c r="D86" s="26">
        <f t="shared" si="41"/>
        <v>3.2371023558702537E-4</v>
      </c>
      <c r="E86" s="26">
        <f t="shared" si="41"/>
        <v>2.0016997410860935E-3</v>
      </c>
      <c r="F86" s="26">
        <f t="shared" si="41"/>
        <v>2.0016997410860935E-3</v>
      </c>
      <c r="G86" s="26">
        <f t="shared" si="41"/>
        <v>2.0016997410860935E-3</v>
      </c>
      <c r="H86" s="26">
        <f t="shared" si="41"/>
        <v>3.2371023558702537E-4</v>
      </c>
      <c r="I86" s="27">
        <f t="shared" si="41"/>
        <v>0</v>
      </c>
    </row>
    <row r="87" spans="1:9" ht="20.100000000000001" customHeight="1">
      <c r="B87" s="20"/>
      <c r="C87" s="20"/>
      <c r="D87" s="20"/>
      <c r="E87" s="20"/>
      <c r="F87" s="20"/>
      <c r="G87" s="20"/>
      <c r="H87" s="20"/>
      <c r="I87" s="20"/>
    </row>
    <row r="88" spans="1:9" ht="20.100000000000001" customHeight="1">
      <c r="A88" s="3" t="s">
        <v>107</v>
      </c>
    </row>
    <row r="89" spans="1:9" ht="20.100000000000001" customHeight="1">
      <c r="A89" s="1" t="s">
        <v>52</v>
      </c>
      <c r="C89" s="7">
        <v>6.5</v>
      </c>
      <c r="D89" s="1" t="s">
        <v>53</v>
      </c>
    </row>
    <row r="90" spans="1:9" ht="20.100000000000001" customHeight="1">
      <c r="A90" s="1" t="s">
        <v>93</v>
      </c>
      <c r="E90" s="1" t="s">
        <v>94</v>
      </c>
      <c r="F90" s="6">
        <f>(C89)^2*1000*(C86+I86+6*(D86+H86+2*(E86+G86))+16*F86)/432</f>
        <v>8.2106334534215737</v>
      </c>
      <c r="G90" s="1" t="s">
        <v>15</v>
      </c>
      <c r="H90" s="8" t="s">
        <v>92</v>
      </c>
    </row>
    <row r="91" spans="1:9" ht="20.100000000000001" customHeight="1">
      <c r="A91" s="1" t="s">
        <v>65</v>
      </c>
      <c r="D91" s="13">
        <f>Tinhfu(C89)</f>
        <v>201.38888888888889</v>
      </c>
      <c r="E91" s="2" t="s">
        <v>17</v>
      </c>
      <c r="F91" s="6">
        <f>C89/D91*1000</f>
        <v>32.275862068965516</v>
      </c>
      <c r="G91" s="1" t="s">
        <v>15</v>
      </c>
      <c r="H91" s="8" t="s">
        <v>64</v>
      </c>
    </row>
    <row r="92" spans="1:9" ht="20.100000000000001" customHeight="1">
      <c r="A92" s="14" t="str">
        <f>IF(F90&lt;=F91,"Đảm bảo điều kiện võng","Không đảm bảo điều kiện võng")</f>
        <v>Đảm bảo điều kiện võng</v>
      </c>
    </row>
  </sheetData>
  <mergeCells count="1">
    <mergeCell ref="A1:J1"/>
  </mergeCells>
  <pageMargins left="0.7" right="0.7" top="0.95" bottom="0.9" header="0.3" footer="0.3"/>
  <pageSetup paperSize="9" fitToHeight="0" orientation="portrait" r:id="rId1"/>
  <rowBreaks count="1" manualBreakCount="1">
    <brk id="34" max="9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DATA!$B$3:$B$12</xm:f>
          </x14:formula1>
          <xm:sqref>C3</xm:sqref>
        </x14:dataValidation>
        <x14:dataValidation type="list" allowBlank="1" showInputMessage="1" showErrorMessage="1">
          <x14:formula1>
            <xm:f>DATA!$B$16:$B$23</xm:f>
          </x14:formula1>
          <xm:sqref>C7</xm:sqref>
        </x14:dataValidation>
        <x14:dataValidation type="list" allowBlank="1" showInputMessage="1" showErrorMessage="1">
          <x14:formula1>
            <xm:f>DATA!$A$33:$A$35</xm:f>
          </x14:formula1>
          <xm:sqref>B31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92"/>
  <sheetViews>
    <sheetView view="pageBreakPreview" zoomScaleNormal="100" zoomScaleSheetLayoutView="100" workbookViewId="0">
      <selection activeCell="P36" sqref="P36"/>
    </sheetView>
  </sheetViews>
  <sheetFormatPr defaultColWidth="8.7109375" defaultRowHeight="20.100000000000001" customHeight="1"/>
  <cols>
    <col min="1" max="1" width="8.7109375" style="1"/>
    <col min="2" max="2" width="9" style="1" customWidth="1"/>
    <col min="3" max="3" width="8.7109375" style="1" customWidth="1"/>
    <col min="4" max="5" width="8.7109375" style="1"/>
    <col min="6" max="7" width="8.7109375" style="1" customWidth="1"/>
    <col min="8" max="10" width="8.7109375" style="1"/>
    <col min="11" max="11" width="2.7109375" style="81" customWidth="1"/>
    <col min="12" max="12" width="8.7109375" style="1"/>
    <col min="13" max="13" width="14.140625" style="1" bestFit="1" customWidth="1"/>
    <col min="14" max="14" width="8.7109375" style="1"/>
    <col min="15" max="15" width="9.42578125" style="1" bestFit="1" customWidth="1"/>
    <col min="16" max="17" width="8.7109375" style="1"/>
    <col min="18" max="18" width="9.42578125" style="1" bestFit="1" customWidth="1"/>
    <col min="19" max="16384" width="8.7109375" style="1"/>
  </cols>
  <sheetData>
    <row r="1" spans="1:10" ht="48" customHeight="1">
      <c r="A1" s="92" t="s">
        <v>120</v>
      </c>
      <c r="B1" s="93"/>
      <c r="C1" s="93"/>
      <c r="D1" s="93"/>
      <c r="E1" s="93"/>
      <c r="F1" s="93"/>
      <c r="G1" s="93"/>
      <c r="H1" s="93"/>
      <c r="I1" s="93"/>
      <c r="J1" s="94"/>
    </row>
    <row r="2" spans="1:10" ht="20.100000000000001" customHeight="1">
      <c r="A2" s="3" t="s">
        <v>3</v>
      </c>
    </row>
    <row r="3" spans="1:10" ht="20.100000000000001" customHeight="1">
      <c r="A3" s="3" t="s">
        <v>0</v>
      </c>
      <c r="C3" s="4" t="s">
        <v>1</v>
      </c>
    </row>
    <row r="4" spans="1:10" ht="20.100000000000001" customHeight="1">
      <c r="A4" s="1" t="s">
        <v>2</v>
      </c>
      <c r="B4" s="1">
        <f>VLOOKUP(C3,DATA!B3:G12,4,0)</f>
        <v>14.5</v>
      </c>
      <c r="C4" s="1" t="s">
        <v>4</v>
      </c>
      <c r="D4" s="1" t="s">
        <v>57</v>
      </c>
      <c r="E4" s="1">
        <f>VLOOKUP(C3,DATA!B3:G12,2,0)</f>
        <v>18.5</v>
      </c>
      <c r="F4" s="1" t="s">
        <v>4</v>
      </c>
    </row>
    <row r="5" spans="1:10" ht="20.100000000000001" customHeight="1">
      <c r="A5" s="1" t="s">
        <v>5</v>
      </c>
      <c r="B5" s="1">
        <f>VLOOKUP(C3,DATA!B3:G12,5,0)</f>
        <v>1.05</v>
      </c>
      <c r="C5" s="1" t="s">
        <v>4</v>
      </c>
      <c r="D5" s="1" t="s">
        <v>6</v>
      </c>
      <c r="E5" s="1">
        <f>VLOOKUP(C3,DATA!B3:G12,3,0)</f>
        <v>1.55</v>
      </c>
      <c r="F5" s="1" t="s">
        <v>4</v>
      </c>
    </row>
    <row r="6" spans="1:10" ht="20.100000000000001" customHeight="1">
      <c r="A6" s="1" t="s">
        <v>7</v>
      </c>
      <c r="B6" s="1">
        <f>VLOOKUP(C3,DATA!B3:G12,6,0)</f>
        <v>30000</v>
      </c>
      <c r="C6" s="1" t="s">
        <v>4</v>
      </c>
    </row>
    <row r="7" spans="1:10" ht="20.100000000000001" customHeight="1">
      <c r="A7" s="3" t="s">
        <v>8</v>
      </c>
      <c r="C7" s="4" t="s">
        <v>9</v>
      </c>
    </row>
    <row r="8" spans="1:10" ht="20.100000000000001" customHeight="1">
      <c r="A8" s="1" t="s">
        <v>10</v>
      </c>
      <c r="B8" s="1">
        <f>VLOOKUP(C7,DATA!B16:F23,2,0)</f>
        <v>350</v>
      </c>
      <c r="C8" s="1" t="s">
        <v>4</v>
      </c>
    </row>
    <row r="9" spans="1:10" ht="20.100000000000001" customHeight="1">
      <c r="A9" s="1" t="s">
        <v>11</v>
      </c>
      <c r="B9" s="1">
        <f>VLOOKUP(C7,DATA!B16:F23,5,0)</f>
        <v>200000</v>
      </c>
      <c r="C9" s="1" t="s">
        <v>4</v>
      </c>
    </row>
    <row r="10" spans="1:10" ht="20.100000000000001" customHeight="1">
      <c r="A10" s="5" t="s">
        <v>12</v>
      </c>
      <c r="C10" s="6">
        <f>B9/B6</f>
        <v>6.666666666666667</v>
      </c>
    </row>
    <row r="11" spans="1:10" ht="20.100000000000001" customHeight="1">
      <c r="A11" s="3" t="s">
        <v>13</v>
      </c>
    </row>
    <row r="12" spans="1:10" ht="20.100000000000001" customHeight="1">
      <c r="A12" s="1" t="s">
        <v>14</v>
      </c>
      <c r="B12" s="7">
        <v>300</v>
      </c>
      <c r="C12" s="1" t="s">
        <v>15</v>
      </c>
      <c r="E12" s="7"/>
      <c r="H12" s="7"/>
    </row>
    <row r="13" spans="1:10" ht="20.100000000000001" customHeight="1">
      <c r="A13" s="1" t="s">
        <v>16</v>
      </c>
      <c r="B13" s="7">
        <v>600</v>
      </c>
      <c r="C13" s="1" t="s">
        <v>15</v>
      </c>
      <c r="E13" s="7"/>
      <c r="H13" s="7"/>
    </row>
    <row r="14" spans="1:10" ht="20.100000000000001" customHeight="1">
      <c r="H14" s="6"/>
    </row>
    <row r="15" spans="1:10" ht="20.100000000000001" customHeight="1">
      <c r="A15" s="3" t="s">
        <v>18</v>
      </c>
      <c r="E15" s="8" t="s">
        <v>119</v>
      </c>
    </row>
    <row r="16" spans="1:10" ht="20.100000000000001" customHeight="1">
      <c r="A16" s="3"/>
      <c r="E16" s="8"/>
    </row>
    <row r="17" spans="1:11" ht="20.100000000000001" customHeight="1">
      <c r="A17" s="3"/>
      <c r="E17" s="8"/>
    </row>
    <row r="18" spans="1:11" ht="20.100000000000001" customHeight="1">
      <c r="A18" s="3"/>
      <c r="E18" s="8"/>
    </row>
    <row r="19" spans="1:11" ht="20.100000000000001" customHeight="1">
      <c r="A19" s="3"/>
      <c r="E19" s="8"/>
    </row>
    <row r="20" spans="1:11" ht="20.100000000000001" customHeight="1">
      <c r="A20" s="3"/>
      <c r="E20" s="8"/>
    </row>
    <row r="21" spans="1:11" ht="20.100000000000001" customHeight="1">
      <c r="A21" s="3"/>
      <c r="E21" s="8"/>
    </row>
    <row r="22" spans="1:11" ht="20.100000000000001" customHeight="1">
      <c r="B22" s="16" t="s">
        <v>77</v>
      </c>
      <c r="C22" s="17" t="s">
        <v>66</v>
      </c>
      <c r="D22" s="18" t="s">
        <v>67</v>
      </c>
      <c r="E22" s="18" t="s">
        <v>68</v>
      </c>
      <c r="F22" s="18" t="s">
        <v>69</v>
      </c>
      <c r="G22" s="18" t="s">
        <v>70</v>
      </c>
      <c r="H22" s="18" t="s">
        <v>71</v>
      </c>
      <c r="I22" s="16" t="s">
        <v>72</v>
      </c>
    </row>
    <row r="23" spans="1:11" ht="20.100000000000001" customHeight="1">
      <c r="B23" s="15" t="s">
        <v>101</v>
      </c>
      <c r="C23" s="84">
        <v>-91.1</v>
      </c>
      <c r="D23" s="85">
        <v>-12.7</v>
      </c>
      <c r="E23" s="86">
        <v>38</v>
      </c>
      <c r="F23" s="85">
        <v>65.2</v>
      </c>
      <c r="G23" s="86">
        <v>38</v>
      </c>
      <c r="H23" s="85">
        <v>-12.7</v>
      </c>
      <c r="I23" s="87">
        <v>-91.5</v>
      </c>
    </row>
    <row r="24" spans="1:11" ht="20.100000000000001" customHeight="1">
      <c r="B24" s="15" t="s">
        <v>102</v>
      </c>
      <c r="C24" s="88">
        <v>-27</v>
      </c>
      <c r="D24" s="89">
        <v>-1.7</v>
      </c>
      <c r="E24" s="90">
        <v>10.6</v>
      </c>
      <c r="F24" s="89">
        <v>19.3</v>
      </c>
      <c r="G24" s="90">
        <v>10.6</v>
      </c>
      <c r="H24" s="89">
        <v>-1.7</v>
      </c>
      <c r="I24" s="91">
        <v>-27</v>
      </c>
    </row>
    <row r="25" spans="1:11" s="21" customFormat="1" ht="20.100000000000001" customHeight="1">
      <c r="B25" s="22"/>
      <c r="C25" s="23"/>
      <c r="D25" s="23"/>
      <c r="E25" s="23"/>
      <c r="F25" s="23"/>
      <c r="G25" s="23"/>
      <c r="H25" s="23"/>
      <c r="I25" s="23"/>
      <c r="K25" s="81"/>
    </row>
    <row r="26" spans="1:11" s="21" customFormat="1" ht="20.100000000000001" customHeight="1">
      <c r="A26" s="21" t="s">
        <v>99</v>
      </c>
      <c r="B26" s="22"/>
      <c r="C26" s="23"/>
      <c r="D26" s="23"/>
      <c r="E26" s="23"/>
      <c r="F26" s="23"/>
      <c r="G26" s="23"/>
      <c r="H26" s="23"/>
      <c r="I26" s="23"/>
      <c r="K26" s="81"/>
    </row>
    <row r="27" spans="1:11" s="21" customFormat="1" ht="20.100000000000001" customHeight="1">
      <c r="A27" s="21" t="s">
        <v>118</v>
      </c>
      <c r="B27" s="22"/>
      <c r="C27" s="23"/>
      <c r="D27" s="23"/>
      <c r="E27" s="23"/>
      <c r="F27" s="23"/>
      <c r="G27" s="23"/>
      <c r="H27" s="23"/>
      <c r="I27" s="23"/>
      <c r="K27" s="81"/>
    </row>
    <row r="28" spans="1:11" s="21" customFormat="1" ht="20.100000000000001" customHeight="1">
      <c r="A28" s="21" t="s">
        <v>100</v>
      </c>
      <c r="B28" s="24">
        <v>0.3</v>
      </c>
      <c r="C28" s="23"/>
      <c r="D28" s="23"/>
      <c r="E28" s="23"/>
      <c r="F28" s="23"/>
      <c r="G28" s="23"/>
      <c r="H28" s="23"/>
      <c r="I28" s="23"/>
      <c r="K28" s="81"/>
    </row>
    <row r="29" spans="1:11" s="21" customFormat="1" ht="20.100000000000001" customHeight="1">
      <c r="B29" s="24"/>
      <c r="C29" s="23"/>
      <c r="D29" s="23"/>
      <c r="E29" s="23"/>
      <c r="F29" s="23"/>
      <c r="G29" s="23"/>
      <c r="H29" s="23"/>
      <c r="I29" s="23"/>
      <c r="K29" s="81"/>
    </row>
    <row r="30" spans="1:11" ht="20.100000000000001" customHeight="1">
      <c r="A30" s="3" t="s">
        <v>48</v>
      </c>
      <c r="B30" s="7"/>
      <c r="D30" s="8"/>
    </row>
    <row r="31" spans="1:11" ht="20.100000000000001" customHeight="1">
      <c r="A31" s="1" t="s">
        <v>49</v>
      </c>
      <c r="B31" s="7" t="s">
        <v>59</v>
      </c>
      <c r="D31" s="8"/>
    </row>
    <row r="32" spans="1:11" ht="20.100000000000001" customHeight="1">
      <c r="A32" s="5" t="s">
        <v>50</v>
      </c>
      <c r="B32" s="12">
        <v>1.5E-3</v>
      </c>
      <c r="C32" s="1" t="s">
        <v>51</v>
      </c>
      <c r="D32" s="8"/>
    </row>
    <row r="33" spans="1:9" ht="20.100000000000001" customHeight="1">
      <c r="A33" s="5" t="s">
        <v>50</v>
      </c>
      <c r="B33" s="12">
        <f>VLOOKUP(B31,DATA!A33:C35,2,0)</f>
        <v>2.3999999999999998E-3</v>
      </c>
      <c r="C33" s="1" t="s">
        <v>103</v>
      </c>
    </row>
    <row r="34" spans="1:9" ht="20.100000000000001" customHeight="1">
      <c r="A34" s="5"/>
      <c r="B34" s="12"/>
    </row>
    <row r="35" spans="1:9" ht="20.100000000000001" customHeight="1">
      <c r="A35" s="3" t="s">
        <v>106</v>
      </c>
    </row>
    <row r="36" spans="1:9" ht="20.100000000000001" customHeight="1">
      <c r="B36" s="16" t="s">
        <v>77</v>
      </c>
      <c r="C36" s="17" t="s">
        <v>66</v>
      </c>
      <c r="D36" s="18" t="s">
        <v>67</v>
      </c>
      <c r="E36" s="18" t="s">
        <v>68</v>
      </c>
      <c r="F36" s="18" t="s">
        <v>69</v>
      </c>
      <c r="G36" s="18" t="s">
        <v>70</v>
      </c>
      <c r="H36" s="18" t="s">
        <v>71</v>
      </c>
      <c r="I36" s="16" t="s">
        <v>72</v>
      </c>
    </row>
    <row r="37" spans="1:9" ht="20.100000000000001" customHeight="1">
      <c r="B37" s="53" t="s">
        <v>108</v>
      </c>
      <c r="C37" s="31">
        <v>50</v>
      </c>
      <c r="D37" s="31">
        <f>C37</f>
        <v>50</v>
      </c>
      <c r="E37" s="31">
        <f t="shared" ref="E37:I38" si="0">D37</f>
        <v>50</v>
      </c>
      <c r="F37" s="31">
        <v>50</v>
      </c>
      <c r="G37" s="31">
        <f t="shared" si="0"/>
        <v>50</v>
      </c>
      <c r="H37" s="31">
        <v>50</v>
      </c>
      <c r="I37" s="32">
        <f t="shared" si="0"/>
        <v>50</v>
      </c>
    </row>
    <row r="38" spans="1:9" ht="20.100000000000001" customHeight="1">
      <c r="B38" s="53" t="s">
        <v>109</v>
      </c>
      <c r="C38" s="33">
        <v>50</v>
      </c>
      <c r="D38" s="33">
        <f>C38</f>
        <v>50</v>
      </c>
      <c r="E38" s="33">
        <f t="shared" si="0"/>
        <v>50</v>
      </c>
      <c r="F38" s="33">
        <f t="shared" si="0"/>
        <v>50</v>
      </c>
      <c r="G38" s="33">
        <f t="shared" si="0"/>
        <v>50</v>
      </c>
      <c r="H38" s="33">
        <f t="shared" si="0"/>
        <v>50</v>
      </c>
      <c r="I38" s="34">
        <f t="shared" si="0"/>
        <v>50</v>
      </c>
    </row>
    <row r="39" spans="1:9" ht="20.100000000000001" customHeight="1">
      <c r="B39" s="53" t="s">
        <v>111</v>
      </c>
      <c r="C39" s="36">
        <f>$B$13-C37</f>
        <v>550</v>
      </c>
      <c r="D39" s="36">
        <f t="shared" ref="D39:I40" si="1">$B$13-D37</f>
        <v>550</v>
      </c>
      <c r="E39" s="36">
        <f t="shared" si="1"/>
        <v>550</v>
      </c>
      <c r="F39" s="36">
        <f t="shared" si="1"/>
        <v>550</v>
      </c>
      <c r="G39" s="36">
        <f t="shared" si="1"/>
        <v>550</v>
      </c>
      <c r="H39" s="36">
        <f t="shared" si="1"/>
        <v>550</v>
      </c>
      <c r="I39" s="37">
        <f t="shared" si="1"/>
        <v>550</v>
      </c>
    </row>
    <row r="40" spans="1:9" ht="20.100000000000001" customHeight="1">
      <c r="B40" s="53" t="s">
        <v>110</v>
      </c>
      <c r="C40" s="36">
        <f>$B$13-C38</f>
        <v>550</v>
      </c>
      <c r="D40" s="36">
        <f t="shared" si="1"/>
        <v>550</v>
      </c>
      <c r="E40" s="36">
        <f t="shared" si="1"/>
        <v>550</v>
      </c>
      <c r="F40" s="36">
        <f t="shared" si="1"/>
        <v>550</v>
      </c>
      <c r="G40" s="36">
        <f t="shared" si="1"/>
        <v>550</v>
      </c>
      <c r="H40" s="36">
        <f t="shared" si="1"/>
        <v>550</v>
      </c>
      <c r="I40" s="37">
        <f t="shared" si="1"/>
        <v>550</v>
      </c>
    </row>
    <row r="41" spans="1:9" ht="20.100000000000001" customHeight="1">
      <c r="B41" s="35" t="s">
        <v>75</v>
      </c>
      <c r="C41" s="33" t="s">
        <v>123</v>
      </c>
      <c r="D41" s="33" t="s">
        <v>123</v>
      </c>
      <c r="E41" s="33" t="s">
        <v>121</v>
      </c>
      <c r="F41" s="33" t="s">
        <v>121</v>
      </c>
      <c r="G41" s="33" t="s">
        <v>121</v>
      </c>
      <c r="H41" s="33" t="s">
        <v>123</v>
      </c>
      <c r="I41" s="33" t="s">
        <v>123</v>
      </c>
    </row>
    <row r="42" spans="1:9" ht="20.100000000000001" customHeight="1">
      <c r="B42" s="35" t="s">
        <v>87</v>
      </c>
      <c r="C42" s="38">
        <f>(RIGHT(C41,LEN(C41)-FIND("D",C41))/20)^2*PI()*LEFT(C41,FIND("D",C41)-1)</f>
        <v>12.723450247038663</v>
      </c>
      <c r="D42" s="38">
        <f t="shared" ref="D42:I42" si="2">(RIGHT(D41,LEN(D41)-FIND("D",D41))/20)^2*PI()*LEFT(D41,FIND("D",D41)-1)</f>
        <v>12.723450247038663</v>
      </c>
      <c r="E42" s="38">
        <f t="shared" si="2"/>
        <v>7.6340701482231985</v>
      </c>
      <c r="F42" s="38">
        <f t="shared" si="2"/>
        <v>7.6340701482231985</v>
      </c>
      <c r="G42" s="38">
        <f t="shared" si="2"/>
        <v>7.6340701482231985</v>
      </c>
      <c r="H42" s="38">
        <f t="shared" si="2"/>
        <v>12.723450247038663</v>
      </c>
      <c r="I42" s="39">
        <f t="shared" si="2"/>
        <v>12.723450247038663</v>
      </c>
    </row>
    <row r="43" spans="1:9" ht="20.100000000000001" customHeight="1">
      <c r="B43" s="54" t="s">
        <v>74</v>
      </c>
      <c r="C43" s="40">
        <f>C42/(C39*$B$12/100)</f>
        <v>7.7111819679022203E-3</v>
      </c>
      <c r="D43" s="40">
        <f t="shared" ref="D43:I43" si="3">D42/(D39*$B$12/100)</f>
        <v>7.7111819679022203E-3</v>
      </c>
      <c r="E43" s="40">
        <f t="shared" si="3"/>
        <v>4.6267091807413322E-3</v>
      </c>
      <c r="F43" s="40">
        <f t="shared" si="3"/>
        <v>4.6267091807413322E-3</v>
      </c>
      <c r="G43" s="40">
        <f t="shared" si="3"/>
        <v>4.6267091807413322E-3</v>
      </c>
      <c r="H43" s="40">
        <f t="shared" si="3"/>
        <v>7.7111819679022203E-3</v>
      </c>
      <c r="I43" s="41">
        <f t="shared" si="3"/>
        <v>7.7111819679022203E-3</v>
      </c>
    </row>
    <row r="44" spans="1:9" ht="20.100000000000001" customHeight="1">
      <c r="B44" s="35" t="s">
        <v>76</v>
      </c>
      <c r="C44" s="33" t="s">
        <v>122</v>
      </c>
      <c r="D44" s="33" t="s">
        <v>122</v>
      </c>
      <c r="E44" s="33" t="s">
        <v>121</v>
      </c>
      <c r="F44" s="33" t="s">
        <v>121</v>
      </c>
      <c r="G44" s="33" t="s">
        <v>121</v>
      </c>
      <c r="H44" s="33" t="s">
        <v>122</v>
      </c>
      <c r="I44" s="33" t="s">
        <v>122</v>
      </c>
    </row>
    <row r="45" spans="1:9" ht="20.100000000000001" customHeight="1">
      <c r="B45" s="35" t="s">
        <v>88</v>
      </c>
      <c r="C45" s="38">
        <f>(RIGHT(C44,LEN(C44)-FIND("D",C44))/20)^2*PI()*LEFT(C44,FIND("D",C44)-1)</f>
        <v>5.0893800988154654</v>
      </c>
      <c r="D45" s="38">
        <f t="shared" ref="D45:I45" si="4">(RIGHT(D44,LEN(D44)-FIND("D",D44))/20)^2*PI()*LEFT(D44,FIND("D",D44)-1)</f>
        <v>5.0893800988154654</v>
      </c>
      <c r="E45" s="38">
        <f t="shared" si="4"/>
        <v>7.6340701482231985</v>
      </c>
      <c r="F45" s="38">
        <f t="shared" si="4"/>
        <v>7.6340701482231985</v>
      </c>
      <c r="G45" s="38">
        <f t="shared" si="4"/>
        <v>7.6340701482231985</v>
      </c>
      <c r="H45" s="38">
        <f t="shared" si="4"/>
        <v>5.0893800988154654</v>
      </c>
      <c r="I45" s="39">
        <f t="shared" si="4"/>
        <v>5.0893800988154654</v>
      </c>
    </row>
    <row r="46" spans="1:9" ht="20.100000000000001" customHeight="1">
      <c r="B46" s="54" t="s">
        <v>73</v>
      </c>
      <c r="C46" s="40">
        <f>C45/(C40*$B$12/100)</f>
        <v>3.0844727871608881E-3</v>
      </c>
      <c r="D46" s="40">
        <f t="shared" ref="D46:I46" si="5">D45/(D40*$B$12/100)</f>
        <v>3.0844727871608881E-3</v>
      </c>
      <c r="E46" s="40">
        <f t="shared" si="5"/>
        <v>4.6267091807413322E-3</v>
      </c>
      <c r="F46" s="40">
        <f t="shared" si="5"/>
        <v>4.6267091807413322E-3</v>
      </c>
      <c r="G46" s="40">
        <f t="shared" si="5"/>
        <v>4.6267091807413322E-3</v>
      </c>
      <c r="H46" s="40">
        <f t="shared" si="5"/>
        <v>3.0844727871608881E-3</v>
      </c>
      <c r="I46" s="41">
        <f t="shared" si="5"/>
        <v>3.0844727871608881E-3</v>
      </c>
    </row>
    <row r="47" spans="1:9" ht="20.100000000000001" customHeight="1">
      <c r="B47" s="54" t="s">
        <v>112</v>
      </c>
      <c r="C47" s="82">
        <f>($B$12*$B$13^2/2+$C$10*C42*C38*100+$C$10*C45*C39*100)/($B$12*$B$13+$C$10*C42*100+$C$10*C45*100)</f>
        <v>293.36889347579671</v>
      </c>
      <c r="D47" s="82">
        <f t="shared" ref="D47:I47" si="6">($B$12*$B$13^2/2+$C$10*D42*D38*100+$C$10*D45*D39*100)/($B$12*$B$13+$C$10*D42*100+$C$10*D45*100)</f>
        <v>293.36889347579671</v>
      </c>
      <c r="E47" s="82">
        <f t="shared" si="6"/>
        <v>300</v>
      </c>
      <c r="F47" s="82">
        <f t="shared" si="6"/>
        <v>300</v>
      </c>
      <c r="G47" s="82">
        <f t="shared" si="6"/>
        <v>300</v>
      </c>
      <c r="H47" s="82">
        <f t="shared" si="6"/>
        <v>293.36889347579671</v>
      </c>
      <c r="I47" s="83">
        <f t="shared" si="6"/>
        <v>293.36889347579671</v>
      </c>
    </row>
    <row r="48" spans="1:9" ht="20.100000000000001" customHeight="1">
      <c r="B48" s="54" t="s">
        <v>113</v>
      </c>
      <c r="C48" s="40">
        <f>($B$12*$B$13^3/12+$B$12*$B$13*($B$13/2-C47)^2+$C$10*(C42*100*(C39-C47)^2)+$C$10*(C45*100*(C47-C38)^2))/1000^4</f>
        <v>6.1675124305936432E-3</v>
      </c>
      <c r="D48" s="40">
        <f t="shared" ref="D48:I48" si="7">($B$12*$B$13^3/12+$B$12*$B$13*($B$13/2-D47)^2+$C$10*(D42*100*(D39-D47)^2)+$C$10*(D45*100*(D47-D38)^2))/1000^4</f>
        <v>6.1675124305936432E-3</v>
      </c>
      <c r="E48" s="40">
        <f t="shared" si="7"/>
        <v>6.0361725123519328E-3</v>
      </c>
      <c r="F48" s="40">
        <f t="shared" si="7"/>
        <v>6.0361725123519328E-3</v>
      </c>
      <c r="G48" s="40">
        <f t="shared" si="7"/>
        <v>6.0361725123519328E-3</v>
      </c>
      <c r="H48" s="40">
        <f t="shared" si="7"/>
        <v>6.1675124305936432E-3</v>
      </c>
      <c r="I48" s="41">
        <f t="shared" si="7"/>
        <v>6.1675124305936432E-3</v>
      </c>
    </row>
    <row r="49" spans="2:16" ht="20.100000000000001" customHeight="1">
      <c r="B49" s="54" t="s">
        <v>114</v>
      </c>
      <c r="C49" s="40">
        <f>($B$12*$B$13+$C$10*C42*100+$C$10*C45*100)/1000^2</f>
        <v>0.19187522023056941</v>
      </c>
      <c r="D49" s="40">
        <f t="shared" ref="D49:I49" si="8">($B$12*$B$13+$C$10*D42*100+$C$10*D45*100)/1000^2</f>
        <v>0.19187522023056941</v>
      </c>
      <c r="E49" s="40">
        <f t="shared" si="8"/>
        <v>0.19017876019763091</v>
      </c>
      <c r="F49" s="40">
        <f t="shared" si="8"/>
        <v>0.19017876019763091</v>
      </c>
      <c r="G49" s="40">
        <f t="shared" si="8"/>
        <v>0.19017876019763091</v>
      </c>
      <c r="H49" s="40">
        <f t="shared" si="8"/>
        <v>0.19187522023056941</v>
      </c>
      <c r="I49" s="41">
        <f t="shared" si="8"/>
        <v>0.19187522023056941</v>
      </c>
    </row>
    <row r="50" spans="2:16" ht="20.100000000000001" customHeight="1">
      <c r="B50" s="54" t="s">
        <v>115</v>
      </c>
      <c r="C50" s="42">
        <f>MAX(RIGHT(C41,LEN(C41)-FIND("D",C41)),RIGHT(C44,LEN(C44)-FIND("D",C44)))</f>
        <v>18</v>
      </c>
      <c r="D50" s="42">
        <f t="shared" ref="D50:I50" si="9">MAX(RIGHT(D41,LEN(D41)-FIND("D",D41)),RIGHT(D44,LEN(D44)-FIND("D",D44)))</f>
        <v>18</v>
      </c>
      <c r="E50" s="42">
        <f t="shared" si="9"/>
        <v>18</v>
      </c>
      <c r="F50" s="42">
        <f t="shared" si="9"/>
        <v>18</v>
      </c>
      <c r="G50" s="42">
        <f t="shared" si="9"/>
        <v>18</v>
      </c>
      <c r="H50" s="42">
        <f t="shared" si="9"/>
        <v>18</v>
      </c>
      <c r="I50" s="43">
        <f t="shared" si="9"/>
        <v>18</v>
      </c>
    </row>
    <row r="51" spans="2:16" ht="20.100000000000001" customHeight="1">
      <c r="B51" s="55" t="s">
        <v>105</v>
      </c>
      <c r="C51" s="44">
        <f>0.0015*$B$9/$E$4</f>
        <v>16.216216216216218</v>
      </c>
      <c r="D51" s="44">
        <f t="shared" ref="D51:I51" si="10">0.0015*$B$9/$E$4</f>
        <v>16.216216216216218</v>
      </c>
      <c r="E51" s="44">
        <f t="shared" si="10"/>
        <v>16.216216216216218</v>
      </c>
      <c r="F51" s="44">
        <f t="shared" si="10"/>
        <v>16.216216216216218</v>
      </c>
      <c r="G51" s="44">
        <f t="shared" si="10"/>
        <v>16.216216216216218</v>
      </c>
      <c r="H51" s="44">
        <f t="shared" si="10"/>
        <v>16.216216216216218</v>
      </c>
      <c r="I51" s="45">
        <f t="shared" si="10"/>
        <v>16.216216216216218</v>
      </c>
    </row>
    <row r="52" spans="2:16" ht="20.100000000000001" customHeight="1">
      <c r="B52" s="54" t="s">
        <v>116</v>
      </c>
      <c r="C52" s="46">
        <f>(C$39*(((C$43*C51+C$46*C51)^2+2*(C$43*C51+C$46*C51*C$38/C$39))^0.5-(C$43*C51+C$46*C51)))</f>
        <v>199.81386414273874</v>
      </c>
      <c r="D52" s="46">
        <f t="shared" ref="D52:I52" si="11">(D$39*(((D$43*D51+D$46*D51)^2+2*(D$43*D51+D$46*D51*D$38/D$39))^0.5-(D$43*D51+D$46*D51)))</f>
        <v>199.81386414273874</v>
      </c>
      <c r="E52" s="46">
        <f t="shared" si="11"/>
        <v>154.80803452707127</v>
      </c>
      <c r="F52" s="46">
        <f t="shared" si="11"/>
        <v>154.80803452707127</v>
      </c>
      <c r="G52" s="46">
        <f t="shared" si="11"/>
        <v>154.80803452707127</v>
      </c>
      <c r="H52" s="46">
        <f t="shared" si="11"/>
        <v>199.81386414273874</v>
      </c>
      <c r="I52" s="47">
        <f t="shared" si="11"/>
        <v>199.81386414273874</v>
      </c>
    </row>
    <row r="53" spans="2:16" ht="20.100000000000001" customHeight="1">
      <c r="B53" s="55" t="s">
        <v>117</v>
      </c>
      <c r="C53" s="48">
        <f>($B$12*$B$13^2/2+$C$10*C42*C38*100+$C$10*C45*C39*100)/1000^3</f>
        <v>5.6290221044466959E-2</v>
      </c>
      <c r="D53" s="48">
        <f t="shared" ref="D53:I53" si="12">($B$12*$B$13^2/2+$C$10*D42*D38*100+$C$10*D45*D39*100)/1000^3</f>
        <v>5.6290221044466959E-2</v>
      </c>
      <c r="E53" s="48">
        <f t="shared" si="12"/>
        <v>5.7053628059289277E-2</v>
      </c>
      <c r="F53" s="48">
        <f t="shared" si="12"/>
        <v>5.7053628059289277E-2</v>
      </c>
      <c r="G53" s="48">
        <f t="shared" si="12"/>
        <v>5.7053628059289277E-2</v>
      </c>
      <c r="H53" s="48">
        <f t="shared" si="12"/>
        <v>5.6290221044466959E-2</v>
      </c>
      <c r="I53" s="49">
        <f t="shared" si="12"/>
        <v>5.6290221044466959E-2</v>
      </c>
    </row>
    <row r="54" spans="2:16" ht="20.100000000000001" customHeight="1">
      <c r="B54" s="54" t="s">
        <v>95</v>
      </c>
      <c r="C54" s="50">
        <f t="shared" ref="C54:E54" si="13">((1.3*$E$5*C48*C49)/C53)*1000</f>
        <v>42.361469890029348</v>
      </c>
      <c r="D54" s="50">
        <f t="shared" si="13"/>
        <v>42.361469890029348</v>
      </c>
      <c r="E54" s="50">
        <f t="shared" si="13"/>
        <v>40.54295870796382</v>
      </c>
      <c r="F54" s="50">
        <f>((1.3*$E$5*F48*F49)/F53)*1000</f>
        <v>40.54295870796382</v>
      </c>
      <c r="G54" s="50">
        <f t="shared" ref="G54:I54" si="14">((1.3*$E$5*G48*G49)/G53)*1000</f>
        <v>40.54295870796382</v>
      </c>
      <c r="H54" s="50">
        <f t="shared" si="14"/>
        <v>42.361469890029348</v>
      </c>
      <c r="I54" s="50">
        <f t="shared" si="14"/>
        <v>42.361469890029348</v>
      </c>
    </row>
    <row r="55" spans="2:16" ht="48" customHeight="1">
      <c r="B55" s="56" t="s">
        <v>96</v>
      </c>
      <c r="C55" s="51" t="str">
        <f t="shared" ref="C55:I55" si="15">IF(ABS(C54)&lt;=ABS(SUM(C23:C24)),"Nứt","Không nứt")</f>
        <v>Nứt</v>
      </c>
      <c r="D55" s="51" t="str">
        <f t="shared" si="15"/>
        <v>Không nứt</v>
      </c>
      <c r="E55" s="51" t="str">
        <f t="shared" si="15"/>
        <v>Nứt</v>
      </c>
      <c r="F55" s="51" t="str">
        <f t="shared" si="15"/>
        <v>Nứt</v>
      </c>
      <c r="G55" s="51" t="str">
        <f t="shared" si="15"/>
        <v>Nứt</v>
      </c>
      <c r="H55" s="51" t="str">
        <f t="shared" si="15"/>
        <v>Không nứt</v>
      </c>
      <c r="I55" s="52" t="str">
        <f t="shared" si="15"/>
        <v>Nứt</v>
      </c>
    </row>
    <row r="56" spans="2:16" ht="48" customHeight="1">
      <c r="B56" s="19"/>
      <c r="C56" s="28">
        <f t="shared" ref="C56:I56" si="16">IF(ABS(C54)&lt;=ABS(SUM(C23:C24)),1,0)</f>
        <v>1</v>
      </c>
      <c r="D56" s="29">
        <f t="shared" si="16"/>
        <v>0</v>
      </c>
      <c r="E56" s="29">
        <f t="shared" si="16"/>
        <v>1</v>
      </c>
      <c r="F56" s="29">
        <f t="shared" si="16"/>
        <v>1</v>
      </c>
      <c r="G56" s="29">
        <f t="shared" si="16"/>
        <v>1</v>
      </c>
      <c r="H56" s="29">
        <f t="shared" si="16"/>
        <v>0</v>
      </c>
      <c r="I56" s="30">
        <f t="shared" si="16"/>
        <v>1</v>
      </c>
    </row>
    <row r="57" spans="2:16" ht="20.100000000000001" customHeight="1">
      <c r="B57" s="57" t="s">
        <v>89</v>
      </c>
      <c r="C57" s="58">
        <f t="shared" ref="C57:I58" si="17">$B$9*$B$32/$E$4</f>
        <v>16.216216216216218</v>
      </c>
      <c r="D57" s="58">
        <f t="shared" si="17"/>
        <v>16.216216216216218</v>
      </c>
      <c r="E57" s="58">
        <f t="shared" si="17"/>
        <v>16.216216216216218</v>
      </c>
      <c r="F57" s="58">
        <f t="shared" si="17"/>
        <v>16.216216216216218</v>
      </c>
      <c r="G57" s="58">
        <f t="shared" si="17"/>
        <v>16.216216216216218</v>
      </c>
      <c r="H57" s="58">
        <f t="shared" si="17"/>
        <v>16.216216216216218</v>
      </c>
      <c r="I57" s="59">
        <f t="shared" si="17"/>
        <v>16.216216216216218</v>
      </c>
    </row>
    <row r="58" spans="2:16" ht="20.100000000000001" customHeight="1">
      <c r="B58" s="60" t="s">
        <v>90</v>
      </c>
      <c r="C58" s="61">
        <f t="shared" si="17"/>
        <v>16.216216216216218</v>
      </c>
      <c r="D58" s="61">
        <f t="shared" si="17"/>
        <v>16.216216216216218</v>
      </c>
      <c r="E58" s="61">
        <f t="shared" si="17"/>
        <v>16.216216216216218</v>
      </c>
      <c r="F58" s="61">
        <f t="shared" si="17"/>
        <v>16.216216216216218</v>
      </c>
      <c r="G58" s="61">
        <f t="shared" si="17"/>
        <v>16.216216216216218</v>
      </c>
      <c r="H58" s="61">
        <f t="shared" si="17"/>
        <v>16.216216216216218</v>
      </c>
      <c r="I58" s="62">
        <f t="shared" si="17"/>
        <v>16.216216216216218</v>
      </c>
    </row>
    <row r="59" spans="2:16" ht="20.100000000000001" customHeight="1">
      <c r="B59" s="63" t="s">
        <v>78</v>
      </c>
      <c r="C59" s="61">
        <f>(C$39*(((C$43*C58+C$46*C57)^2+2*(C$43*C58+C$46*C57*C$38/C$39))^0.5-(C$43*C58+C$46*C57)))</f>
        <v>199.81386414273874</v>
      </c>
      <c r="D59" s="61">
        <f t="shared" ref="D59:I59" si="18">(D39*(((D43*D58+D46*D57)^2+2*(D43*D58+D46*D57*D38/D39))^0.5-(D43*D58+D46*D57)))</f>
        <v>199.81386414273874</v>
      </c>
      <c r="E59" s="61">
        <f t="shared" si="18"/>
        <v>154.80803452707127</v>
      </c>
      <c r="F59" s="61">
        <f t="shared" si="18"/>
        <v>154.80803452707127</v>
      </c>
      <c r="G59" s="61">
        <f t="shared" si="18"/>
        <v>154.80803452707127</v>
      </c>
      <c r="H59" s="61">
        <f t="shared" si="18"/>
        <v>199.81386414273874</v>
      </c>
      <c r="I59" s="62">
        <f t="shared" si="18"/>
        <v>199.81386414273874</v>
      </c>
      <c r="P59" s="6"/>
    </row>
    <row r="60" spans="2:16" ht="20.100000000000001" customHeight="1">
      <c r="B60" s="63" t="s">
        <v>79</v>
      </c>
      <c r="C60" s="64">
        <f>($B$12*C59^3/3+C$42*100*C57*(C$39-C59)^2+C$45*100*C58*(C59-C$38)^2)/1000^4</f>
        <v>3.5131867176298693E-3</v>
      </c>
      <c r="D60" s="64">
        <f t="shared" ref="D60:I60" si="19">($B$12*D59^3/3+D42*100*D57*(D39-D59)^2+D45*100*D58*(D59-D38)^2)/1000^4</f>
        <v>3.5131867176298693E-3</v>
      </c>
      <c r="E60" s="64">
        <f t="shared" si="19"/>
        <v>2.4403925807499351E-3</v>
      </c>
      <c r="F60" s="64">
        <f t="shared" si="19"/>
        <v>2.4403925807499351E-3</v>
      </c>
      <c r="G60" s="64">
        <f t="shared" si="19"/>
        <v>2.4403925807499351E-3</v>
      </c>
      <c r="H60" s="64">
        <f t="shared" si="19"/>
        <v>3.5131867176298693E-3</v>
      </c>
      <c r="I60" s="65">
        <f t="shared" si="19"/>
        <v>3.5131867176298693E-3</v>
      </c>
    </row>
    <row r="61" spans="2:16" ht="20.100000000000001" customHeight="1">
      <c r="B61" s="63" t="s">
        <v>91</v>
      </c>
      <c r="C61" s="64">
        <f>$E$4/$B$32</f>
        <v>12333.333333333334</v>
      </c>
      <c r="D61" s="64">
        <f t="shared" ref="D61:I61" si="20">$E$4/$B$32</f>
        <v>12333.333333333334</v>
      </c>
      <c r="E61" s="64">
        <f t="shared" si="20"/>
        <v>12333.333333333334</v>
      </c>
      <c r="F61" s="64">
        <f t="shared" si="20"/>
        <v>12333.333333333334</v>
      </c>
      <c r="G61" s="64">
        <f t="shared" si="20"/>
        <v>12333.333333333334</v>
      </c>
      <c r="H61" s="64">
        <f t="shared" si="20"/>
        <v>12333.333333333334</v>
      </c>
      <c r="I61" s="65">
        <f t="shared" si="20"/>
        <v>12333.333333333334</v>
      </c>
    </row>
    <row r="62" spans="2:16" ht="20.100000000000001" customHeight="1">
      <c r="B62" s="63" t="s">
        <v>80</v>
      </c>
      <c r="C62" s="64">
        <f>C61*C60*1000</f>
        <v>43329.302850768392</v>
      </c>
      <c r="D62" s="64">
        <f t="shared" ref="D62:I62" si="21">D61*D60*1000</f>
        <v>43329.302850768392</v>
      </c>
      <c r="E62" s="64">
        <f t="shared" si="21"/>
        <v>30098.175162582535</v>
      </c>
      <c r="F62" s="64">
        <f t="shared" si="21"/>
        <v>30098.175162582535</v>
      </c>
      <c r="G62" s="64">
        <f t="shared" si="21"/>
        <v>30098.175162582535</v>
      </c>
      <c r="H62" s="64">
        <f t="shared" si="21"/>
        <v>43329.302850768392</v>
      </c>
      <c r="I62" s="65">
        <f t="shared" si="21"/>
        <v>43329.302850768392</v>
      </c>
    </row>
    <row r="63" spans="2:16" ht="20.100000000000001" customHeight="1">
      <c r="B63" s="66" t="s">
        <v>83</v>
      </c>
      <c r="C63" s="67">
        <f t="shared" ref="C63:I63" si="22">(C23+C24)/C62</f>
        <v>-2.7256381300837301E-3</v>
      </c>
      <c r="D63" s="67">
        <f t="shared" si="22"/>
        <v>-3.3233860349877824E-4</v>
      </c>
      <c r="E63" s="67">
        <f t="shared" si="22"/>
        <v>1.6147158336834511E-3</v>
      </c>
      <c r="F63" s="67">
        <f t="shared" si="22"/>
        <v>2.8074791758487989E-3</v>
      </c>
      <c r="G63" s="67">
        <f t="shared" si="22"/>
        <v>1.6147158336834511E-3</v>
      </c>
      <c r="H63" s="67">
        <f t="shared" si="22"/>
        <v>-3.3233860349877824E-4</v>
      </c>
      <c r="I63" s="68">
        <f t="shared" si="22"/>
        <v>-2.7348697579586963E-3</v>
      </c>
    </row>
    <row r="64" spans="2:16" ht="20.100000000000001" customHeight="1">
      <c r="B64" s="69" t="s">
        <v>89</v>
      </c>
      <c r="C64" s="70">
        <f t="shared" ref="C64:I65" si="23">$B$9*$B$32/$E$4</f>
        <v>16.216216216216218</v>
      </c>
      <c r="D64" s="70">
        <f t="shared" si="23"/>
        <v>16.216216216216218</v>
      </c>
      <c r="E64" s="70">
        <f t="shared" si="23"/>
        <v>16.216216216216218</v>
      </c>
      <c r="F64" s="70">
        <f t="shared" si="23"/>
        <v>16.216216216216218</v>
      </c>
      <c r="G64" s="70">
        <f t="shared" si="23"/>
        <v>16.216216216216218</v>
      </c>
      <c r="H64" s="70">
        <f t="shared" si="23"/>
        <v>16.216216216216218</v>
      </c>
      <c r="I64" s="71">
        <f t="shared" si="23"/>
        <v>16.216216216216218</v>
      </c>
    </row>
    <row r="65" spans="2:9" ht="20.100000000000001" customHeight="1">
      <c r="B65" s="55" t="s">
        <v>90</v>
      </c>
      <c r="C65" s="46">
        <f t="shared" si="23"/>
        <v>16.216216216216218</v>
      </c>
      <c r="D65" s="46">
        <f t="shared" si="23"/>
        <v>16.216216216216218</v>
      </c>
      <c r="E65" s="46">
        <f t="shared" si="23"/>
        <v>16.216216216216218</v>
      </c>
      <c r="F65" s="46">
        <f t="shared" si="23"/>
        <v>16.216216216216218</v>
      </c>
      <c r="G65" s="46">
        <f t="shared" si="23"/>
        <v>16.216216216216218</v>
      </c>
      <c r="H65" s="46">
        <f t="shared" si="23"/>
        <v>16.216216216216218</v>
      </c>
      <c r="I65" s="47">
        <f t="shared" si="23"/>
        <v>16.216216216216218</v>
      </c>
    </row>
    <row r="66" spans="2:9" ht="20.100000000000001" customHeight="1">
      <c r="B66" s="72" t="s">
        <v>78</v>
      </c>
      <c r="C66" s="46">
        <f>(C$39*(((C$43*C65+C$46*C64)^2+2*(C$43*C65+C$46*C64*C$38/C$39))^0.5-(C$43*C65+C$46*C64)))</f>
        <v>199.81386414273874</v>
      </c>
      <c r="D66" s="46">
        <f t="shared" ref="D66:I66" si="24">(D$39*(((D$43*D65+D$46*D64)^2+2*(D$43*D65+D$46*D64*D$38/D$39))^0.5-(D$43*D65+D$46*D64)))</f>
        <v>199.81386414273874</v>
      </c>
      <c r="E66" s="46">
        <f t="shared" si="24"/>
        <v>154.80803452707127</v>
      </c>
      <c r="F66" s="46">
        <f t="shared" si="24"/>
        <v>154.80803452707127</v>
      </c>
      <c r="G66" s="46">
        <f t="shared" si="24"/>
        <v>154.80803452707127</v>
      </c>
      <c r="H66" s="46">
        <f t="shared" si="24"/>
        <v>199.81386414273874</v>
      </c>
      <c r="I66" s="47">
        <f t="shared" si="24"/>
        <v>199.81386414273874</v>
      </c>
    </row>
    <row r="67" spans="2:9" ht="20.100000000000001" customHeight="1">
      <c r="B67" s="72" t="s">
        <v>79</v>
      </c>
      <c r="C67" s="73">
        <f t="shared" ref="C67:I67" si="25">($B$12*C66^3/3+C$42*100*C64*(C$39-C66)^2+C$45*100*C65*(C66-C$38)^2)/1000^4</f>
        <v>3.5131867176298693E-3</v>
      </c>
      <c r="D67" s="73">
        <f t="shared" si="25"/>
        <v>3.5131867176298693E-3</v>
      </c>
      <c r="E67" s="73">
        <f t="shared" si="25"/>
        <v>2.4403925807499351E-3</v>
      </c>
      <c r="F67" s="73">
        <f t="shared" si="25"/>
        <v>2.4403925807499351E-3</v>
      </c>
      <c r="G67" s="73">
        <f t="shared" si="25"/>
        <v>2.4403925807499351E-3</v>
      </c>
      <c r="H67" s="73">
        <f t="shared" si="25"/>
        <v>3.5131867176298693E-3</v>
      </c>
      <c r="I67" s="74">
        <f t="shared" si="25"/>
        <v>3.5131867176298693E-3</v>
      </c>
    </row>
    <row r="68" spans="2:9" ht="20.100000000000001" customHeight="1">
      <c r="B68" s="72" t="s">
        <v>91</v>
      </c>
      <c r="C68" s="73">
        <f>+$E$4/$B$32</f>
        <v>12333.333333333334</v>
      </c>
      <c r="D68" s="73">
        <f t="shared" ref="D68:I68" si="26">+$E$4/$B$32</f>
        <v>12333.333333333334</v>
      </c>
      <c r="E68" s="73">
        <f t="shared" si="26"/>
        <v>12333.333333333334</v>
      </c>
      <c r="F68" s="73">
        <f t="shared" si="26"/>
        <v>12333.333333333334</v>
      </c>
      <c r="G68" s="73">
        <f t="shared" si="26"/>
        <v>12333.333333333334</v>
      </c>
      <c r="H68" s="73">
        <f t="shared" si="26"/>
        <v>12333.333333333334</v>
      </c>
      <c r="I68" s="74">
        <f t="shared" si="26"/>
        <v>12333.333333333334</v>
      </c>
    </row>
    <row r="69" spans="2:9" ht="20.100000000000001" customHeight="1">
      <c r="B69" s="72" t="s">
        <v>81</v>
      </c>
      <c r="C69" s="73">
        <f>C68*C67*1000</f>
        <v>43329.302850768392</v>
      </c>
      <c r="D69" s="73">
        <f t="shared" ref="D69:I69" si="27">D68*D67*1000</f>
        <v>43329.302850768392</v>
      </c>
      <c r="E69" s="73">
        <f t="shared" si="27"/>
        <v>30098.175162582535</v>
      </c>
      <c r="F69" s="73">
        <f t="shared" si="27"/>
        <v>30098.175162582535</v>
      </c>
      <c r="G69" s="73">
        <f t="shared" si="27"/>
        <v>30098.175162582535</v>
      </c>
      <c r="H69" s="73">
        <f t="shared" si="27"/>
        <v>43329.302850768392</v>
      </c>
      <c r="I69" s="74">
        <f t="shared" si="27"/>
        <v>43329.302850768392</v>
      </c>
    </row>
    <row r="70" spans="2:9" ht="20.100000000000001" customHeight="1">
      <c r="B70" s="75" t="s">
        <v>84</v>
      </c>
      <c r="C70" s="76">
        <f t="shared" ref="C70:I70" si="28">(C23+C24*$B$28)/C69</f>
        <v>-2.2894437129915833E-3</v>
      </c>
      <c r="D70" s="76">
        <f t="shared" si="28"/>
        <v>-3.048745105707542E-4</v>
      </c>
      <c r="E70" s="76">
        <f t="shared" si="28"/>
        <v>1.3681892598988584E-3</v>
      </c>
      <c r="F70" s="76">
        <f t="shared" si="28"/>
        <v>2.3586147537693045E-3</v>
      </c>
      <c r="G70" s="76">
        <f t="shared" si="28"/>
        <v>1.3681892598988584E-3</v>
      </c>
      <c r="H70" s="76">
        <f t="shared" si="28"/>
        <v>-3.048745105707542E-4</v>
      </c>
      <c r="I70" s="77">
        <f t="shared" si="28"/>
        <v>-2.2986753408665494E-3</v>
      </c>
    </row>
    <row r="71" spans="2:9" ht="20.100000000000001" hidden="1" customHeight="1">
      <c r="B71" s="57" t="s">
        <v>89</v>
      </c>
      <c r="C71" s="58">
        <f t="shared" ref="C71:I72" si="29">$B$9*$B$33/$E$4</f>
        <v>25.945945945945944</v>
      </c>
      <c r="D71" s="58">
        <f t="shared" si="29"/>
        <v>25.945945945945944</v>
      </c>
      <c r="E71" s="58">
        <f t="shared" si="29"/>
        <v>25.945945945945944</v>
      </c>
      <c r="F71" s="58">
        <f t="shared" si="29"/>
        <v>25.945945945945944</v>
      </c>
      <c r="G71" s="58">
        <f t="shared" si="29"/>
        <v>25.945945945945944</v>
      </c>
      <c r="H71" s="58">
        <f t="shared" si="29"/>
        <v>25.945945945945944</v>
      </c>
      <c r="I71" s="59">
        <f t="shared" si="29"/>
        <v>25.945945945945944</v>
      </c>
    </row>
    <row r="72" spans="2:9" ht="20.100000000000001" hidden="1" customHeight="1">
      <c r="B72" s="60" t="s">
        <v>90</v>
      </c>
      <c r="C72" s="61">
        <f>$B$9*$B$33/$E$4</f>
        <v>25.945945945945944</v>
      </c>
      <c r="D72" s="61">
        <f t="shared" si="29"/>
        <v>25.945945945945944</v>
      </c>
      <c r="E72" s="61">
        <f t="shared" si="29"/>
        <v>25.945945945945944</v>
      </c>
      <c r="F72" s="61">
        <f t="shared" si="29"/>
        <v>25.945945945945944</v>
      </c>
      <c r="G72" s="61">
        <f t="shared" si="29"/>
        <v>25.945945945945944</v>
      </c>
      <c r="H72" s="61">
        <f t="shared" si="29"/>
        <v>25.945945945945944</v>
      </c>
      <c r="I72" s="62">
        <f t="shared" si="29"/>
        <v>25.945945945945944</v>
      </c>
    </row>
    <row r="73" spans="2:9" ht="20.100000000000001" hidden="1" customHeight="1">
      <c r="B73" s="63" t="s">
        <v>78</v>
      </c>
      <c r="C73" s="61">
        <f>(C$39*(((C$43*C72+C$46*C71)^2+2*(C$43*C72+C$46*C71*C$38/C$39))^0.5-(C$43*C72+C$46*C71)))</f>
        <v>232.18119389889216</v>
      </c>
      <c r="D73" s="61">
        <f t="shared" ref="D73:I73" si="30">(D$39*(((D$43*D72+D$46*D71)^2+2*(D$43*D72+D$46*D71*D$38/D$39))^0.5-(D$43*D72+D$46*D71)))</f>
        <v>232.18119389889216</v>
      </c>
      <c r="E73" s="61">
        <f t="shared" si="30"/>
        <v>178.86302184703248</v>
      </c>
      <c r="F73" s="61">
        <f t="shared" si="30"/>
        <v>178.86302184703248</v>
      </c>
      <c r="G73" s="61">
        <f t="shared" si="30"/>
        <v>178.86302184703248</v>
      </c>
      <c r="H73" s="61">
        <f t="shared" si="30"/>
        <v>232.18119389889216</v>
      </c>
      <c r="I73" s="62">
        <f t="shared" si="30"/>
        <v>232.18119389889216</v>
      </c>
    </row>
    <row r="74" spans="2:9" ht="20.100000000000001" customHeight="1">
      <c r="B74" s="63" t="s">
        <v>79</v>
      </c>
      <c r="C74" s="64">
        <f t="shared" ref="C74:I74" si="31">($B$12*C73^3/3+C$42*100*C71*(C$39-C73)^2+C$45*100*C72*(C73-C$38)^2)/1000^4</f>
        <v>5.0244366093871997E-3</v>
      </c>
      <c r="D74" s="64">
        <f t="shared" si="31"/>
        <v>5.0244366093871997E-3</v>
      </c>
      <c r="E74" s="64">
        <f t="shared" si="31"/>
        <v>3.629444652849778E-3</v>
      </c>
      <c r="F74" s="64">
        <f t="shared" si="31"/>
        <v>3.629444652849778E-3</v>
      </c>
      <c r="G74" s="64">
        <f t="shared" si="31"/>
        <v>3.629444652849778E-3</v>
      </c>
      <c r="H74" s="64">
        <f t="shared" si="31"/>
        <v>5.0244366093871997E-3</v>
      </c>
      <c r="I74" s="65">
        <f t="shared" si="31"/>
        <v>5.0244366093871997E-3</v>
      </c>
    </row>
    <row r="75" spans="2:9" ht="20.100000000000001" hidden="1" customHeight="1">
      <c r="B75" s="60" t="s">
        <v>97</v>
      </c>
      <c r="C75" s="61">
        <f>VLOOKUP($B$31,DATA!$A$38:$K$40,MATCH(D20X40!$C$3,DATA!$B$37:$K$37)+1,0)</f>
        <v>1.8</v>
      </c>
      <c r="D75" s="61">
        <f>VLOOKUP($B$31,DATA!$A$38:$K$40,MATCH(D20X40!$C$3,DATA!$B$37:$K$37)+1,0)</f>
        <v>1.8</v>
      </c>
      <c r="E75" s="61">
        <f>VLOOKUP($B$31,DATA!$A$38:$K$40,MATCH(D20X40!$C$3,DATA!$B$37:$K$37)+1,0)</f>
        <v>1.8</v>
      </c>
      <c r="F75" s="61">
        <f>VLOOKUP($B$31,DATA!$A$38:$K$40,MATCH(D20X40!$C$3,DATA!$B$37:$K$37)+1,0)</f>
        <v>1.8</v>
      </c>
      <c r="G75" s="61">
        <f>VLOOKUP($B$31,DATA!$A$38:$K$40,MATCH(D20X40!$C$3,DATA!$B$37:$K$37)+1,0)</f>
        <v>1.8</v>
      </c>
      <c r="H75" s="61">
        <f>VLOOKUP($B$31,DATA!$A$38:$K$40,MATCH(D20X40!$C$3,DATA!$B$37:$K$37)+1,0)</f>
        <v>1.8</v>
      </c>
      <c r="I75" s="62">
        <f>VLOOKUP($B$31,DATA!$A$38:$K$40,MATCH(D20X40!$C$3,DATA!$B$37:$K$37)+1,0)</f>
        <v>1.8</v>
      </c>
    </row>
    <row r="76" spans="2:9" ht="20.100000000000001" customHeight="1">
      <c r="B76" s="63" t="s">
        <v>91</v>
      </c>
      <c r="C76" s="64">
        <f>+$E$4/$B$33</f>
        <v>7708.3333333333339</v>
      </c>
      <c r="D76" s="64">
        <f t="shared" ref="D76:I76" si="32">+$E$4/$B$33</f>
        <v>7708.3333333333339</v>
      </c>
      <c r="E76" s="64">
        <f t="shared" si="32"/>
        <v>7708.3333333333339</v>
      </c>
      <c r="F76" s="64">
        <f t="shared" si="32"/>
        <v>7708.3333333333339</v>
      </c>
      <c r="G76" s="64">
        <f t="shared" si="32"/>
        <v>7708.3333333333339</v>
      </c>
      <c r="H76" s="64">
        <f t="shared" si="32"/>
        <v>7708.3333333333339</v>
      </c>
      <c r="I76" s="65">
        <f t="shared" si="32"/>
        <v>7708.3333333333339</v>
      </c>
    </row>
    <row r="77" spans="2:9" ht="20.100000000000001" customHeight="1">
      <c r="B77" s="63" t="s">
        <v>82</v>
      </c>
      <c r="C77" s="64">
        <f>C76*C74*1000</f>
        <v>38730.032197359673</v>
      </c>
      <c r="D77" s="64">
        <f t="shared" ref="D77:I77" si="33">D76*D74*1000</f>
        <v>38730.032197359673</v>
      </c>
      <c r="E77" s="64">
        <f t="shared" si="33"/>
        <v>27976.969199050374</v>
      </c>
      <c r="F77" s="64">
        <f t="shared" si="33"/>
        <v>27976.969199050374</v>
      </c>
      <c r="G77" s="64">
        <f t="shared" si="33"/>
        <v>27976.969199050374</v>
      </c>
      <c r="H77" s="64">
        <f t="shared" si="33"/>
        <v>38730.032197359673</v>
      </c>
      <c r="I77" s="65">
        <f t="shared" si="33"/>
        <v>38730.032197359673</v>
      </c>
    </row>
    <row r="78" spans="2:9" ht="20.100000000000001" customHeight="1">
      <c r="B78" s="66" t="s">
        <v>85</v>
      </c>
      <c r="C78" s="67">
        <f t="shared" ref="C78:I78" si="34">(C23+$B$28*C24)/C77</f>
        <v>-2.5613198433323977E-3</v>
      </c>
      <c r="D78" s="67">
        <f t="shared" si="34"/>
        <v>-3.4107898316956624E-4</v>
      </c>
      <c r="E78" s="67">
        <f t="shared" si="34"/>
        <v>1.4719249861202899E-3</v>
      </c>
      <c r="F78" s="67">
        <f t="shared" si="34"/>
        <v>2.5374442633482124E-3</v>
      </c>
      <c r="G78" s="67">
        <f t="shared" si="34"/>
        <v>1.4719249861202899E-3</v>
      </c>
      <c r="H78" s="67">
        <f t="shared" si="34"/>
        <v>-3.4107898316956624E-4</v>
      </c>
      <c r="I78" s="68">
        <f t="shared" si="34"/>
        <v>-2.5716477459264797E-3</v>
      </c>
    </row>
    <row r="79" spans="2:9" ht="20.100000000000001" customHeight="1">
      <c r="B79" s="78" t="s">
        <v>91</v>
      </c>
      <c r="C79" s="79">
        <f>0.85*$B$6</f>
        <v>25500</v>
      </c>
      <c r="D79" s="79">
        <f t="shared" ref="D79:I79" si="35">0.85*$B$6</f>
        <v>25500</v>
      </c>
      <c r="E79" s="79">
        <f t="shared" si="35"/>
        <v>25500</v>
      </c>
      <c r="F79" s="79">
        <f t="shared" si="35"/>
        <v>25500</v>
      </c>
      <c r="G79" s="79">
        <f t="shared" si="35"/>
        <v>25500</v>
      </c>
      <c r="H79" s="79">
        <f t="shared" si="35"/>
        <v>25500</v>
      </c>
      <c r="I79" s="80">
        <f t="shared" si="35"/>
        <v>25500</v>
      </c>
    </row>
    <row r="80" spans="2:9" ht="20.100000000000001" customHeight="1">
      <c r="B80" s="72" t="s">
        <v>80</v>
      </c>
      <c r="C80" s="73">
        <f t="shared" ref="C80:I80" si="36">C79*C48*1000</f>
        <v>157271.5669801379</v>
      </c>
      <c r="D80" s="73">
        <f t="shared" si="36"/>
        <v>157271.5669801379</v>
      </c>
      <c r="E80" s="73">
        <f t="shared" si="36"/>
        <v>153922.39906497428</v>
      </c>
      <c r="F80" s="73">
        <f t="shared" si="36"/>
        <v>153922.39906497428</v>
      </c>
      <c r="G80" s="73">
        <f t="shared" si="36"/>
        <v>153922.39906497428</v>
      </c>
      <c r="H80" s="73">
        <f t="shared" si="36"/>
        <v>157271.5669801379</v>
      </c>
      <c r="I80" s="74">
        <f t="shared" si="36"/>
        <v>157271.5669801379</v>
      </c>
    </row>
    <row r="81" spans="1:9" ht="20.100000000000001" customHeight="1">
      <c r="B81" s="75" t="s">
        <v>83</v>
      </c>
      <c r="C81" s="76">
        <f t="shared" ref="C81:I81" si="37">(C24*(1-$B$28))/C80</f>
        <v>-1.2017429700046744E-4</v>
      </c>
      <c r="D81" s="76">
        <f t="shared" si="37"/>
        <v>-7.5665298111405424E-6</v>
      </c>
      <c r="E81" s="76">
        <f t="shared" si="37"/>
        <v>4.8206109345189206E-5</v>
      </c>
      <c r="F81" s="76">
        <f t="shared" si="37"/>
        <v>8.7771500977561488E-5</v>
      </c>
      <c r="G81" s="76">
        <f t="shared" si="37"/>
        <v>4.8206109345189206E-5</v>
      </c>
      <c r="H81" s="76">
        <f t="shared" si="37"/>
        <v>-7.5665298111405424E-6</v>
      </c>
      <c r="I81" s="77">
        <f t="shared" si="37"/>
        <v>-1.2017429700046744E-4</v>
      </c>
    </row>
    <row r="82" spans="1:9" ht="20.100000000000001" hidden="1" customHeight="1">
      <c r="B82" s="57" t="s">
        <v>97</v>
      </c>
      <c r="C82" s="58">
        <f>VLOOKUP($B$31,DATA!$A$38:$K$40,MATCH(D20X40!$C$3,DATA!$B$37:$K$37)+1,0)</f>
        <v>1.8</v>
      </c>
      <c r="D82" s="58">
        <f>VLOOKUP($B$31,DATA!$A$38:$K$40,MATCH(D20X40!$C$3,DATA!$B$37:$K$37)+1,0)</f>
        <v>1.8</v>
      </c>
      <c r="E82" s="58">
        <f>VLOOKUP($B$31,DATA!$A$38:$K$40,MATCH(D20X40!$C$3,DATA!$B$37:$K$37)+1,0)</f>
        <v>1.8</v>
      </c>
      <c r="F82" s="58">
        <f>VLOOKUP($B$31,DATA!$A$38:$K$40,MATCH(D20X40!$C$3,DATA!$B$37:$K$37)+1,0)</f>
        <v>1.8</v>
      </c>
      <c r="G82" s="58">
        <f>VLOOKUP($B$31,DATA!$A$38:$K$40,MATCH(D20X40!$C$3,DATA!$B$37:$K$37)+1,0)</f>
        <v>1.8</v>
      </c>
      <c r="H82" s="58">
        <f>VLOOKUP($B$31,DATA!$A$38:$K$40,MATCH(D20X40!$C$3,DATA!$B$37:$K$37)+1,0)</f>
        <v>1.8</v>
      </c>
      <c r="I82" s="59">
        <f>VLOOKUP($B$31,DATA!$A$38:$K$40,MATCH(D20X40!$C$3,DATA!$B$37:$K$37)+1,0)</f>
        <v>1.8</v>
      </c>
    </row>
    <row r="83" spans="1:9" ht="20.100000000000001" customHeight="1">
      <c r="B83" s="63" t="s">
        <v>91</v>
      </c>
      <c r="C83" s="64">
        <f>+$B$6/(1+C82)</f>
        <v>10714.285714285716</v>
      </c>
      <c r="D83" s="64">
        <f t="shared" ref="D83:I83" si="38">+$B$6/(1+D82)</f>
        <v>10714.285714285716</v>
      </c>
      <c r="E83" s="64">
        <f t="shared" si="38"/>
        <v>10714.285714285716</v>
      </c>
      <c r="F83" s="64">
        <f t="shared" si="38"/>
        <v>10714.285714285716</v>
      </c>
      <c r="G83" s="64">
        <f t="shared" si="38"/>
        <v>10714.285714285716</v>
      </c>
      <c r="H83" s="64">
        <f t="shared" si="38"/>
        <v>10714.285714285716</v>
      </c>
      <c r="I83" s="65">
        <f t="shared" si="38"/>
        <v>10714.285714285716</v>
      </c>
    </row>
    <row r="84" spans="1:9" ht="20.100000000000001" customHeight="1">
      <c r="B84" s="63" t="s">
        <v>80</v>
      </c>
      <c r="C84" s="64">
        <f t="shared" ref="C84:I84" si="39">C83*C48*1000</f>
        <v>66080.490327789041</v>
      </c>
      <c r="D84" s="64">
        <f t="shared" si="39"/>
        <v>66080.490327789041</v>
      </c>
      <c r="E84" s="64">
        <f t="shared" si="39"/>
        <v>64673.276918056428</v>
      </c>
      <c r="F84" s="64">
        <f t="shared" si="39"/>
        <v>64673.276918056428</v>
      </c>
      <c r="G84" s="64">
        <f t="shared" si="39"/>
        <v>64673.276918056428</v>
      </c>
      <c r="H84" s="64">
        <f t="shared" si="39"/>
        <v>66080.490327789041</v>
      </c>
      <c r="I84" s="65">
        <f t="shared" si="39"/>
        <v>66080.490327789041</v>
      </c>
    </row>
    <row r="85" spans="1:9" ht="20.100000000000001" customHeight="1">
      <c r="B85" s="66" t="s">
        <v>104</v>
      </c>
      <c r="C85" s="67">
        <f t="shared" ref="C85:I85" si="40">(C23+C24*$B$28)/C84</f>
        <v>-1.5011995145302833E-3</v>
      </c>
      <c r="D85" s="67">
        <f t="shared" si="40"/>
        <v>-1.9990771761033309E-4</v>
      </c>
      <c r="E85" s="67">
        <f t="shared" si="40"/>
        <v>6.367390360036445E-4</v>
      </c>
      <c r="F85" s="67">
        <f t="shared" si="40"/>
        <v>1.097671300774617E-3</v>
      </c>
      <c r="G85" s="67">
        <f t="shared" si="40"/>
        <v>6.367390360036445E-4</v>
      </c>
      <c r="H85" s="67">
        <f t="shared" si="40"/>
        <v>-1.9990771761033309E-4</v>
      </c>
      <c r="I85" s="68">
        <f t="shared" si="40"/>
        <v>-1.5072527383791958E-3</v>
      </c>
    </row>
    <row r="86" spans="1:9" ht="20.100000000000001" customHeight="1">
      <c r="B86" s="25" t="s">
        <v>86</v>
      </c>
      <c r="C86" s="26">
        <f t="shared" ref="C86:I86" si="41">IF(ABS(C54)&lt;=ABS(SUM(C23:C24)),C63-C70+C78,C78+C85)</f>
        <v>-2.9975142604245445E-3</v>
      </c>
      <c r="D86" s="26">
        <f t="shared" si="41"/>
        <v>-5.4098670077989931E-4</v>
      </c>
      <c r="E86" s="26">
        <f t="shared" si="41"/>
        <v>1.7184515599048826E-3</v>
      </c>
      <c r="F86" s="26">
        <f t="shared" si="41"/>
        <v>2.9863086854277068E-3</v>
      </c>
      <c r="G86" s="26">
        <f t="shared" si="41"/>
        <v>1.7184515599048826E-3</v>
      </c>
      <c r="H86" s="26">
        <f t="shared" si="41"/>
        <v>-5.4098670077989931E-4</v>
      </c>
      <c r="I86" s="27">
        <f t="shared" si="41"/>
        <v>-3.0078421630186265E-3</v>
      </c>
    </row>
    <row r="87" spans="1:9" ht="20.100000000000001" customHeight="1">
      <c r="B87" s="20"/>
      <c r="C87" s="20"/>
      <c r="D87" s="20"/>
      <c r="E87" s="20"/>
      <c r="F87" s="20"/>
      <c r="G87" s="20"/>
      <c r="H87" s="20"/>
      <c r="I87" s="20"/>
    </row>
    <row r="88" spans="1:9" ht="20.100000000000001" customHeight="1">
      <c r="A88" s="3" t="s">
        <v>107</v>
      </c>
    </row>
    <row r="89" spans="1:9" ht="20.100000000000001" customHeight="1">
      <c r="A89" s="1" t="s">
        <v>52</v>
      </c>
      <c r="C89" s="7">
        <v>8.1999999999999993</v>
      </c>
      <c r="D89" s="1" t="s">
        <v>53</v>
      </c>
    </row>
    <row r="90" spans="1:9" ht="20.100000000000001" customHeight="1">
      <c r="A90" s="1" t="s">
        <v>93</v>
      </c>
      <c r="E90" s="1" t="s">
        <v>94</v>
      </c>
      <c r="F90" s="6">
        <f>(C89)^2*1000*(C86+I86+6*(D86+H86+2*(E86+G86))+16*F86)/432</f>
        <v>11.911220394456119</v>
      </c>
      <c r="G90" s="1" t="s">
        <v>15</v>
      </c>
      <c r="H90" s="8" t="s">
        <v>92</v>
      </c>
    </row>
    <row r="91" spans="1:9" ht="20.100000000000001" customHeight="1">
      <c r="A91" s="1" t="s">
        <v>65</v>
      </c>
      <c r="D91" s="13">
        <f>Tinhfu(C89)</f>
        <v>206.11111111111111</v>
      </c>
      <c r="E91" s="2" t="s">
        <v>17</v>
      </c>
      <c r="F91" s="6">
        <f>C89/D91*1000</f>
        <v>39.784366576819409</v>
      </c>
      <c r="G91" s="1" t="s">
        <v>15</v>
      </c>
      <c r="H91" s="8" t="s">
        <v>64</v>
      </c>
    </row>
    <row r="92" spans="1:9" ht="20.100000000000001" customHeight="1">
      <c r="A92" s="14" t="str">
        <f>IF(F90&lt;=F91,"Đảm bảo điều kiện võng","Không đảm bảo điều kiện võng")</f>
        <v>Đảm bảo điều kiện võng</v>
      </c>
    </row>
  </sheetData>
  <mergeCells count="1">
    <mergeCell ref="A1:J1"/>
  </mergeCells>
  <pageMargins left="0.7" right="0.7" top="0.95" bottom="0.9" header="0.3" footer="0.3"/>
  <pageSetup paperSize="9" fitToHeight="0" orientation="portrait" r:id="rId1"/>
  <rowBreaks count="1" manualBreakCount="1">
    <brk id="34" max="9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DATA!$A$33:$A$35</xm:f>
          </x14:formula1>
          <xm:sqref>B31</xm:sqref>
        </x14:dataValidation>
        <x14:dataValidation type="list" allowBlank="1" showInputMessage="1" showErrorMessage="1">
          <x14:formula1>
            <xm:f>DATA!$B$16:$B$23</xm:f>
          </x14:formula1>
          <xm:sqref>C7</xm:sqref>
        </x14:dataValidation>
        <x14:dataValidation type="list" allowBlank="1" showInputMessage="1" showErrorMessage="1">
          <x14:formula1>
            <xm:f>DATA!$B$3:$B$12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0"/>
  <sheetViews>
    <sheetView topLeftCell="A16" workbookViewId="0">
      <selection activeCell="A28" sqref="A28"/>
    </sheetView>
  </sheetViews>
  <sheetFormatPr defaultRowHeight="15"/>
  <sheetData>
    <row r="1" spans="1:7">
      <c r="A1" t="s">
        <v>19</v>
      </c>
    </row>
    <row r="2" spans="1:7" ht="30">
      <c r="A2" s="9" t="s">
        <v>20</v>
      </c>
      <c r="B2" s="9" t="s">
        <v>21</v>
      </c>
      <c r="C2" s="9" t="s">
        <v>22</v>
      </c>
      <c r="D2" s="9" t="s">
        <v>23</v>
      </c>
      <c r="E2" s="9" t="s">
        <v>24</v>
      </c>
      <c r="F2" s="9" t="s">
        <v>25</v>
      </c>
      <c r="G2" s="9" t="s">
        <v>26</v>
      </c>
    </row>
    <row r="3" spans="1:7">
      <c r="A3" s="10">
        <v>1</v>
      </c>
      <c r="B3" s="10" t="s">
        <v>27</v>
      </c>
      <c r="C3" s="10">
        <v>11</v>
      </c>
      <c r="D3" s="10">
        <v>1.1000000000000001</v>
      </c>
      <c r="E3" s="10">
        <v>8.5</v>
      </c>
      <c r="F3" s="10">
        <v>0.75</v>
      </c>
      <c r="G3" s="10">
        <v>24000</v>
      </c>
    </row>
    <row r="4" spans="1:7">
      <c r="A4" s="10">
        <v>2</v>
      </c>
      <c r="B4" s="10" t="s">
        <v>28</v>
      </c>
      <c r="C4" s="10">
        <v>15</v>
      </c>
      <c r="D4" s="10">
        <v>1.35</v>
      </c>
      <c r="E4" s="10">
        <v>11.5</v>
      </c>
      <c r="F4" s="10">
        <v>0.9</v>
      </c>
      <c r="G4" s="10">
        <v>27500</v>
      </c>
    </row>
    <row r="5" spans="1:7">
      <c r="A5" s="10">
        <v>3</v>
      </c>
      <c r="B5" s="10" t="s">
        <v>29</v>
      </c>
      <c r="C5" s="10">
        <f>(C6+C4)/2</f>
        <v>16.75</v>
      </c>
      <c r="D5" s="10">
        <f>(D6+D4)/2</f>
        <v>1.4500000000000002</v>
      </c>
      <c r="E5" s="10">
        <v>13</v>
      </c>
      <c r="F5" s="10">
        <v>1</v>
      </c>
      <c r="G5" s="10">
        <v>29000</v>
      </c>
    </row>
    <row r="6" spans="1:7">
      <c r="A6" s="10">
        <v>4</v>
      </c>
      <c r="B6" s="10" t="s">
        <v>1</v>
      </c>
      <c r="C6" s="10">
        <v>18.5</v>
      </c>
      <c r="D6" s="10">
        <v>1.55</v>
      </c>
      <c r="E6" s="10">
        <v>14.5</v>
      </c>
      <c r="F6" s="10">
        <v>1.05</v>
      </c>
      <c r="G6" s="10">
        <v>30000</v>
      </c>
    </row>
    <row r="7" spans="1:7">
      <c r="A7" s="10">
        <v>5</v>
      </c>
      <c r="B7" s="10" t="s">
        <v>30</v>
      </c>
      <c r="C7" s="10">
        <v>22</v>
      </c>
      <c r="D7" s="10">
        <v>1.75</v>
      </c>
      <c r="E7" s="10">
        <v>17</v>
      </c>
      <c r="F7" s="10">
        <v>1.1499999999999999</v>
      </c>
      <c r="G7" s="10">
        <v>32500</v>
      </c>
    </row>
    <row r="8" spans="1:7">
      <c r="A8" s="10">
        <v>6</v>
      </c>
      <c r="B8" s="10" t="s">
        <v>31</v>
      </c>
      <c r="C8" s="10">
        <v>25.5</v>
      </c>
      <c r="D8" s="10">
        <v>1.95</v>
      </c>
      <c r="E8" s="10">
        <v>19.5</v>
      </c>
      <c r="F8" s="10">
        <v>1.3</v>
      </c>
      <c r="G8" s="10">
        <v>34500</v>
      </c>
    </row>
    <row r="9" spans="1:7">
      <c r="A9" s="10">
        <v>7</v>
      </c>
      <c r="B9" s="10" t="s">
        <v>32</v>
      </c>
      <c r="C9" s="10">
        <v>29</v>
      </c>
      <c r="D9" s="10">
        <v>2.1</v>
      </c>
      <c r="E9" s="10">
        <v>22</v>
      </c>
      <c r="F9" s="10">
        <v>1.4</v>
      </c>
      <c r="G9" s="10">
        <v>36000</v>
      </c>
    </row>
    <row r="10" spans="1:7">
      <c r="A10" s="10">
        <v>8</v>
      </c>
      <c r="B10" s="10" t="s">
        <v>33</v>
      </c>
      <c r="C10" s="10">
        <v>32</v>
      </c>
      <c r="D10" s="10">
        <v>2.25</v>
      </c>
      <c r="E10" s="10">
        <v>25</v>
      </c>
      <c r="F10" s="10">
        <v>1.5</v>
      </c>
      <c r="G10" s="10">
        <v>37000</v>
      </c>
    </row>
    <row r="11" spans="1:7">
      <c r="A11" s="10">
        <v>9</v>
      </c>
      <c r="B11" s="10" t="s">
        <v>34</v>
      </c>
      <c r="C11" s="10">
        <v>36</v>
      </c>
      <c r="D11" s="10">
        <v>2.4500000000000002</v>
      </c>
      <c r="E11" s="10">
        <v>27.5</v>
      </c>
      <c r="F11" s="10">
        <v>1.6</v>
      </c>
      <c r="G11" s="10">
        <v>38000</v>
      </c>
    </row>
    <row r="12" spans="1:7">
      <c r="A12" s="10">
        <v>10</v>
      </c>
      <c r="B12" s="10" t="s">
        <v>35</v>
      </c>
      <c r="C12" s="10">
        <v>43</v>
      </c>
      <c r="D12" s="10">
        <v>2.6</v>
      </c>
      <c r="E12" s="10">
        <v>33</v>
      </c>
      <c r="F12" s="10">
        <v>1.8</v>
      </c>
      <c r="G12" s="10">
        <v>39500</v>
      </c>
    </row>
    <row r="14" spans="1:7">
      <c r="A14" t="s">
        <v>36</v>
      </c>
    </row>
    <row r="15" spans="1:7" ht="30">
      <c r="A15" s="9" t="s">
        <v>20</v>
      </c>
      <c r="B15" s="9" t="s">
        <v>21</v>
      </c>
      <c r="C15" s="9" t="s">
        <v>37</v>
      </c>
      <c r="D15" s="9" t="s">
        <v>38</v>
      </c>
      <c r="E15" s="9" t="s">
        <v>39</v>
      </c>
      <c r="F15" s="9" t="s">
        <v>40</v>
      </c>
    </row>
    <row r="16" spans="1:7">
      <c r="A16" s="10">
        <v>1</v>
      </c>
      <c r="B16" s="10" t="s">
        <v>41</v>
      </c>
      <c r="C16" s="10">
        <v>225</v>
      </c>
      <c r="D16" s="10">
        <v>225</v>
      </c>
      <c r="E16" s="10">
        <v>175</v>
      </c>
      <c r="F16" s="10">
        <v>200000</v>
      </c>
    </row>
    <row r="17" spans="1:6">
      <c r="A17" s="10">
        <v>2</v>
      </c>
      <c r="B17" s="10" t="s">
        <v>42</v>
      </c>
      <c r="C17" s="10">
        <v>280</v>
      </c>
      <c r="D17" s="10">
        <v>280</v>
      </c>
      <c r="E17" s="10">
        <v>225</v>
      </c>
      <c r="F17" s="10">
        <v>200000</v>
      </c>
    </row>
    <row r="18" spans="1:6">
      <c r="A18" s="10">
        <v>3</v>
      </c>
      <c r="B18" s="10" t="s">
        <v>43</v>
      </c>
      <c r="C18" s="10">
        <v>365</v>
      </c>
      <c r="D18" s="10">
        <v>365</v>
      </c>
      <c r="E18" s="10">
        <v>290</v>
      </c>
      <c r="F18" s="10">
        <v>200000</v>
      </c>
    </row>
    <row r="19" spans="1:6">
      <c r="A19" s="10">
        <v>4</v>
      </c>
      <c r="B19" s="10" t="s">
        <v>44</v>
      </c>
      <c r="C19" s="10">
        <v>510</v>
      </c>
      <c r="D19" s="10">
        <v>450</v>
      </c>
      <c r="E19" s="10">
        <v>405</v>
      </c>
      <c r="F19" s="10">
        <v>190000</v>
      </c>
    </row>
    <row r="20" spans="1:6">
      <c r="A20" s="10">
        <v>5</v>
      </c>
      <c r="B20" s="10" t="s">
        <v>45</v>
      </c>
      <c r="C20" s="10">
        <v>210</v>
      </c>
      <c r="D20" s="10">
        <v>210</v>
      </c>
      <c r="E20" s="10">
        <v>170</v>
      </c>
      <c r="F20" s="10">
        <v>200000</v>
      </c>
    </row>
    <row r="21" spans="1:6">
      <c r="A21" s="10">
        <v>6</v>
      </c>
      <c r="B21" s="10" t="s">
        <v>46</v>
      </c>
      <c r="C21" s="10">
        <v>260</v>
      </c>
      <c r="D21" s="10">
        <v>260</v>
      </c>
      <c r="E21" s="10">
        <v>210</v>
      </c>
      <c r="F21" s="10">
        <v>200000</v>
      </c>
    </row>
    <row r="22" spans="1:6">
      <c r="A22" s="10">
        <v>7</v>
      </c>
      <c r="B22" s="10" t="s">
        <v>9</v>
      </c>
      <c r="C22" s="10">
        <v>350</v>
      </c>
      <c r="D22" s="10">
        <v>350</v>
      </c>
      <c r="E22" s="10">
        <v>280</v>
      </c>
      <c r="F22" s="10">
        <v>200000</v>
      </c>
    </row>
    <row r="23" spans="1:6">
      <c r="A23" s="10">
        <v>8</v>
      </c>
      <c r="B23" s="10" t="s">
        <v>47</v>
      </c>
      <c r="C23" s="10">
        <v>435</v>
      </c>
      <c r="D23" s="10">
        <v>400</v>
      </c>
      <c r="E23" s="10">
        <v>300</v>
      </c>
      <c r="F23" s="10">
        <v>200000</v>
      </c>
    </row>
    <row r="24" spans="1:6">
      <c r="A24" t="s">
        <v>54</v>
      </c>
    </row>
    <row r="25" spans="1:6">
      <c r="A25" t="s">
        <v>56</v>
      </c>
      <c r="B25" s="10" t="s">
        <v>55</v>
      </c>
    </row>
    <row r="26" spans="1:6">
      <c r="A26" s="10">
        <v>1</v>
      </c>
      <c r="B26">
        <v>120</v>
      </c>
    </row>
    <row r="27" spans="1:6">
      <c r="A27" s="10">
        <v>3</v>
      </c>
      <c r="B27">
        <v>150</v>
      </c>
    </row>
    <row r="28" spans="1:6">
      <c r="A28" s="10">
        <v>6</v>
      </c>
      <c r="B28">
        <v>200</v>
      </c>
    </row>
    <row r="29" spans="1:6">
      <c r="A29" s="10">
        <v>24</v>
      </c>
      <c r="B29">
        <v>250</v>
      </c>
    </row>
    <row r="30" spans="1:6">
      <c r="A30" s="10">
        <v>36</v>
      </c>
      <c r="B30">
        <v>300</v>
      </c>
    </row>
    <row r="31" spans="1:6">
      <c r="A31" s="11" t="s">
        <v>58</v>
      </c>
    </row>
    <row r="32" spans="1:6">
      <c r="B32" t="s">
        <v>62</v>
      </c>
      <c r="C32" t="s">
        <v>63</v>
      </c>
    </row>
    <row r="33" spans="1:11">
      <c r="A33" t="s">
        <v>59</v>
      </c>
      <c r="B33">
        <v>2.3999999999999998E-3</v>
      </c>
      <c r="C33">
        <v>1.9000000000000001E-4</v>
      </c>
    </row>
    <row r="34" spans="1:11">
      <c r="A34" t="s">
        <v>60</v>
      </c>
      <c r="B34">
        <v>4.7999999999999996E-3</v>
      </c>
      <c r="C34">
        <v>2.2000000000000001E-4</v>
      </c>
    </row>
    <row r="35" spans="1:11">
      <c r="A35" t="s">
        <v>61</v>
      </c>
      <c r="B35">
        <v>3.3999999999999998E-3</v>
      </c>
      <c r="C35">
        <v>2.5999999999999998E-4</v>
      </c>
    </row>
    <row r="36" spans="1:11">
      <c r="A36" t="s">
        <v>98</v>
      </c>
    </row>
    <row r="37" spans="1:11">
      <c r="B37" s="10" t="s">
        <v>27</v>
      </c>
      <c r="C37" s="10" t="s">
        <v>28</v>
      </c>
      <c r="D37" s="10" t="s">
        <v>29</v>
      </c>
      <c r="E37" s="10" t="s">
        <v>1</v>
      </c>
      <c r="F37" s="10" t="s">
        <v>30</v>
      </c>
      <c r="G37" s="10" t="s">
        <v>31</v>
      </c>
      <c r="H37" s="10" t="s">
        <v>32</v>
      </c>
      <c r="I37" s="10" t="s">
        <v>33</v>
      </c>
      <c r="J37" s="10" t="s">
        <v>34</v>
      </c>
      <c r="K37" s="10" t="s">
        <v>35</v>
      </c>
    </row>
    <row r="38" spans="1:11">
      <c r="A38" t="s">
        <v>59</v>
      </c>
      <c r="B38">
        <v>2.4</v>
      </c>
      <c r="C38">
        <v>2</v>
      </c>
      <c r="D38">
        <f>(C38+E38)/2</f>
        <v>1.9</v>
      </c>
      <c r="E38">
        <v>1.8</v>
      </c>
      <c r="F38">
        <v>1.6</v>
      </c>
      <c r="G38">
        <v>1.5</v>
      </c>
      <c r="H38">
        <v>1.4</v>
      </c>
      <c r="I38">
        <v>1.3</v>
      </c>
      <c r="J38">
        <v>1.2</v>
      </c>
      <c r="K38">
        <v>1</v>
      </c>
    </row>
    <row r="39" spans="1:11">
      <c r="A39" t="s">
        <v>60</v>
      </c>
      <c r="B39">
        <v>3.4</v>
      </c>
      <c r="C39">
        <v>2.8</v>
      </c>
      <c r="D39">
        <f t="shared" ref="D39:D40" si="0">(C39+E39)/2</f>
        <v>2.65</v>
      </c>
      <c r="E39">
        <v>2.5</v>
      </c>
      <c r="F39">
        <v>2.2999999999999998</v>
      </c>
      <c r="G39">
        <v>2.1</v>
      </c>
      <c r="H39">
        <v>1.9</v>
      </c>
      <c r="I39">
        <v>1.8</v>
      </c>
      <c r="J39">
        <v>1.6</v>
      </c>
      <c r="K39">
        <v>1.4</v>
      </c>
    </row>
    <row r="40" spans="1:11">
      <c r="A40" t="s">
        <v>61</v>
      </c>
      <c r="B40">
        <v>4.8</v>
      </c>
      <c r="C40">
        <v>4</v>
      </c>
      <c r="D40">
        <f t="shared" si="0"/>
        <v>3.8</v>
      </c>
      <c r="E40">
        <v>3.6</v>
      </c>
      <c r="F40">
        <v>3.2</v>
      </c>
      <c r="G40">
        <v>3</v>
      </c>
      <c r="H40">
        <v>2.8</v>
      </c>
      <c r="I40">
        <v>2.6</v>
      </c>
      <c r="J40">
        <v>2.4</v>
      </c>
      <c r="K40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D20X40 (2)</vt:lpstr>
      <vt:lpstr>D20X40</vt:lpstr>
      <vt:lpstr>DATA</vt:lpstr>
      <vt:lpstr>D20X40!Print_Area</vt:lpstr>
      <vt:lpstr>'D20X40 (2)'!Print_Area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Thiep Dao</dc:creator>
  <cp:lastModifiedBy>Windows User</cp:lastModifiedBy>
  <cp:lastPrinted>2021-07-02T09:13:24Z</cp:lastPrinted>
  <dcterms:created xsi:type="dcterms:W3CDTF">2020-09-24T14:26:24Z</dcterms:created>
  <dcterms:modified xsi:type="dcterms:W3CDTF">2022-03-26T01:43:00Z</dcterms:modified>
</cp:coreProperties>
</file>