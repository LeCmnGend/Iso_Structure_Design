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92.168.1.253\ts1\#Thu muc ca nhan\03. Vo Trung Hieu\1.USER\ISO_CONINCO\01. VESION 2022 THUYET MINH + BANG TINH\2. Thuyết minh + Bản tính kết cấu\2. Phụ lục bản tính\"/>
    </mc:Choice>
  </mc:AlternateContent>
  <bookViews>
    <workbookView xWindow="0" yWindow="0" windowWidth="28800" windowHeight="12330" tabRatio="839" firstSheet="5" activeTab="5"/>
  </bookViews>
  <sheets>
    <sheet name="Begin" sheetId="127" state="veryHidden" r:id="rId1"/>
    <sheet name="Material" sheetId="117" state="hidden" r:id="rId2"/>
    <sheet name="Section" sheetId="145" state="veryHidden" r:id="rId3"/>
    <sheet name="Material Precast Pile" sheetId="291" state="hidden" r:id="rId4"/>
    <sheet name="Material Precast Hollow Pile" sheetId="331" state="hidden" r:id="rId5"/>
    <sheet name="HK25" sheetId="260" r:id="rId6"/>
    <sheet name="PILE SUMMARY" sheetId="334" r:id="rId7"/>
    <sheet name="Tab For Pile" sheetId="262" state="hidden" r:id="rId8"/>
    <sheet name="Bang tra" sheetId="316" state="hidden" r:id="rId9"/>
  </sheets>
  <functionGroups builtInGroupCount="18"/>
  <externalReferences>
    <externalReference r:id="rId10"/>
    <externalReference r:id="rId11"/>
  </externalReferences>
  <definedNames>
    <definedName name="_Fill" hidden="1">#REF!</definedName>
    <definedName name="_xlnm._FilterDatabase" localSheetId="6" hidden="1">'PILE SUMMARY'!$A$1:$A$99</definedName>
    <definedName name="_huy1" localSheetId="6" hidden="1">{"'Sheet1'!$L$16"}</definedName>
    <definedName name="_huy1" hidden="1">{"'Sheet1'!$L$16"}</definedName>
    <definedName name="_Order1" hidden="1">255</definedName>
    <definedName name="_Order2" hidden="1">255</definedName>
    <definedName name="_Sort" localSheetId="4" hidden="1">#REF!</definedName>
    <definedName name="_Sort" localSheetId="6" hidden="1">#REF!</definedName>
    <definedName name="_Sort" hidden="1">#REF!</definedName>
    <definedName name="alpha12">'Tab For Pile'!$B$22:$N$24</definedName>
    <definedName name="alpha3">'Tab For Pile'!$B$28:$N$40</definedName>
    <definedName name="alpha4">'Tab For Pile'!$B$43:$N$47</definedName>
    <definedName name="Bang_BT">'[1]Du lieu dia chat chung'!$D$63:$G$68</definedName>
    <definedName name="Bdphanto">#REF!</definedName>
    <definedName name="Betong">Material!$C$2:$R$9</definedName>
    <definedName name="BHLIST">#REF!</definedName>
    <definedName name="BHPROFILE">#REF!</definedName>
    <definedName name="BTCOC">#REF!</definedName>
    <definedName name="Canhcoc">#REF!</definedName>
    <definedName name="Canhcoc2">#REF!</definedName>
    <definedName name="Caodo">#REF!</definedName>
    <definedName name="CAPBT">Material!$C$2:$R$2</definedName>
    <definedName name="CAPTHEP">Material!$C$12:$F$12</definedName>
    <definedName name="Check">Begin!$B$13</definedName>
    <definedName name="Chieudai">#REF!</definedName>
    <definedName name="ChongCat">'Tab For Pile'!$AA$4:$AG$16</definedName>
    <definedName name="ChongSet">'Tab For Pile'!$P$4:$Y$16</definedName>
    <definedName name="Client">Begin!$B$5</definedName>
    <definedName name="Cotcaodo">#REF!</definedName>
    <definedName name="Cotdiachat">#REF!</definedName>
    <definedName name="CotDoam">#REF!</definedName>
    <definedName name="Cotdoset">#REF!</definedName>
    <definedName name="Cotgamma">#REF!</definedName>
    <definedName name="Cotlucdinh">#REF!</definedName>
    <definedName name="CotPhi">#REF!</definedName>
    <definedName name="CotSPT">#REF!</definedName>
    <definedName name="Cotthep">Material!$C$12:$J$20</definedName>
    <definedName name="CotTrangthai">#REF!</definedName>
    <definedName name="CSetNhoi">'Tab For Pile'!$P$19:$Y$31</definedName>
    <definedName name="CSTT">#REF!</definedName>
    <definedName name="Date">Begin!$B$15</definedName>
    <definedName name="Design1">Begin!$B$10</definedName>
    <definedName name="Design2">Begin!$B$11</definedName>
    <definedName name="DesignC">Begin!$B$8</definedName>
    <definedName name="DKTHEP">Section!$A$5:$A$17</definedName>
    <definedName name="DT" localSheetId="8">[2]Sheet1!TLTH1</definedName>
    <definedName name="DTdat">'Tab For Pile'!$AI$13:$AI$20</definedName>
    <definedName name="EBT">#REF!</definedName>
    <definedName name="Gammadaynoi">#REF!</definedName>
    <definedName name="GammaHat">#REF!</definedName>
    <definedName name="GEODATA">#REF!</definedName>
    <definedName name="GMSTB">#REF!</definedName>
    <definedName name="GMTB">#REF!</definedName>
    <definedName name="HOKHOAN">#REF!</definedName>
    <definedName name="HTML_CodePage" hidden="1">950</definedName>
    <definedName name="HTML_Control" localSheetId="6" hidden="1">{"'Sheet1'!$L$16"}</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localSheetId="6" hidden="1">{"'Sheet1'!$L$16"}</definedName>
    <definedName name="huy" hidden="1">{"'Sheet1'!$L$16"}</definedName>
    <definedName name="JobNo">Begin!$B$3</definedName>
    <definedName name="Lang.">Begin!$B$16</definedName>
    <definedName name="Language">#REF!</definedName>
    <definedName name="LAYERNAME">#REF!</definedName>
    <definedName name="LDTB">#REF!</definedName>
    <definedName name="Loaicoc">#REF!</definedName>
    <definedName name="Loaitd">#REF!</definedName>
    <definedName name="Mainds">Begin!$B$9</definedName>
    <definedName name="Masat">'Tab For Pile'!$B$4:$N$19</definedName>
    <definedName name="Name">Begin!$B$4</definedName>
    <definedName name="NUOCNGAM">#REF!</definedName>
    <definedName name="Position">Begin!$B$6</definedName>
    <definedName name="_xlnm.Print_Area" localSheetId="5">'HK25'!$A$1:$L$42</definedName>
    <definedName name="_xlnm.Print_Area" localSheetId="4">'Material Precast Hollow Pile'!$A$1:$H$37</definedName>
    <definedName name="_xlnm.Print_Area" localSheetId="3">'Material Precast Pile'!$A$1:$H$37</definedName>
    <definedName name="_xlnm.Print_Area" localSheetId="6">'PILE SUMMARY'!$B$1:$M$97</definedName>
    <definedName name="_xlnm.Print_Area" localSheetId="2">Section!$A$1:$M$17</definedName>
    <definedName name="_xlnm.Print_Titles" localSheetId="5">'HK25'!#REF!</definedName>
    <definedName name="Revision">Begin!$B$14</definedName>
    <definedName name="SCTVL">#REF!</definedName>
    <definedName name="SCTVLUST">#REF!</definedName>
    <definedName name="TENCOC">#REF!</definedName>
    <definedName name="THEPCOC">#REF!</definedName>
    <definedName name="Thietke">Begin!$B$7</definedName>
    <definedName name="TRANGTHAI">#REF!</definedName>
    <definedName name="Writer">Begin!$B$12</definedName>
  </definedNames>
  <calcPr calcId="162913"/>
</workbook>
</file>

<file path=xl/calcChain.xml><?xml version="1.0" encoding="utf-8"?>
<calcChain xmlns="http://schemas.openxmlformats.org/spreadsheetml/2006/main">
  <c r="E82" i="334" l="1"/>
  <c r="J33" i="260" l="1"/>
  <c r="J36" i="260"/>
  <c r="J38" i="260" l="1"/>
  <c r="B31" i="260"/>
  <c r="B24" i="260"/>
  <c r="B19" i="260"/>
  <c r="B14" i="260"/>
  <c r="A42" i="334"/>
  <c r="A58" i="334" s="1"/>
  <c r="A63" i="334"/>
  <c r="A64" i="334"/>
  <c r="A65" i="334"/>
  <c r="A66" i="334"/>
  <c r="A67" i="334"/>
  <c r="A68" i="334"/>
  <c r="A69" i="334"/>
  <c r="A70" i="334"/>
  <c r="A71" i="334"/>
  <c r="A72" i="334"/>
  <c r="A73" i="334"/>
  <c r="A74" i="334"/>
  <c r="A75" i="334"/>
  <c r="A62" i="334"/>
  <c r="A60" i="334"/>
  <c r="A61" i="334" s="1"/>
  <c r="A59" i="334"/>
  <c r="A45" i="334"/>
  <c r="A46" i="334"/>
  <c r="A47" i="334"/>
  <c r="A48" i="334"/>
  <c r="A49" i="334"/>
  <c r="A50" i="334"/>
  <c r="A51" i="334"/>
  <c r="A52" i="334"/>
  <c r="A53" i="334"/>
  <c r="A54" i="334"/>
  <c r="A55" i="334"/>
  <c r="A56" i="334"/>
  <c r="A57" i="334"/>
  <c r="A44" i="334"/>
  <c r="A41" i="334"/>
  <c r="A27" i="334"/>
  <c r="A28" i="334"/>
  <c r="A29" i="334"/>
  <c r="A30" i="334"/>
  <c r="A31" i="334"/>
  <c r="A32" i="334"/>
  <c r="A33" i="334"/>
  <c r="A34" i="334"/>
  <c r="A35" i="334"/>
  <c r="A36" i="334"/>
  <c r="A37" i="334"/>
  <c r="A38" i="334"/>
  <c r="A39" i="334"/>
  <c r="A26" i="334"/>
  <c r="A93" i="334"/>
  <c r="A94" i="334"/>
  <c r="A95" i="334"/>
  <c r="A96" i="334"/>
  <c r="A92" i="334"/>
  <c r="M94" i="334"/>
  <c r="M95" i="334"/>
  <c r="M96" i="334"/>
  <c r="C82" i="334"/>
  <c r="I92" i="334" s="1"/>
  <c r="C86" i="334"/>
  <c r="F96" i="334" s="1"/>
  <c r="N76" i="334"/>
  <c r="N75" i="334"/>
  <c r="N74" i="334"/>
  <c r="N73" i="334"/>
  <c r="N72" i="334"/>
  <c r="N71" i="334"/>
  <c r="O35" i="334" s="1"/>
  <c r="N70" i="334"/>
  <c r="N69" i="334"/>
  <c r="N68" i="334"/>
  <c r="N67" i="334"/>
  <c r="N66" i="334"/>
  <c r="N65" i="334"/>
  <c r="N64" i="334"/>
  <c r="N63" i="334"/>
  <c r="N62" i="334"/>
  <c r="N58" i="334"/>
  <c r="N57" i="334"/>
  <c r="N56" i="334"/>
  <c r="N55" i="334"/>
  <c r="N54" i="334"/>
  <c r="N53" i="334"/>
  <c r="N52" i="334"/>
  <c r="N51" i="334"/>
  <c r="N50" i="334"/>
  <c r="O32" i="334" s="1"/>
  <c r="N49" i="334"/>
  <c r="N48" i="334"/>
  <c r="N47" i="334"/>
  <c r="N46" i="334"/>
  <c r="N45" i="334"/>
  <c r="N44" i="334"/>
  <c r="N27" i="334"/>
  <c r="O27" i="334" s="1"/>
  <c r="N28" i="334"/>
  <c r="N29" i="334"/>
  <c r="N30" i="334"/>
  <c r="N31" i="334"/>
  <c r="N32" i="334"/>
  <c r="N33" i="334"/>
  <c r="N34" i="334"/>
  <c r="N35" i="334"/>
  <c r="N36" i="334"/>
  <c r="N37" i="334"/>
  <c r="N38" i="334"/>
  <c r="N39" i="334"/>
  <c r="N40" i="334"/>
  <c r="N26" i="334"/>
  <c r="C85" i="334"/>
  <c r="F95" i="334" s="1"/>
  <c r="C84" i="334"/>
  <c r="G94" i="334" s="1"/>
  <c r="C83" i="334"/>
  <c r="G93" i="334" s="1"/>
  <c r="M12" i="334"/>
  <c r="G32" i="331"/>
  <c r="G30" i="331"/>
  <c r="G27" i="331"/>
  <c r="B24" i="331"/>
  <c r="B23" i="331"/>
  <c r="B36" i="331"/>
  <c r="B35" i="331"/>
  <c r="A34" i="331"/>
  <c r="B33" i="331"/>
  <c r="B32" i="331"/>
  <c r="B31" i="331"/>
  <c r="B30" i="331"/>
  <c r="H29" i="331"/>
  <c r="B29" i="331"/>
  <c r="B28" i="331"/>
  <c r="B27" i="331"/>
  <c r="B26" i="331"/>
  <c r="B25" i="331"/>
  <c r="A22" i="331"/>
  <c r="G21" i="331"/>
  <c r="B21" i="331"/>
  <c r="G20" i="331"/>
  <c r="B20" i="331"/>
  <c r="B19" i="331"/>
  <c r="G18" i="331"/>
  <c r="B18" i="331"/>
  <c r="B17" i="331"/>
  <c r="H16" i="331"/>
  <c r="G17" i="331" s="1"/>
  <c r="G34" i="331" s="1"/>
  <c r="G36" i="331" s="1"/>
  <c r="B16" i="331"/>
  <c r="A15" i="331"/>
  <c r="A14" i="331"/>
  <c r="C12" i="331"/>
  <c r="C11" i="331"/>
  <c r="C10" i="331"/>
  <c r="C9" i="331"/>
  <c r="B8" i="331"/>
  <c r="F6" i="331"/>
  <c r="B6" i="331"/>
  <c r="A5" i="331"/>
  <c r="B6" i="291"/>
  <c r="A34" i="291"/>
  <c r="A23" i="291"/>
  <c r="A15" i="291"/>
  <c r="A5" i="291"/>
  <c r="B35" i="291"/>
  <c r="B32" i="260"/>
  <c r="B30" i="260"/>
  <c r="A29" i="260"/>
  <c r="B7" i="260"/>
  <c r="B17" i="291"/>
  <c r="B16" i="291"/>
  <c r="B36" i="291"/>
  <c r="B33" i="291"/>
  <c r="B32" i="291"/>
  <c r="B31" i="291"/>
  <c r="B30" i="291"/>
  <c r="B29" i="291"/>
  <c r="B28" i="291"/>
  <c r="B27" i="291"/>
  <c r="B26" i="291"/>
  <c r="B25" i="291"/>
  <c r="B24" i="291"/>
  <c r="B21" i="291"/>
  <c r="B20" i="291"/>
  <c r="B19" i="291"/>
  <c r="B18" i="291"/>
  <c r="A14" i="291"/>
  <c r="C11" i="291"/>
  <c r="C12" i="291"/>
  <c r="C10" i="291"/>
  <c r="C9" i="291"/>
  <c r="B8" i="291"/>
  <c r="H16" i="291"/>
  <c r="G17" i="291" s="1"/>
  <c r="G21" i="291"/>
  <c r="G33" i="291" s="1"/>
  <c r="G18" i="291"/>
  <c r="G27" i="291"/>
  <c r="R2" i="316"/>
  <c r="S2" i="316"/>
  <c r="T2" i="316"/>
  <c r="U2" i="316"/>
  <c r="V2" i="316"/>
  <c r="W2" i="316"/>
  <c r="X2" i="316"/>
  <c r="Y2" i="316"/>
  <c r="Z2" i="316"/>
  <c r="AA2" i="316"/>
  <c r="B12" i="316"/>
  <c r="B13" i="316"/>
  <c r="B14" i="316"/>
  <c r="C14" i="316"/>
  <c r="C18" i="316"/>
  <c r="D18" i="316"/>
  <c r="E18" i="316" s="1"/>
  <c r="F18" i="316" s="1"/>
  <c r="G18" i="316" s="1"/>
  <c r="H18" i="316" s="1"/>
  <c r="I18" i="316" s="1"/>
  <c r="J18" i="316" s="1"/>
  <c r="K18" i="316" s="1"/>
  <c r="L18" i="316" s="1"/>
  <c r="N18" i="316" s="1"/>
  <c r="A20" i="316"/>
  <c r="A21" i="316"/>
  <c r="A22" i="316"/>
  <c r="A23" i="316" s="1"/>
  <c r="A24" i="316" s="1"/>
  <c r="A25" i="316" s="1"/>
  <c r="A26" i="316" s="1"/>
  <c r="A27" i="316" s="1"/>
  <c r="A28" i="316" s="1"/>
  <c r="A29" i="316" s="1"/>
  <c r="A30" i="316" s="1"/>
  <c r="A31" i="316" s="1"/>
  <c r="A32" i="316" s="1"/>
  <c r="A33" i="316" s="1"/>
  <c r="A34" i="316" s="1"/>
  <c r="A35" i="316" s="1"/>
  <c r="A36" i="316" s="1"/>
  <c r="A37" i="316" s="1"/>
  <c r="A38" i="316" s="1"/>
  <c r="A39" i="316" s="1"/>
  <c r="A40" i="316" s="1"/>
  <c r="A46" i="316"/>
  <c r="A47" i="316"/>
  <c r="A48" i="316" s="1"/>
  <c r="A49" i="316" s="1"/>
  <c r="A50" i="316" s="1"/>
  <c r="A51" i="316" s="1"/>
  <c r="A52" i="316" s="1"/>
  <c r="A53" i="316" s="1"/>
  <c r="A54" i="316" s="1"/>
  <c r="A55" i="316" s="1"/>
  <c r="A56" i="316" s="1"/>
  <c r="A57" i="316" s="1"/>
  <c r="A59" i="316"/>
  <c r="A60" i="316"/>
  <c r="A61" i="316" s="1"/>
  <c r="A62" i="316" s="1"/>
  <c r="A63" i="316" s="1"/>
  <c r="A64" i="316" s="1"/>
  <c r="A65" i="316" s="1"/>
  <c r="B72" i="316"/>
  <c r="B73" i="316"/>
  <c r="B74" i="316"/>
  <c r="B75" i="316"/>
  <c r="B76" i="316"/>
  <c r="B77" i="316"/>
  <c r="B78" i="316"/>
  <c r="B79" i="316"/>
  <c r="B80" i="316"/>
  <c r="B81" i="316"/>
  <c r="B82" i="316"/>
  <c r="B83" i="316"/>
  <c r="B84" i="316"/>
  <c r="B85" i="316"/>
  <c r="B86" i="316"/>
  <c r="B87" i="316"/>
  <c r="B88" i="316"/>
  <c r="B89" i="316"/>
  <c r="B90" i="316"/>
  <c r="B91" i="316"/>
  <c r="B92" i="316"/>
  <c r="B93" i="316"/>
  <c r="B94" i="316"/>
  <c r="B95" i="316"/>
  <c r="B96" i="316"/>
  <c r="B97" i="316"/>
  <c r="B98" i="316"/>
  <c r="B99" i="316"/>
  <c r="B100" i="316"/>
  <c r="B101" i="316"/>
  <c r="B102" i="316"/>
  <c r="B103" i="316"/>
  <c r="B104" i="316"/>
  <c r="B105" i="316"/>
  <c r="B106" i="316"/>
  <c r="B107" i="316"/>
  <c r="B108" i="316"/>
  <c r="B109" i="316"/>
  <c r="B110" i="316"/>
  <c r="B111" i="316"/>
  <c r="B112" i="316"/>
  <c r="B113" i="316"/>
  <c r="B114" i="316"/>
  <c r="B115" i="316"/>
  <c r="B116" i="316"/>
  <c r="B117" i="316"/>
  <c r="B118" i="316"/>
  <c r="B119" i="316"/>
  <c r="B120" i="316"/>
  <c r="B121" i="316"/>
  <c r="B122" i="316"/>
  <c r="B123" i="316"/>
  <c r="B124" i="316"/>
  <c r="B125" i="316"/>
  <c r="B126" i="316"/>
  <c r="B127" i="316"/>
  <c r="B128" i="316"/>
  <c r="B129" i="316"/>
  <c r="B130" i="316"/>
  <c r="B131" i="316"/>
  <c r="B132" i="316"/>
  <c r="B133" i="316"/>
  <c r="B134" i="316"/>
  <c r="B135" i="316"/>
  <c r="B136" i="316"/>
  <c r="B137" i="316"/>
  <c r="B138" i="316"/>
  <c r="B139" i="316"/>
  <c r="B140" i="316"/>
  <c r="B141" i="316"/>
  <c r="B142" i="316"/>
  <c r="B143" i="316"/>
  <c r="B150" i="316"/>
  <c r="D150" i="316"/>
  <c r="B151" i="316"/>
  <c r="D151" i="316"/>
  <c r="B152" i="316"/>
  <c r="D152" i="316"/>
  <c r="B153" i="316"/>
  <c r="D153" i="316"/>
  <c r="B154" i="316"/>
  <c r="D154" i="316"/>
  <c r="B155" i="316"/>
  <c r="D155" i="316"/>
  <c r="B156" i="316"/>
  <c r="D156" i="316"/>
  <c r="B157" i="316"/>
  <c r="D157" i="316"/>
  <c r="B158" i="316"/>
  <c r="D158" i="316"/>
  <c r="B159" i="316"/>
  <c r="B160" i="316"/>
  <c r="D160" i="316"/>
  <c r="B161" i="316"/>
  <c r="D161" i="316"/>
  <c r="B162" i="316"/>
  <c r="B163" i="316"/>
  <c r="D163" i="316"/>
  <c r="B164" i="316"/>
  <c r="B165" i="316"/>
  <c r="D165" i="316"/>
  <c r="B166" i="316"/>
  <c r="B167" i="316"/>
  <c r="D167" i="316"/>
  <c r="B168" i="316"/>
  <c r="D168" i="316"/>
  <c r="B169" i="316"/>
  <c r="D169" i="316"/>
  <c r="B170" i="316"/>
  <c r="D170" i="316"/>
  <c r="B171" i="316"/>
  <c r="D171" i="316"/>
  <c r="G30" i="291"/>
  <c r="G31" i="291" s="1"/>
  <c r="G32" i="291"/>
  <c r="G20" i="291"/>
  <c r="F6" i="291"/>
  <c r="H29" i="291"/>
  <c r="J7" i="117"/>
  <c r="J6" i="117"/>
  <c r="J8" i="117"/>
  <c r="C5" i="145"/>
  <c r="C6" i="145"/>
  <c r="C7" i="145"/>
  <c r="K7" i="145"/>
  <c r="C8" i="145"/>
  <c r="C9" i="145"/>
  <c r="C10" i="145"/>
  <c r="D10" i="145"/>
  <c r="C11" i="145"/>
  <c r="J11" i="145"/>
  <c r="C12" i="145"/>
  <c r="C13" i="145"/>
  <c r="E13" i="145" s="1"/>
  <c r="K13" i="145"/>
  <c r="C14" i="145"/>
  <c r="C15" i="145"/>
  <c r="C16" i="145"/>
  <c r="G16" i="145" s="1"/>
  <c r="C17" i="145"/>
  <c r="G17" i="145" s="1"/>
  <c r="B17" i="145"/>
  <c r="M17" i="145" s="1"/>
  <c r="B22" i="145"/>
  <c r="D22" i="145" s="1"/>
  <c r="M22" i="145" s="1"/>
  <c r="C22" i="145"/>
  <c r="G22" i="145"/>
  <c r="L22" i="145" s="1"/>
  <c r="N22" i="145" s="1"/>
  <c r="O22" i="145" s="1"/>
  <c r="J22" i="145"/>
  <c r="B23" i="145"/>
  <c r="D23" i="145" s="1"/>
  <c r="C23" i="145"/>
  <c r="G23" i="145"/>
  <c r="L23" i="145" s="1"/>
  <c r="J23" i="145"/>
  <c r="M23" i="145" s="1"/>
  <c r="B24" i="145"/>
  <c r="D24" i="145"/>
  <c r="C24" i="145"/>
  <c r="G24" i="145"/>
  <c r="J24" i="145"/>
  <c r="B25" i="145"/>
  <c r="D25" i="145" s="1"/>
  <c r="M25" i="145" s="1"/>
  <c r="C25" i="145"/>
  <c r="L25" i="145" s="1"/>
  <c r="G25" i="145"/>
  <c r="J25" i="145"/>
  <c r="B26" i="145"/>
  <c r="D26" i="145" s="1"/>
  <c r="M26" i="145" s="1"/>
  <c r="C26" i="145"/>
  <c r="G26" i="145"/>
  <c r="L26" i="145" s="1"/>
  <c r="N26" i="145" s="1"/>
  <c r="O26" i="145" s="1"/>
  <c r="J26" i="145"/>
  <c r="B27" i="145"/>
  <c r="D27" i="145" s="1"/>
  <c r="M27" i="145" s="1"/>
  <c r="N27" i="145" s="1"/>
  <c r="O27" i="145" s="1"/>
  <c r="C27" i="145"/>
  <c r="G27" i="145"/>
  <c r="K27" i="145" s="1"/>
  <c r="J27" i="145"/>
  <c r="B28" i="145"/>
  <c r="D28" i="145" s="1"/>
  <c r="M28" i="145" s="1"/>
  <c r="C28" i="145"/>
  <c r="G28" i="145"/>
  <c r="L28" i="145" s="1"/>
  <c r="J28" i="145"/>
  <c r="B29" i="145"/>
  <c r="D29" i="145" s="1"/>
  <c r="C29" i="145"/>
  <c r="G29" i="145"/>
  <c r="L29" i="145" s="1"/>
  <c r="N29" i="145" s="1"/>
  <c r="O29" i="145" s="1"/>
  <c r="J29" i="145"/>
  <c r="M29" i="145" s="1"/>
  <c r="B31" i="145"/>
  <c r="D31" i="145" s="1"/>
  <c r="M31" i="145" s="1"/>
  <c r="N31" i="145" s="1"/>
  <c r="O31" i="145" s="1"/>
  <c r="C31" i="145"/>
  <c r="L31" i="145"/>
  <c r="J31" i="145"/>
  <c r="B33" i="145"/>
  <c r="D33" i="145" s="1"/>
  <c r="M33" i="145" s="1"/>
  <c r="C33" i="145"/>
  <c r="G33" i="145"/>
  <c r="L33" i="145" s="1"/>
  <c r="J33" i="145"/>
  <c r="B34" i="145"/>
  <c r="D34" i="145" s="1"/>
  <c r="M34" i="145" s="1"/>
  <c r="C34" i="145"/>
  <c r="E34" i="145"/>
  <c r="F34" i="145"/>
  <c r="J34" i="145"/>
  <c r="B35" i="145"/>
  <c r="D35" i="145" s="1"/>
  <c r="M35" i="145" s="1"/>
  <c r="C35" i="145"/>
  <c r="G35" i="145"/>
  <c r="L35" i="145" s="1"/>
  <c r="N35" i="145" s="1"/>
  <c r="O35" i="145" s="1"/>
  <c r="J35" i="145"/>
  <c r="B36" i="145"/>
  <c r="D36" i="145" s="1"/>
  <c r="C36" i="145"/>
  <c r="E36" i="145"/>
  <c r="F36" i="145"/>
  <c r="J36" i="145"/>
  <c r="B37" i="145"/>
  <c r="D37" i="145" s="1"/>
  <c r="C37" i="145"/>
  <c r="G37" i="145"/>
  <c r="J37" i="145"/>
  <c r="B38" i="145"/>
  <c r="D38" i="145" s="1"/>
  <c r="M38" i="145" s="1"/>
  <c r="C38" i="145"/>
  <c r="E38" i="145"/>
  <c r="F38" i="145"/>
  <c r="J38" i="145"/>
  <c r="B39" i="145"/>
  <c r="D39" i="145" s="1"/>
  <c r="C39" i="145"/>
  <c r="G39" i="145"/>
  <c r="J39" i="145"/>
  <c r="M39" i="145" s="1"/>
  <c r="N39" i="145" s="1"/>
  <c r="O39" i="145" s="1"/>
  <c r="B40" i="145"/>
  <c r="D40" i="145" s="1"/>
  <c r="M40" i="145" s="1"/>
  <c r="C40" i="145"/>
  <c r="E40" i="145"/>
  <c r="F40" i="145"/>
  <c r="J40" i="145"/>
  <c r="B41" i="145"/>
  <c r="D41" i="145"/>
  <c r="M41" i="145" s="1"/>
  <c r="C41" i="145"/>
  <c r="G41" i="145"/>
  <c r="J41" i="145"/>
  <c r="B42" i="145"/>
  <c r="D42" i="145"/>
  <c r="C42" i="145"/>
  <c r="E42" i="145"/>
  <c r="F42" i="145"/>
  <c r="J42" i="145"/>
  <c r="B43" i="145"/>
  <c r="D43" i="145"/>
  <c r="C43" i="145"/>
  <c r="G43" i="145"/>
  <c r="J43" i="145"/>
  <c r="B44" i="145"/>
  <c r="D44" i="145" s="1"/>
  <c r="M44" i="145" s="1"/>
  <c r="C44" i="145"/>
  <c r="F44" i="145"/>
  <c r="J44" i="145"/>
  <c r="B45" i="145"/>
  <c r="D45" i="145"/>
  <c r="C45" i="145"/>
  <c r="G45" i="145"/>
  <c r="J45" i="145"/>
  <c r="B46" i="145"/>
  <c r="D46" i="145" s="1"/>
  <c r="M46" i="145" s="1"/>
  <c r="C46" i="145"/>
  <c r="E46" i="145"/>
  <c r="F46" i="145"/>
  <c r="J46" i="145"/>
  <c r="B47" i="145"/>
  <c r="D47" i="145"/>
  <c r="M47" i="145" s="1"/>
  <c r="N47" i="145" s="1"/>
  <c r="O47" i="145" s="1"/>
  <c r="C47" i="145"/>
  <c r="G47" i="145"/>
  <c r="J47" i="145"/>
  <c r="B48" i="145"/>
  <c r="D48" i="145"/>
  <c r="C48" i="145"/>
  <c r="E48" i="145"/>
  <c r="F48" i="145"/>
  <c r="J48" i="145"/>
  <c r="M48" i="145" s="1"/>
  <c r="N48" i="145" s="1"/>
  <c r="O48" i="145" s="1"/>
  <c r="B49" i="145"/>
  <c r="D49" i="145" s="1"/>
  <c r="M49" i="145" s="1"/>
  <c r="N49" i="145" s="1"/>
  <c r="O49" i="145" s="1"/>
  <c r="C49" i="145"/>
  <c r="G49" i="145"/>
  <c r="G50" i="145" s="1"/>
  <c r="L50" i="145" s="1"/>
  <c r="N50" i="145" s="1"/>
  <c r="O50" i="145" s="1"/>
  <c r="J49" i="145"/>
  <c r="B50" i="145"/>
  <c r="D50" i="145"/>
  <c r="C50" i="145"/>
  <c r="E50" i="145"/>
  <c r="F50" i="145"/>
  <c r="J50" i="145"/>
  <c r="B51" i="145"/>
  <c r="D51" i="145"/>
  <c r="C51" i="145"/>
  <c r="G51" i="145"/>
  <c r="J51" i="145"/>
  <c r="M51" i="145" s="1"/>
  <c r="B52" i="145"/>
  <c r="D52" i="145" s="1"/>
  <c r="M52" i="145" s="1"/>
  <c r="N52" i="145" s="1"/>
  <c r="O52" i="145" s="1"/>
  <c r="C52" i="145"/>
  <c r="E52" i="145"/>
  <c r="F52" i="145"/>
  <c r="J52" i="145"/>
  <c r="B53" i="145"/>
  <c r="D53" i="145" s="1"/>
  <c r="M53" i="145" s="1"/>
  <c r="C53" i="145"/>
  <c r="G53" i="145"/>
  <c r="L53" i="145" s="1"/>
  <c r="J53" i="145"/>
  <c r="B54" i="145"/>
  <c r="D54" i="145" s="1"/>
  <c r="M54" i="145" s="1"/>
  <c r="C54" i="145"/>
  <c r="E54" i="145"/>
  <c r="F54" i="145"/>
  <c r="J54" i="145"/>
  <c r="B55" i="145"/>
  <c r="D55" i="145" s="1"/>
  <c r="M55" i="145" s="1"/>
  <c r="C55" i="145"/>
  <c r="G55" i="145"/>
  <c r="J55" i="145"/>
  <c r="B56" i="145"/>
  <c r="D56" i="145"/>
  <c r="C56" i="145"/>
  <c r="E56" i="145"/>
  <c r="F56" i="145"/>
  <c r="J56" i="145"/>
  <c r="B57" i="145"/>
  <c r="D57" i="145"/>
  <c r="C57" i="145"/>
  <c r="G57" i="145"/>
  <c r="L57" i="145" s="1"/>
  <c r="N57" i="145" s="1"/>
  <c r="O57" i="145" s="1"/>
  <c r="J57" i="145"/>
  <c r="B58" i="145"/>
  <c r="D58" i="145"/>
  <c r="M58" i="145" s="1"/>
  <c r="C58" i="145"/>
  <c r="E58" i="145"/>
  <c r="F58" i="145"/>
  <c r="J58" i="145"/>
  <c r="B60" i="145"/>
  <c r="D60" i="145" s="1"/>
  <c r="M60" i="145" s="1"/>
  <c r="C60" i="145"/>
  <c r="L60" i="145" s="1"/>
  <c r="J60" i="145"/>
  <c r="B61" i="145"/>
  <c r="D61" i="145"/>
  <c r="C61" i="145"/>
  <c r="E61" i="145"/>
  <c r="F61" i="145"/>
  <c r="G61" i="145"/>
  <c r="J61" i="145"/>
  <c r="B62" i="145"/>
  <c r="D62" i="145" s="1"/>
  <c r="M62" i="145" s="1"/>
  <c r="C62" i="145"/>
  <c r="L62" i="145" s="1"/>
  <c r="N62" i="145" s="1"/>
  <c r="O62" i="145" s="1"/>
  <c r="J62" i="145"/>
  <c r="K62" i="145"/>
  <c r="B63" i="145"/>
  <c r="D63" i="145"/>
  <c r="C63" i="145"/>
  <c r="E63" i="145"/>
  <c r="F63" i="145"/>
  <c r="G63" i="145"/>
  <c r="J63" i="145"/>
  <c r="M63" i="145" s="1"/>
  <c r="N63" i="145" s="1"/>
  <c r="O63" i="145" s="1"/>
  <c r="B64" i="145"/>
  <c r="D64" i="145" s="1"/>
  <c r="C64" i="145"/>
  <c r="L64" i="145" s="1"/>
  <c r="J64" i="145"/>
  <c r="M64" i="145" s="1"/>
  <c r="B65" i="145"/>
  <c r="D65" i="145" s="1"/>
  <c r="M65" i="145" s="1"/>
  <c r="C65" i="145"/>
  <c r="E65" i="145"/>
  <c r="F65" i="145"/>
  <c r="G65" i="145"/>
  <c r="K65" i="145" s="1"/>
  <c r="J65" i="145"/>
  <c r="B66" i="145"/>
  <c r="D66" i="145" s="1"/>
  <c r="M66" i="145" s="1"/>
  <c r="C66" i="145"/>
  <c r="L66" i="145" s="1"/>
  <c r="J66" i="145"/>
  <c r="K66" i="145"/>
  <c r="B67" i="145"/>
  <c r="D67" i="145" s="1"/>
  <c r="M67" i="145" s="1"/>
  <c r="C67" i="145"/>
  <c r="L67" i="145" s="1"/>
  <c r="N67" i="145" s="1"/>
  <c r="O67" i="145" s="1"/>
  <c r="E67" i="145"/>
  <c r="F67" i="145"/>
  <c r="G67" i="145"/>
  <c r="J67" i="145"/>
  <c r="B69" i="145"/>
  <c r="D69" i="145" s="1"/>
  <c r="M69" i="145" s="1"/>
  <c r="N69" i="145" s="1"/>
  <c r="O69" i="145" s="1"/>
  <c r="C69" i="145"/>
  <c r="L69" i="145"/>
  <c r="J69" i="145"/>
  <c r="K69" i="145" s="1"/>
  <c r="B70" i="145"/>
  <c r="D70" i="145" s="1"/>
  <c r="C70" i="145"/>
  <c r="L70" i="145"/>
  <c r="E70" i="145"/>
  <c r="F70" i="145"/>
  <c r="G70" i="145"/>
  <c r="J70" i="145"/>
  <c r="M70" i="145" s="1"/>
  <c r="N70" i="145" s="1"/>
  <c r="O70" i="145" s="1"/>
  <c r="B71" i="145"/>
  <c r="D71" i="145"/>
  <c r="C71" i="145"/>
  <c r="L71" i="145" s="1"/>
  <c r="J71" i="145"/>
  <c r="M71" i="145" s="1"/>
  <c r="B72" i="145"/>
  <c r="D72" i="145" s="1"/>
  <c r="M72" i="145" s="1"/>
  <c r="N72" i="145" s="1"/>
  <c r="O72" i="145" s="1"/>
  <c r="C72" i="145"/>
  <c r="E72" i="145"/>
  <c r="F72" i="145"/>
  <c r="G72" i="145"/>
  <c r="L72" i="145"/>
  <c r="J72" i="145"/>
  <c r="K72" i="145" s="1"/>
  <c r="T3" i="117"/>
  <c r="J4" i="117"/>
  <c r="T4" i="117"/>
  <c r="J5" i="117"/>
  <c r="T5" i="117"/>
  <c r="T6" i="117"/>
  <c r="T7" i="117"/>
  <c r="T8" i="117"/>
  <c r="J9" i="117"/>
  <c r="T9" i="117"/>
  <c r="H17" i="145"/>
  <c r="L16" i="145"/>
  <c r="G11" i="145"/>
  <c r="B7" i="145"/>
  <c r="M7" i="145"/>
  <c r="I7" i="145"/>
  <c r="I17" i="145"/>
  <c r="F14" i="145"/>
  <c r="I13" i="145"/>
  <c r="N84" i="334"/>
  <c r="E84" i="334" s="1"/>
  <c r="N83" i="334"/>
  <c r="E83" i="334" s="1"/>
  <c r="N86" i="334"/>
  <c r="E86" i="334" s="1"/>
  <c r="N85" i="334"/>
  <c r="E85" i="334" s="1"/>
  <c r="H92" i="334"/>
  <c r="L9" i="145"/>
  <c r="F9" i="145"/>
  <c r="K9" i="145"/>
  <c r="I9" i="145"/>
  <c r="J9" i="145"/>
  <c r="G46" i="145"/>
  <c r="K45" i="145"/>
  <c r="K10" i="145"/>
  <c r="B10" i="145"/>
  <c r="M10" i="145"/>
  <c r="I10" i="145"/>
  <c r="L10" i="145"/>
  <c r="H10" i="145"/>
  <c r="E10" i="145"/>
  <c r="G10" i="145"/>
  <c r="K31" i="145"/>
  <c r="K11" i="145"/>
  <c r="H11" i="145"/>
  <c r="D11" i="145"/>
  <c r="F11" i="145"/>
  <c r="B11" i="145"/>
  <c r="M11" i="145" s="1"/>
  <c r="E11" i="145"/>
  <c r="L11" i="145"/>
  <c r="I11" i="145"/>
  <c r="J14" i="145"/>
  <c r="E8" i="145"/>
  <c r="L8" i="145"/>
  <c r="D13" i="145"/>
  <c r="F13" i="145"/>
  <c r="G13" i="145"/>
  <c r="B13" i="145"/>
  <c r="M13" i="145"/>
  <c r="L13" i="145"/>
  <c r="H13" i="145"/>
  <c r="J13" i="145"/>
  <c r="G52" i="145"/>
  <c r="K51" i="145"/>
  <c r="B5" i="145"/>
  <c r="M5" i="145" s="1"/>
  <c r="G5" i="145"/>
  <c r="K60" i="145"/>
  <c r="K17" i="145"/>
  <c r="M93" i="334"/>
  <c r="K93" i="334"/>
  <c r="L39" i="145"/>
  <c r="G40" i="145"/>
  <c r="L40" i="145" s="1"/>
  <c r="K35" i="145"/>
  <c r="M24" i="145"/>
  <c r="K40" i="145"/>
  <c r="K46" i="145"/>
  <c r="L46" i="145"/>
  <c r="N46" i="145" s="1"/>
  <c r="O46" i="145" s="1"/>
  <c r="K39" i="145"/>
  <c r="L51" i="145"/>
  <c r="M50" i="145"/>
  <c r="K28" i="145"/>
  <c r="L45" i="145"/>
  <c r="K43" i="145"/>
  <c r="M43" i="145"/>
  <c r="G34" i="145"/>
  <c r="L34" i="145" s="1"/>
  <c r="N34" i="145" s="1"/>
  <c r="O34" i="145" s="1"/>
  <c r="G12" i="145"/>
  <c r="K34" i="145"/>
  <c r="L61" i="145"/>
  <c r="M42" i="145"/>
  <c r="K33" i="145"/>
  <c r="B8" i="145"/>
  <c r="M8" i="145"/>
  <c r="K8" i="145"/>
  <c r="H8" i="145"/>
  <c r="B6" i="145"/>
  <c r="M6" i="145" s="1"/>
  <c r="D6" i="145"/>
  <c r="G6" i="145"/>
  <c r="F6" i="145"/>
  <c r="E6" i="145"/>
  <c r="L6" i="145"/>
  <c r="G8" i="145"/>
  <c r="H6" i="145"/>
  <c r="G44" i="145"/>
  <c r="K44" i="145" s="1"/>
  <c r="K29" i="145"/>
  <c r="D16" i="145"/>
  <c r="D15" i="145"/>
  <c r="J15" i="145"/>
  <c r="E15" i="145"/>
  <c r="K6" i="145"/>
  <c r="J6" i="145"/>
  <c r="F8" i="145"/>
  <c r="G54" i="145"/>
  <c r="K54" i="145" s="1"/>
  <c r="L49" i="145"/>
  <c r="K47" i="145"/>
  <c r="L27" i="145"/>
  <c r="K16" i="145"/>
  <c r="D14" i="145"/>
  <c r="I14" i="145"/>
  <c r="K14" i="145"/>
  <c r="D12" i="145"/>
  <c r="F12" i="145"/>
  <c r="H12" i="145"/>
  <c r="E12" i="145"/>
  <c r="I12" i="145"/>
  <c r="E9" i="145"/>
  <c r="G9" i="145"/>
  <c r="D9" i="145"/>
  <c r="H9" i="145"/>
  <c r="B9" i="145"/>
  <c r="M9" i="145"/>
  <c r="J7" i="145"/>
  <c r="G7" i="145"/>
  <c r="F7" i="145"/>
  <c r="D5" i="145"/>
  <c r="L5" i="145"/>
  <c r="I6" i="145"/>
  <c r="J8" i="145"/>
  <c r="D8" i="145"/>
  <c r="B16" i="145"/>
  <c r="M16" i="145" s="1"/>
  <c r="F16" i="145"/>
  <c r="H16" i="145"/>
  <c r="I16" i="145"/>
  <c r="I8" i="145"/>
  <c r="K23" i="145"/>
  <c r="L44" i="145"/>
  <c r="N44" i="145" s="1"/>
  <c r="O44" i="145" s="1"/>
  <c r="M56" i="145"/>
  <c r="M57" i="145"/>
  <c r="K57" i="145"/>
  <c r="K52" i="145"/>
  <c r="L52" i="145"/>
  <c r="B15" i="145"/>
  <c r="M15" i="145"/>
  <c r="L15" i="145"/>
  <c r="F15" i="145"/>
  <c r="G15" i="145"/>
  <c r="K15" i="145"/>
  <c r="I15" i="145"/>
  <c r="H15" i="145"/>
  <c r="L55" i="145"/>
  <c r="G56" i="145"/>
  <c r="L56" i="145"/>
  <c r="N56" i="145" s="1"/>
  <c r="O56" i="145" s="1"/>
  <c r="K55" i="145"/>
  <c r="K26" i="145"/>
  <c r="G42" i="145"/>
  <c r="L42" i="145" s="1"/>
  <c r="N42" i="145" s="1"/>
  <c r="O42" i="145" s="1"/>
  <c r="L41" i="145"/>
  <c r="K70" i="145"/>
  <c r="G14" i="145"/>
  <c r="E14" i="145"/>
  <c r="L14" i="145"/>
  <c r="B14" i="145"/>
  <c r="M14" i="145" s="1"/>
  <c r="I93" i="334"/>
  <c r="H14" i="145"/>
  <c r="K49" i="145"/>
  <c r="K41" i="145"/>
  <c r="J12" i="145"/>
  <c r="K12" i="145"/>
  <c r="E17" i="145"/>
  <c r="D17" i="145"/>
  <c r="F17" i="145"/>
  <c r="J17" i="145"/>
  <c r="L17" i="145"/>
  <c r="L12" i="145"/>
  <c r="K63" i="145"/>
  <c r="B12" i="145"/>
  <c r="M12" i="145"/>
  <c r="H7" i="145"/>
  <c r="D7" i="145"/>
  <c r="L7" i="145"/>
  <c r="G58" i="145"/>
  <c r="L58" i="145" s="1"/>
  <c r="J16" i="145"/>
  <c r="G33" i="331"/>
  <c r="G31" i="331"/>
  <c r="K42" i="145"/>
  <c r="M61" i="145"/>
  <c r="N61" i="145"/>
  <c r="O61" i="145" s="1"/>
  <c r="K61" i="145"/>
  <c r="K67" i="145"/>
  <c r="L47" i="145"/>
  <c r="G48" i="145"/>
  <c r="G38" i="145"/>
  <c r="L38" i="145"/>
  <c r="K37" i="145"/>
  <c r="L37" i="145"/>
  <c r="L43" i="145"/>
  <c r="N43" i="145"/>
  <c r="O43" i="145" s="1"/>
  <c r="K53" i="145"/>
  <c r="K56" i="145"/>
  <c r="K25" i="145"/>
  <c r="J5" i="145"/>
  <c r="F5" i="145"/>
  <c r="I5" i="145"/>
  <c r="H5" i="145"/>
  <c r="E5" i="145"/>
  <c r="E7" i="145"/>
  <c r="K24" i="145"/>
  <c r="L24" i="145"/>
  <c r="N24" i="145" s="1"/>
  <c r="O24" i="145" s="1"/>
  <c r="K5" i="145"/>
  <c r="K22" i="145"/>
  <c r="L63" i="145"/>
  <c r="J10" i="145"/>
  <c r="M45" i="145"/>
  <c r="N45" i="145"/>
  <c r="O45" i="145"/>
  <c r="F10" i="145"/>
  <c r="L48" i="145"/>
  <c r="K48" i="145"/>
  <c r="K38" i="145"/>
  <c r="O38" i="334"/>
  <c r="E93" i="334"/>
  <c r="A83" i="334"/>
  <c r="K94" i="334" l="1"/>
  <c r="J94" i="334"/>
  <c r="E94" i="334"/>
  <c r="O33" i="334"/>
  <c r="K96" i="334"/>
  <c r="A43" i="334"/>
  <c r="H96" i="334"/>
  <c r="E96" i="334"/>
  <c r="I96" i="334"/>
  <c r="H94" i="334"/>
  <c r="O34" i="334"/>
  <c r="A86" i="334"/>
  <c r="J96" i="334"/>
  <c r="A76" i="334"/>
  <c r="F94" i="334"/>
  <c r="O28" i="334"/>
  <c r="O37" i="334"/>
  <c r="I94" i="334"/>
  <c r="G96" i="334"/>
  <c r="A84" i="334"/>
  <c r="O31" i="334"/>
  <c r="O39" i="334"/>
  <c r="O40" i="334"/>
  <c r="K95" i="334"/>
  <c r="O30" i="334"/>
  <c r="G95" i="334"/>
  <c r="O36" i="334"/>
  <c r="H95" i="334"/>
  <c r="F93" i="334"/>
  <c r="A82" i="334"/>
  <c r="O29" i="334"/>
  <c r="O26" i="334"/>
  <c r="E95" i="334"/>
  <c r="A85" i="334"/>
  <c r="H93" i="334"/>
  <c r="K92" i="334"/>
  <c r="J95" i="334"/>
  <c r="J93" i="334"/>
  <c r="J92" i="334"/>
  <c r="I95" i="334"/>
  <c r="J39" i="260"/>
  <c r="N71" i="145"/>
  <c r="O71" i="145" s="1"/>
  <c r="N51" i="145"/>
  <c r="O51" i="145" s="1"/>
  <c r="N38" i="145"/>
  <c r="O38" i="145" s="1"/>
  <c r="N58" i="145"/>
  <c r="O58" i="145" s="1"/>
  <c r="N41" i="145"/>
  <c r="O41" i="145" s="1"/>
  <c r="N55" i="145"/>
  <c r="O55" i="145" s="1"/>
  <c r="N40" i="145"/>
  <c r="O40" i="145" s="1"/>
  <c r="N53" i="145"/>
  <c r="O53" i="145" s="1"/>
  <c r="M37" i="145"/>
  <c r="N37" i="145" s="1"/>
  <c r="O37" i="145" s="1"/>
  <c r="N66" i="145"/>
  <c r="O66" i="145" s="1"/>
  <c r="N60" i="145"/>
  <c r="O60" i="145" s="1"/>
  <c r="K50" i="145"/>
  <c r="N33" i="145"/>
  <c r="O33" i="145" s="1"/>
  <c r="N28" i="145"/>
  <c r="O28" i="145" s="1"/>
  <c r="N25" i="145"/>
  <c r="O25" i="145" s="1"/>
  <c r="F92" i="334"/>
  <c r="G92" i="334"/>
  <c r="E92" i="334"/>
  <c r="N64" i="145"/>
  <c r="O64" i="145" s="1"/>
  <c r="M36" i="145"/>
  <c r="N23" i="145"/>
  <c r="O23" i="145" s="1"/>
  <c r="G34" i="291"/>
  <c r="G36" i="291" s="1"/>
  <c r="E16" i="145"/>
  <c r="K58" i="145"/>
  <c r="K64" i="145"/>
  <c r="L65" i="145"/>
  <c r="N65" i="145" s="1"/>
  <c r="O65" i="145" s="1"/>
  <c r="L54" i="145"/>
  <c r="N54" i="145" s="1"/>
  <c r="O54" i="145" s="1"/>
  <c r="K71" i="145"/>
  <c r="G36" i="145"/>
  <c r="J40" i="260" l="1"/>
  <c r="J41" i="260" s="1"/>
  <c r="M92" i="334"/>
  <c r="K36" i="145"/>
  <c r="L36" i="145"/>
  <c r="N36" i="145" s="1"/>
  <c r="O36" i="145" s="1"/>
</calcChain>
</file>

<file path=xl/sharedStrings.xml><?xml version="1.0" encoding="utf-8"?>
<sst xmlns="http://schemas.openxmlformats.org/spreadsheetml/2006/main" count="703" uniqueCount="490">
  <si>
    <t>(m)</t>
  </si>
  <si>
    <t>m</t>
  </si>
  <si>
    <t>DiÖn tÝch</t>
  </si>
  <si>
    <t>A-III</t>
  </si>
  <si>
    <t>A-I</t>
  </si>
  <si>
    <t>A-II</t>
  </si>
  <si>
    <t>KÕt qu¶</t>
  </si>
  <si>
    <t>A-IV</t>
  </si>
  <si>
    <t>b¶ng tra diÖn tÝch vµ träng l­îng cèt thÐp</t>
  </si>
  <si>
    <t>DiÖn tÝch/
Sè thanh</t>
  </si>
  <si>
    <t>T.L­îng/
ChiÒu dµi
(m)</t>
  </si>
  <si>
    <t>§­êng
kÝnh</t>
  </si>
  <si>
    <t>T.L­îng
1m dµi</t>
  </si>
  <si>
    <t>kG</t>
  </si>
  <si>
    <t>mm</t>
  </si>
  <si>
    <t>D.TÝch</t>
  </si>
  <si>
    <t>Sè thanh</t>
  </si>
  <si>
    <t>H.L­îng</t>
  </si>
  <si>
    <t>§K (mm)</t>
  </si>
  <si>
    <t>TiÕt diÖn cÊu kiÖn</t>
  </si>
  <si>
    <t>ThÐp</t>
  </si>
  <si>
    <t>M50</t>
  </si>
  <si>
    <t>M75</t>
  </si>
  <si>
    <t>M100</t>
  </si>
  <si>
    <t>M150</t>
  </si>
  <si>
    <t>M200</t>
  </si>
  <si>
    <t>M250</t>
  </si>
  <si>
    <t>M350</t>
  </si>
  <si>
    <t>M400</t>
  </si>
  <si>
    <t>M450</t>
  </si>
  <si>
    <t>M500</t>
  </si>
  <si>
    <t>M600</t>
  </si>
  <si>
    <t>M700</t>
  </si>
  <si>
    <t>M800</t>
  </si>
  <si>
    <t>B3.5</t>
  </si>
  <si>
    <t>B5</t>
  </si>
  <si>
    <t>B7.5</t>
  </si>
  <si>
    <t>B10</t>
  </si>
  <si>
    <t>B12.5</t>
  </si>
  <si>
    <t>B15</t>
  </si>
  <si>
    <t>B20</t>
  </si>
  <si>
    <t>B25</t>
  </si>
  <si>
    <t>B30</t>
  </si>
  <si>
    <t>B40</t>
  </si>
  <si>
    <t>B45</t>
  </si>
  <si>
    <t>B50</t>
  </si>
  <si>
    <t>B55</t>
  </si>
  <si>
    <t>B60</t>
  </si>
  <si>
    <t>B35</t>
  </si>
  <si>
    <t>A-V</t>
  </si>
  <si>
    <t>A-VI</t>
  </si>
  <si>
    <t>A-VII</t>
  </si>
  <si>
    <t>Nhãm
cèt thÐp</t>
  </si>
  <si>
    <t>B22.5</t>
  </si>
  <si>
    <t>M300</t>
  </si>
  <si>
    <t>Tra</t>
  </si>
  <si>
    <t>Fb (KN)</t>
  </si>
  <si>
    <t>Fa (KN)</t>
  </si>
  <si>
    <t>Ft (KN)</t>
  </si>
  <si>
    <t>KN</t>
  </si>
  <si>
    <t>.</t>
  </si>
  <si>
    <t>Dµi (m)</t>
  </si>
  <si>
    <t>Réng (m)</t>
  </si>
  <si>
    <t>Bª t«ng</t>
  </si>
  <si>
    <t>Cèt thÐp</t>
  </si>
  <si>
    <t>M¸c</t>
  </si>
  <si>
    <t>C­êng ®é</t>
  </si>
  <si>
    <t>0.6x0.6</t>
  </si>
  <si>
    <t>-</t>
  </si>
  <si>
    <t>A-VIIIB</t>
  </si>
  <si>
    <r>
      <t>b¶ng c­êng ®é cèt thÐp (mp</t>
    </r>
    <r>
      <rPr>
        <b/>
        <sz val="12"/>
        <rFont val=".VnArial"/>
        <family val="2"/>
      </rPr>
      <t>a</t>
    </r>
    <r>
      <rPr>
        <b/>
        <sz val="12"/>
        <rFont val=".VnArialH"/>
        <family val="2"/>
      </rPr>
      <t>)</t>
    </r>
  </si>
  <si>
    <t>T</t>
  </si>
  <si>
    <t>(mm)</t>
  </si>
  <si>
    <t xml:space="preserve">a(d) = </t>
  </si>
  <si>
    <t xml:space="preserve">d = </t>
  </si>
  <si>
    <t>(%)</t>
  </si>
  <si>
    <t xml:space="preserve">% = </t>
  </si>
  <si>
    <t>R</t>
  </si>
  <si>
    <t>B</t>
  </si>
  <si>
    <t>fi</t>
  </si>
  <si>
    <t>Ri</t>
  </si>
  <si>
    <t>B ( áp dụng cho đất loại sét )</t>
  </si>
  <si>
    <t>B ( áp dụng cho đất rời )</t>
  </si>
  <si>
    <r>
      <t>R</t>
    </r>
    <r>
      <rPr>
        <b/>
        <vertAlign val="subscript"/>
        <sz val="9"/>
        <rFont val=".VnArial"/>
        <family val="2"/>
      </rPr>
      <t xml:space="preserve">bn </t>
    </r>
    <r>
      <rPr>
        <b/>
        <sz val="9"/>
        <rFont val=".VnArial"/>
        <family val="2"/>
      </rPr>
      <t>, R</t>
    </r>
    <r>
      <rPr>
        <b/>
        <vertAlign val="subscript"/>
        <sz val="9"/>
        <rFont val=".VnArial"/>
        <family val="2"/>
      </rPr>
      <t>b,ser</t>
    </r>
  </si>
  <si>
    <r>
      <t>R</t>
    </r>
    <r>
      <rPr>
        <b/>
        <vertAlign val="subscript"/>
        <sz val="9"/>
        <rFont val=".VnArial"/>
        <family val="2"/>
      </rPr>
      <t xml:space="preserve">btn </t>
    </r>
    <r>
      <rPr>
        <b/>
        <sz val="9"/>
        <rFont val=".VnArial"/>
        <family val="2"/>
      </rPr>
      <t>, R</t>
    </r>
    <r>
      <rPr>
        <b/>
        <vertAlign val="subscript"/>
        <sz val="9"/>
        <rFont val=".VnArial"/>
        <family val="2"/>
      </rPr>
      <t>bt,ser</t>
    </r>
  </si>
  <si>
    <r>
      <t>R</t>
    </r>
    <r>
      <rPr>
        <b/>
        <vertAlign val="subscript"/>
        <sz val="9"/>
        <rFont val=".VnArial"/>
        <family val="2"/>
      </rPr>
      <t>b</t>
    </r>
  </si>
  <si>
    <r>
      <t>R</t>
    </r>
    <r>
      <rPr>
        <b/>
        <vertAlign val="subscript"/>
        <sz val="9"/>
        <rFont val=".VnArial"/>
        <family val="2"/>
      </rPr>
      <t>bt</t>
    </r>
  </si>
  <si>
    <r>
      <t>E</t>
    </r>
    <r>
      <rPr>
        <b/>
        <vertAlign val="subscript"/>
        <sz val="9"/>
        <rFont val=".VnArial"/>
        <family val="2"/>
      </rPr>
      <t>b</t>
    </r>
    <r>
      <rPr>
        <b/>
        <sz val="9"/>
        <rFont val=".VnArial"/>
        <family val="2"/>
      </rPr>
      <t xml:space="preserve"> (Tù nhiªn)</t>
    </r>
  </si>
  <si>
    <r>
      <t>E</t>
    </r>
    <r>
      <rPr>
        <b/>
        <vertAlign val="subscript"/>
        <sz val="9"/>
        <rFont val=".VnArial"/>
        <family val="2"/>
      </rPr>
      <t>b</t>
    </r>
    <r>
      <rPr>
        <b/>
        <sz val="9"/>
        <rFont val=".VnArial"/>
        <family val="2"/>
      </rPr>
      <t xml:space="preserve"> (D­ìng nhiÖt)</t>
    </r>
  </si>
  <si>
    <r>
      <t>R</t>
    </r>
    <r>
      <rPr>
        <b/>
        <vertAlign val="subscript"/>
        <sz val="9"/>
        <rFont val=".VnArial"/>
        <family val="2"/>
      </rPr>
      <t xml:space="preserve">sn </t>
    </r>
    <r>
      <rPr>
        <b/>
        <sz val="9"/>
        <rFont val=".VnArial"/>
        <family val="2"/>
      </rPr>
      <t>, R</t>
    </r>
    <r>
      <rPr>
        <b/>
        <vertAlign val="subscript"/>
        <sz val="9"/>
        <rFont val=".VnArial"/>
        <family val="2"/>
      </rPr>
      <t>s,ser</t>
    </r>
  </si>
  <si>
    <r>
      <t>R</t>
    </r>
    <r>
      <rPr>
        <b/>
        <vertAlign val="subscript"/>
        <sz val="9"/>
        <rFont val=".VnArial"/>
        <family val="2"/>
      </rPr>
      <t>s</t>
    </r>
  </si>
  <si>
    <r>
      <t>R</t>
    </r>
    <r>
      <rPr>
        <b/>
        <vertAlign val="subscript"/>
        <sz val="9"/>
        <rFont val=".VnArial"/>
        <family val="2"/>
      </rPr>
      <t>sc</t>
    </r>
  </si>
  <si>
    <r>
      <t>R</t>
    </r>
    <r>
      <rPr>
        <b/>
        <vertAlign val="subscript"/>
        <sz val="9"/>
        <rFont val=".VnArial"/>
        <family val="2"/>
      </rPr>
      <t>sw</t>
    </r>
  </si>
  <si>
    <r>
      <t>f</t>
    </r>
    <r>
      <rPr>
        <b/>
        <vertAlign val="subscript"/>
        <sz val="9"/>
        <rFont val=".VnArial"/>
        <family val="2"/>
      </rPr>
      <t>c</t>
    </r>
  </si>
  <si>
    <r>
      <t>f</t>
    </r>
    <r>
      <rPr>
        <b/>
        <vertAlign val="subscript"/>
        <sz val="9"/>
        <rFont val=".VnArial"/>
        <family val="2"/>
      </rPr>
      <t>b</t>
    </r>
  </si>
  <si>
    <r>
      <t>E</t>
    </r>
    <r>
      <rPr>
        <b/>
        <vertAlign val="subscript"/>
        <sz val="9"/>
        <rFont val=".VnArial"/>
        <family val="2"/>
      </rPr>
      <t>s</t>
    </r>
  </si>
  <si>
    <t>b¶ng C­êng ®é Cña bª t«ng (MPa)</t>
  </si>
  <si>
    <t>M¸c bª t«ng</t>
  </si>
  <si>
    <t>CÊp ®é bÒn</t>
  </si>
  <si>
    <t>P =</t>
  </si>
  <si>
    <t>[P] =</t>
  </si>
  <si>
    <t>m (KN/m4)</t>
  </si>
  <si>
    <t>500-2000</t>
  </si>
  <si>
    <t>2000-4000</t>
  </si>
  <si>
    <t>4000-6000</t>
  </si>
  <si>
    <t>6000-10000</t>
  </si>
  <si>
    <t>10000-20000</t>
  </si>
  <si>
    <t>Hệ số nền</t>
  </si>
  <si>
    <t>0.9x0.6</t>
  </si>
  <si>
    <t>0.6x0.9</t>
  </si>
  <si>
    <r>
      <t>DiÖn tÝch / Sè thanh cèt thÐp
cm</t>
    </r>
    <r>
      <rPr>
        <b/>
        <vertAlign val="superscript"/>
        <sz val="10"/>
        <rFont val=".VnArial"/>
        <family val="2"/>
      </rPr>
      <t>2</t>
    </r>
  </si>
  <si>
    <r>
      <t>cm</t>
    </r>
    <r>
      <rPr>
        <b/>
        <vertAlign val="superscript"/>
        <sz val="10"/>
        <rFont val=".VnArial"/>
        <family val="2"/>
      </rPr>
      <t>2</t>
    </r>
  </si>
  <si>
    <r>
      <t>F</t>
    </r>
    <r>
      <rPr>
        <b/>
        <vertAlign val="subscript"/>
        <sz val="10"/>
        <rFont val=".VnArial"/>
        <family val="2"/>
      </rPr>
      <t>OK</t>
    </r>
  </si>
  <si>
    <t>0.6x0.8</t>
  </si>
  <si>
    <t>Tròn</t>
  </si>
  <si>
    <t>(KN)</t>
  </si>
  <si>
    <t>(MPa)</t>
  </si>
  <si>
    <t>B¶ng hÖ sè chiÒu dµi tÝnh to¸n</t>
  </si>
  <si>
    <t>§¬n vÞ:</t>
  </si>
  <si>
    <t>Sè thø tù</t>
  </si>
  <si>
    <t>S¬ ®å liªn kÕt vµ t¶i träng</t>
  </si>
  <si>
    <t>M¸c thÐp</t>
  </si>
  <si>
    <t>1 Ngµm, 1 Tù do</t>
  </si>
  <si>
    <t>d/D</t>
  </si>
  <si>
    <t>2 khíp</t>
  </si>
  <si>
    <t>f</t>
  </si>
  <si>
    <t>x</t>
  </si>
  <si>
    <t>1 Ngµm, 1 khíp</t>
  </si>
  <si>
    <t>CCT34</t>
  </si>
  <si>
    <t>2 Ngµm</t>
  </si>
  <si>
    <t>CCT38</t>
  </si>
  <si>
    <t>CCT42</t>
  </si>
  <si>
    <t>B¶ng tra c­êng ®é bu l«ng</t>
  </si>
  <si>
    <t>Tr¹ng th¸i</t>
  </si>
  <si>
    <t>Ký hiÖu</t>
  </si>
  <si>
    <t xml:space="preserve">C¾t </t>
  </si>
  <si>
    <t>KÐo</t>
  </si>
  <si>
    <t>B¶ng hÖ sè uèn däc cña cÊu kiÖn chÞu nÐn ®óng t©m</t>
  </si>
  <si>
    <t>§é m¶nh</t>
  </si>
  <si>
    <t>HÕ sè uèn däc ®èi víi c¸c cÊu kiÖn b»ng thÐp cã c­êng ®é tÝnh to¸n f</t>
  </si>
  <si>
    <t>B¶ng tra que hµn</t>
  </si>
  <si>
    <t>B¶ng tra c­êng ®é chÞu Ðp mÆt</t>
  </si>
  <si>
    <t>Giíi h¹n kÐo ®øt</t>
  </si>
  <si>
    <t>N42</t>
  </si>
  <si>
    <t>Tinh</t>
  </si>
  <si>
    <t>Th« th­êng</t>
  </si>
  <si>
    <t>N42-6B</t>
  </si>
  <si>
    <t>N46</t>
  </si>
  <si>
    <t>N46-6B</t>
  </si>
  <si>
    <t>N50</t>
  </si>
  <si>
    <t>N50-6B</t>
  </si>
  <si>
    <t xml:space="preserve">B¶ng hÖ sè uèn däc cña cÊu kiÖn tiÕt diÖn ®Æc chÞu nÐn lÖch t©m </t>
  </si>
  <si>
    <t>B¶ng thÐp gãc kh«ng ®Òu c¹nh</t>
  </si>
  <si>
    <t>Sè hiÖu</t>
  </si>
  <si>
    <t>Khèi l­îng 1m dµi</t>
  </si>
  <si>
    <t>DiÖn tÝch mÆt c¾t ngang</t>
  </si>
  <si>
    <t>KÝch th­íc</t>
  </si>
  <si>
    <t>Kho¶ng c¸ch tõ träng t©m</t>
  </si>
  <si>
    <t>§¹i l­îng tra cøu</t>
  </si>
  <si>
    <t>X-X</t>
  </si>
  <si>
    <t>Y-Y</t>
  </si>
  <si>
    <t>U-U</t>
  </si>
  <si>
    <t>V-V</t>
  </si>
  <si>
    <t>A</t>
  </si>
  <si>
    <t>t</t>
  </si>
  <si>
    <t>30x20x3</t>
  </si>
  <si>
    <t>30x20x4</t>
  </si>
  <si>
    <t>40x20x4</t>
  </si>
  <si>
    <t>40x25x4</t>
  </si>
  <si>
    <t>45x30x5</t>
  </si>
  <si>
    <t>50x30x4</t>
  </si>
  <si>
    <t>50x30x5</t>
  </si>
  <si>
    <t>50x40x5</t>
  </si>
  <si>
    <t>60x30x5</t>
  </si>
  <si>
    <t>60x30x6</t>
  </si>
  <si>
    <t>60x40x5</t>
  </si>
  <si>
    <t>60x40x6</t>
  </si>
  <si>
    <t>60x50x6</t>
  </si>
  <si>
    <t>60x50x8</t>
  </si>
  <si>
    <t>65x50x5</t>
  </si>
  <si>
    <t>65x50x6</t>
  </si>
  <si>
    <t>65x50x8</t>
  </si>
  <si>
    <t>70x50x6</t>
  </si>
  <si>
    <t>70x50x7</t>
  </si>
  <si>
    <t>75x50x6</t>
  </si>
  <si>
    <t>75x50x8</t>
  </si>
  <si>
    <t>80x40x6</t>
  </si>
  <si>
    <t>80x40x8</t>
  </si>
  <si>
    <t>80x60x6</t>
  </si>
  <si>
    <t>80x60x7</t>
  </si>
  <si>
    <t>80x60x8</t>
  </si>
  <si>
    <t>90x60x8</t>
  </si>
  <si>
    <t>90x65x6</t>
  </si>
  <si>
    <t>90x65x8</t>
  </si>
  <si>
    <t>90x75x8</t>
  </si>
  <si>
    <t>90x75x10</t>
  </si>
  <si>
    <t>90x75x13</t>
  </si>
  <si>
    <t>100x50x6</t>
  </si>
  <si>
    <t>100x50x8</t>
  </si>
  <si>
    <t>100x50x10</t>
  </si>
  <si>
    <t>100x65x7</t>
  </si>
  <si>
    <t>100x65x8</t>
  </si>
  <si>
    <t>100x65x10</t>
  </si>
  <si>
    <t>100x75x8</t>
  </si>
  <si>
    <t>100x75x10</t>
  </si>
  <si>
    <t>100x75x12</t>
  </si>
  <si>
    <t>100x90x10</t>
  </si>
  <si>
    <t>100x90x13</t>
  </si>
  <si>
    <t>120x80x8</t>
  </si>
  <si>
    <t>120x80x10</t>
  </si>
  <si>
    <t>120x80x12</t>
  </si>
  <si>
    <t>125x75x8</t>
  </si>
  <si>
    <t>125x74x10</t>
  </si>
  <si>
    <t>125x75x12</t>
  </si>
  <si>
    <t>125x90x10</t>
  </si>
  <si>
    <t>125x90x13</t>
  </si>
  <si>
    <t>135x65x8</t>
  </si>
  <si>
    <t>135x65x10</t>
  </si>
  <si>
    <t>150x75x9</t>
  </si>
  <si>
    <t>150x75x10</t>
  </si>
  <si>
    <t>150x75x12</t>
  </si>
  <si>
    <t>150x75x15</t>
  </si>
  <si>
    <t>150x90x10</t>
  </si>
  <si>
    <t>150x90x12</t>
  </si>
  <si>
    <t>150x90x15</t>
  </si>
  <si>
    <t>150x100x10</t>
  </si>
  <si>
    <t>150x100x12</t>
  </si>
  <si>
    <t>150x100x16</t>
  </si>
  <si>
    <t>180x90x10</t>
  </si>
  <si>
    <t>200x100x10</t>
  </si>
  <si>
    <t>200x100x12</t>
  </si>
  <si>
    <t>200x100x14</t>
  </si>
  <si>
    <t>200x100x16</t>
  </si>
  <si>
    <t>200x150x12</t>
  </si>
  <si>
    <t>200x150x15</t>
  </si>
  <si>
    <t>200x150x20</t>
  </si>
  <si>
    <t>200x150x25</t>
  </si>
  <si>
    <t>B¶ng thÐp c¸n ch÷ C</t>
  </si>
  <si>
    <t>h</t>
  </si>
  <si>
    <t>b</t>
  </si>
  <si>
    <t>d</t>
  </si>
  <si>
    <t>r</t>
  </si>
  <si>
    <t>Wx</t>
  </si>
  <si>
    <t>Wy</t>
  </si>
  <si>
    <t>18a</t>
  </si>
  <si>
    <t>20a</t>
  </si>
  <si>
    <t>22a</t>
  </si>
  <si>
    <t>24a</t>
  </si>
  <si>
    <r>
      <t>B¶ng c­êng ®é tiªu chuÈn f</t>
    </r>
    <r>
      <rPr>
        <b/>
        <vertAlign val="subscript"/>
        <sz val="10"/>
        <rFont val=".VnArial"/>
        <family val="2"/>
      </rPr>
      <t>y</t>
    </r>
    <r>
      <rPr>
        <b/>
        <sz val="10"/>
        <rFont val=".VnArial"/>
        <family val="2"/>
      </rPr>
      <t>, f</t>
    </r>
    <r>
      <rPr>
        <b/>
        <vertAlign val="subscript"/>
        <sz val="10"/>
        <rFont val=".VnArial"/>
        <family val="2"/>
      </rPr>
      <t>u</t>
    </r>
    <r>
      <rPr>
        <b/>
        <sz val="10"/>
        <rFont val=".VnArial"/>
        <family val="2"/>
      </rPr>
      <t xml:space="preserve"> vµ c­êng ®é tÝnh to¸n f cña thÐp c¸c bon</t>
    </r>
  </si>
  <si>
    <r>
      <t xml:space="preserve">B¶ng tra </t>
    </r>
    <r>
      <rPr>
        <b/>
        <sz val="10"/>
        <rFont val="Symbol"/>
        <family val="1"/>
        <charset val="2"/>
      </rPr>
      <t>x</t>
    </r>
  </si>
  <si>
    <r>
      <t>C­êng ®é tiªu chuÈn f</t>
    </r>
    <r>
      <rPr>
        <b/>
        <vertAlign val="subscript"/>
        <sz val="10"/>
        <rFont val=".VnArial"/>
        <family val="2"/>
      </rPr>
      <t>y</t>
    </r>
    <r>
      <rPr>
        <b/>
        <sz val="10"/>
        <rFont val=".VnArial"/>
        <family val="2"/>
      </rPr>
      <t xml:space="preserve"> vµ tÝnh to¸n f</t>
    </r>
  </si>
  <si>
    <r>
      <t xml:space="preserve"> C­êng ®é kÐo ®øt tiªu chuÈnt f</t>
    </r>
    <r>
      <rPr>
        <b/>
        <vertAlign val="subscript"/>
        <sz val="10"/>
        <rFont val=".VnArial"/>
        <family val="2"/>
      </rPr>
      <t>u</t>
    </r>
  </si>
  <si>
    <r>
      <t>N/mm</t>
    </r>
    <r>
      <rPr>
        <b/>
        <vertAlign val="superscript"/>
        <sz val="10"/>
        <rFont val=".VnArial"/>
        <family val="2"/>
      </rPr>
      <t>2</t>
    </r>
  </si>
  <si>
    <r>
      <t xml:space="preserve">t </t>
    </r>
    <r>
      <rPr>
        <b/>
        <sz val="10"/>
        <rFont val="UniversalMath1 BT"/>
        <family val="1"/>
        <charset val="2"/>
      </rPr>
      <t xml:space="preserve">[ </t>
    </r>
    <r>
      <rPr>
        <b/>
        <sz val="10"/>
        <rFont val=".VnArial"/>
        <family val="2"/>
      </rPr>
      <t>20</t>
    </r>
  </si>
  <si>
    <r>
      <t xml:space="preserve">20 &lt; t </t>
    </r>
    <r>
      <rPr>
        <b/>
        <sz val="10"/>
        <rFont val="UniversalMath1 BT"/>
        <family val="1"/>
        <charset val="2"/>
      </rPr>
      <t xml:space="preserve">[ </t>
    </r>
    <r>
      <rPr>
        <b/>
        <sz val="10"/>
        <rFont val=".VnArial"/>
        <family val="2"/>
      </rPr>
      <t>40</t>
    </r>
  </si>
  <si>
    <r>
      <t xml:space="preserve">40 &lt; t </t>
    </r>
    <r>
      <rPr>
        <b/>
        <sz val="10"/>
        <rFont val="UniversalMath1 BT"/>
        <family val="1"/>
        <charset val="2"/>
      </rPr>
      <t xml:space="preserve">[ </t>
    </r>
    <r>
      <rPr>
        <b/>
        <sz val="10"/>
        <rFont val=".VnArial"/>
        <family val="2"/>
      </rPr>
      <t>100</t>
    </r>
  </si>
  <si>
    <r>
      <t>f</t>
    </r>
    <r>
      <rPr>
        <b/>
        <vertAlign val="subscript"/>
        <sz val="11"/>
        <rFont val=".VnArial"/>
        <family val="2"/>
      </rPr>
      <t>y</t>
    </r>
  </si>
  <si>
    <r>
      <t xml:space="preserve">B¶ng hÖ sè ¶nh h­ëng cña h×nh d¹ng tiÕt diÖn </t>
    </r>
    <r>
      <rPr>
        <b/>
        <sz val="10"/>
        <rFont val="UniversalMath1 BT"/>
        <family val="1"/>
        <charset val="2"/>
      </rPr>
      <t>h</t>
    </r>
  </si>
  <si>
    <r>
      <t>A</t>
    </r>
    <r>
      <rPr>
        <b/>
        <vertAlign val="subscript"/>
        <sz val="10"/>
        <rFont val=".VnArial"/>
        <family val="2"/>
      </rPr>
      <t>f</t>
    </r>
    <r>
      <rPr>
        <b/>
        <sz val="10"/>
        <rFont val=".VnArial"/>
        <family val="2"/>
      </rPr>
      <t>/A</t>
    </r>
    <r>
      <rPr>
        <b/>
        <vertAlign val="subscript"/>
        <sz val="10"/>
        <rFont val=".VnArial"/>
        <family val="2"/>
      </rPr>
      <t>w</t>
    </r>
  </si>
  <si>
    <r>
      <t xml:space="preserve">0 </t>
    </r>
    <r>
      <rPr>
        <b/>
        <sz val="10"/>
        <rFont val="UniversalMath1 BT"/>
        <family val="1"/>
        <charset val="2"/>
      </rPr>
      <t>[</t>
    </r>
    <r>
      <rPr>
        <b/>
        <sz val="10"/>
        <rFont val=".VnArial"/>
        <family val="2"/>
      </rPr>
      <t xml:space="preserve"> </t>
    </r>
    <r>
      <rPr>
        <b/>
        <sz val="10"/>
        <rFont val="UniversalMath1 BT"/>
        <family val="1"/>
        <charset val="2"/>
      </rPr>
      <t>l</t>
    </r>
    <r>
      <rPr>
        <b/>
        <sz val="10"/>
        <rFont val=".VnArial"/>
        <family val="2"/>
      </rPr>
      <t xml:space="preserve"> </t>
    </r>
    <r>
      <rPr>
        <b/>
        <sz val="10"/>
        <rFont val="UniversalMath1 BT"/>
        <family val="1"/>
        <charset val="2"/>
      </rPr>
      <t>[</t>
    </r>
    <r>
      <rPr>
        <b/>
        <sz val="10"/>
        <rFont val=".VnArial"/>
        <family val="2"/>
      </rPr>
      <t xml:space="preserve"> 5</t>
    </r>
  </si>
  <si>
    <r>
      <t>l</t>
    </r>
    <r>
      <rPr>
        <b/>
        <sz val="10"/>
        <rFont val=".VnArial"/>
        <family val="2"/>
      </rPr>
      <t xml:space="preserve"> &gt; 5</t>
    </r>
  </si>
  <si>
    <r>
      <t xml:space="preserve">0.1 </t>
    </r>
    <r>
      <rPr>
        <b/>
        <sz val="10"/>
        <rFont val="UniversalMath1 BT"/>
        <family val="1"/>
        <charset val="2"/>
      </rPr>
      <t>[</t>
    </r>
    <r>
      <rPr>
        <b/>
        <sz val="10"/>
        <rFont val=".VnArial"/>
        <family val="2"/>
      </rPr>
      <t xml:space="preserve"> m </t>
    </r>
    <r>
      <rPr>
        <b/>
        <sz val="10"/>
        <rFont val="UniversalMath1 BT"/>
        <family val="1"/>
        <charset val="2"/>
      </rPr>
      <t>[</t>
    </r>
    <r>
      <rPr>
        <b/>
        <sz val="10"/>
        <rFont val=".VnArial"/>
        <family val="2"/>
      </rPr>
      <t xml:space="preserve"> 5</t>
    </r>
  </si>
  <si>
    <r>
      <t xml:space="preserve">5 &lt; m </t>
    </r>
    <r>
      <rPr>
        <b/>
        <sz val="10"/>
        <rFont val="UniversalMath1 BT"/>
        <family val="1"/>
        <charset val="2"/>
      </rPr>
      <t>[</t>
    </r>
    <r>
      <rPr>
        <b/>
        <sz val="10"/>
        <rFont val=".VnArial"/>
        <family val="2"/>
      </rPr>
      <t xml:space="preserve"> 20</t>
    </r>
  </si>
  <si>
    <r>
      <t>f</t>
    </r>
    <r>
      <rPr>
        <b/>
        <vertAlign val="subscript"/>
        <sz val="10"/>
        <rFont val=".VnArial"/>
        <family val="2"/>
      </rPr>
      <t>vb</t>
    </r>
  </si>
  <si>
    <r>
      <t>f</t>
    </r>
    <r>
      <rPr>
        <b/>
        <vertAlign val="subscript"/>
        <sz val="10"/>
        <rFont val=".VnArial"/>
        <family val="2"/>
      </rPr>
      <t>tb</t>
    </r>
  </si>
  <si>
    <r>
      <t>f</t>
    </r>
    <r>
      <rPr>
        <vertAlign val="subscript"/>
        <sz val="10"/>
        <rFont val=".VnArial"/>
        <family val="2"/>
      </rPr>
      <t>wun</t>
    </r>
  </si>
  <si>
    <r>
      <t>f</t>
    </r>
    <r>
      <rPr>
        <vertAlign val="subscript"/>
        <sz val="10"/>
        <rFont val=".VnArial"/>
        <family val="2"/>
      </rPr>
      <t>wf</t>
    </r>
  </si>
  <si>
    <r>
      <t>f</t>
    </r>
    <r>
      <rPr>
        <b/>
        <vertAlign val="subscript"/>
        <sz val="10"/>
        <rFont val=".VnArial"/>
        <family val="2"/>
      </rPr>
      <t>cb</t>
    </r>
  </si>
  <si>
    <r>
      <t xml:space="preserve">HÕ sè uèn däc </t>
    </r>
    <r>
      <rPr>
        <b/>
        <sz val="10"/>
        <rFont val="Symbol"/>
        <family val="1"/>
        <charset val="2"/>
      </rPr>
      <t>j</t>
    </r>
    <r>
      <rPr>
        <b/>
        <vertAlign val="subscript"/>
        <sz val="10"/>
        <rFont val=".VnArial"/>
        <family val="2"/>
      </rPr>
      <t>e</t>
    </r>
    <r>
      <rPr>
        <b/>
        <sz val="10"/>
        <rFont val=".VnArial"/>
        <family val="2"/>
      </rPr>
      <t xml:space="preserve"> khi ®é lÖch t©m tÝnh ®æi m</t>
    </r>
    <r>
      <rPr>
        <b/>
        <vertAlign val="subscript"/>
        <sz val="10"/>
        <rFont val=".VnArial"/>
        <family val="2"/>
      </rPr>
      <t>e</t>
    </r>
    <r>
      <rPr>
        <b/>
        <sz val="10"/>
        <rFont val=".VnArial"/>
        <family val="2"/>
      </rPr>
      <t xml:space="preserve"> b»ng</t>
    </r>
  </si>
  <si>
    <r>
      <t>C</t>
    </r>
    <r>
      <rPr>
        <vertAlign val="subscript"/>
        <sz val="10"/>
        <rFont val=".VnArial"/>
        <family val="2"/>
      </rPr>
      <t>x</t>
    </r>
  </si>
  <si>
    <r>
      <t>C</t>
    </r>
    <r>
      <rPr>
        <vertAlign val="subscript"/>
        <sz val="10"/>
        <rFont val=".VnArial"/>
        <family val="2"/>
      </rPr>
      <t>y</t>
    </r>
  </si>
  <si>
    <r>
      <t>C</t>
    </r>
    <r>
      <rPr>
        <vertAlign val="subscript"/>
        <sz val="10"/>
        <rFont val=".VnArial"/>
        <family val="2"/>
      </rPr>
      <t>u</t>
    </r>
  </si>
  <si>
    <r>
      <t>C</t>
    </r>
    <r>
      <rPr>
        <vertAlign val="subscript"/>
        <sz val="10"/>
        <rFont val=".VnArial"/>
        <family val="2"/>
      </rPr>
      <t>v</t>
    </r>
  </si>
  <si>
    <r>
      <t>I</t>
    </r>
    <r>
      <rPr>
        <vertAlign val="subscript"/>
        <sz val="10"/>
        <rFont val=".VnArial"/>
        <family val="2"/>
      </rPr>
      <t>x</t>
    </r>
  </si>
  <si>
    <r>
      <t>i</t>
    </r>
    <r>
      <rPr>
        <vertAlign val="subscript"/>
        <sz val="10"/>
        <rFont val=".VnArial"/>
        <family val="2"/>
      </rPr>
      <t>x</t>
    </r>
  </si>
  <si>
    <r>
      <t>I</t>
    </r>
    <r>
      <rPr>
        <vertAlign val="subscript"/>
        <sz val="10"/>
        <rFont val=".VnArial"/>
        <family val="2"/>
      </rPr>
      <t>y</t>
    </r>
  </si>
  <si>
    <r>
      <t>i</t>
    </r>
    <r>
      <rPr>
        <vertAlign val="subscript"/>
        <sz val="10"/>
        <rFont val=".VnArial"/>
        <family val="2"/>
      </rPr>
      <t>y</t>
    </r>
  </si>
  <si>
    <r>
      <t>I</t>
    </r>
    <r>
      <rPr>
        <vertAlign val="subscript"/>
        <sz val="10"/>
        <rFont val=".VnArial"/>
        <family val="2"/>
      </rPr>
      <t>u</t>
    </r>
  </si>
  <si>
    <r>
      <t>i</t>
    </r>
    <r>
      <rPr>
        <vertAlign val="subscript"/>
        <sz val="10"/>
        <rFont val=".VnArial"/>
        <family val="2"/>
      </rPr>
      <t>u</t>
    </r>
  </si>
  <si>
    <r>
      <t>I</t>
    </r>
    <r>
      <rPr>
        <vertAlign val="subscript"/>
        <sz val="10"/>
        <rFont val=".VnArial"/>
        <family val="2"/>
      </rPr>
      <t>v</t>
    </r>
  </si>
  <si>
    <r>
      <t>i</t>
    </r>
    <r>
      <rPr>
        <vertAlign val="subscript"/>
        <sz val="10"/>
        <rFont val=".VnArial"/>
        <family val="2"/>
      </rPr>
      <t>v</t>
    </r>
  </si>
  <si>
    <r>
      <t>Z</t>
    </r>
    <r>
      <rPr>
        <vertAlign val="subscript"/>
        <sz val="10"/>
        <rFont val=".VnArial"/>
        <family val="2"/>
      </rPr>
      <t>0</t>
    </r>
  </si>
  <si>
    <r>
      <t>S</t>
    </r>
    <r>
      <rPr>
        <vertAlign val="subscript"/>
        <sz val="10"/>
        <rFont val=".VnArial"/>
        <family val="2"/>
      </rPr>
      <t>x</t>
    </r>
  </si>
  <si>
    <t>Mã công trình</t>
  </si>
  <si>
    <t>Tên công trình</t>
  </si>
  <si>
    <t>Chủ đầu tư</t>
  </si>
  <si>
    <t>Địa điểm xây dựng</t>
  </si>
  <si>
    <t>Giai đoạn thiết kế</t>
  </si>
  <si>
    <t>Đơn vị thiết kế</t>
  </si>
  <si>
    <t>Chủ trì thiết kế</t>
  </si>
  <si>
    <t>Thiết kế 1</t>
  </si>
  <si>
    <t>Thiết kế 2</t>
  </si>
  <si>
    <t>Trình bày</t>
  </si>
  <si>
    <t>Kiểm</t>
  </si>
  <si>
    <t>Hiệu chỉnh lần</t>
  </si>
  <si>
    <t>Ngày thuyết minh</t>
  </si>
  <si>
    <t>Thông tin chung</t>
  </si>
  <si>
    <t>Ngôn ngữ</t>
  </si>
  <si>
    <t>04/2015</t>
  </si>
  <si>
    <t>V</t>
  </si>
  <si>
    <r>
      <t>m</t>
    </r>
    <r>
      <rPr>
        <vertAlign val="superscript"/>
        <sz val="10"/>
        <rFont val="Times New Roman"/>
        <family val="1"/>
      </rPr>
      <t>2</t>
    </r>
  </si>
  <si>
    <t>Ma sát thành đơn vị quanh thân cọc kN/m2</t>
  </si>
  <si>
    <t>Sức chống mũi cọc kN/m2</t>
  </si>
  <si>
    <t>Góc ma sát trong tính toán phi i của đất dưỡi mũi cọc</t>
  </si>
  <si>
    <t>HS</t>
  </si>
  <si>
    <t>h/d</t>
  </si>
  <si>
    <t>D</t>
  </si>
  <si>
    <t>Xuân Đỉnh, Bắc Từ Liêm, Hà Nội</t>
  </si>
  <si>
    <t>TKCS</t>
  </si>
  <si>
    <t>Nguyễn Trọng Huy</t>
  </si>
  <si>
    <t>Vuông.</t>
  </si>
  <si>
    <t xml:space="preserve">D = </t>
  </si>
  <si>
    <t>Sức chống mũi cọc nhồi kN/m2</t>
  </si>
  <si>
    <t>Loại đất</t>
  </si>
  <si>
    <t>Đất sét dẻo nhão, á sét dẻo nhão, đất bùn</t>
  </si>
  <si>
    <t>Đất sét, á sét, á cát dẻo mềm, cát bụi và cát rời</t>
  </si>
  <si>
    <t>Đất sét, á sét, á cát dẻo cứng, cát nhỏ, cát vừa</t>
  </si>
  <si>
    <t>Đất sét, á sét, á cát cứng và cát tơ</t>
  </si>
  <si>
    <t>Cát sỏi, cuội, sỏi</t>
  </si>
  <si>
    <t>Bảng A.1 Hệ số tỷ lệ k theo công thức (A.1)</t>
  </si>
  <si>
    <t>Đất bao quanh cọc và các đặc trưng của đất</t>
  </si>
  <si>
    <t>Hệ số tỷ lệ k</t>
  </si>
  <si>
    <t>18000 - 30000</t>
  </si>
  <si>
    <t>12000 - 18000</t>
  </si>
  <si>
    <t>7000 - 12000</t>
  </si>
  <si>
    <t>4000 - 7000</t>
  </si>
  <si>
    <t>50000 - 100000</t>
  </si>
  <si>
    <t>Ẩm ít và bị ẩm</t>
  </si>
  <si>
    <t>Bão hòa nước</t>
  </si>
  <si>
    <t>Ẩm ít và ẩm</t>
  </si>
  <si>
    <t>Cát chặt</t>
  </si>
  <si>
    <t>Cát chặt vừa</t>
  </si>
  <si>
    <t>Đất dính ứng với chỉ số sệt</t>
  </si>
  <si>
    <t>Cát chặt và chặt vừa</t>
  </si>
  <si>
    <r>
      <t>Hệ số điều kiện làm việc γ</t>
    </r>
    <r>
      <rPr>
        <vertAlign val="subscript"/>
        <sz val="9"/>
        <rFont val="Times New Roman"/>
        <family val="1"/>
      </rPr>
      <t>eq1</t>
    </r>
    <r>
      <rPr>
        <sz val="9"/>
        <rFont val="Times New Roman"/>
        <family val="1"/>
      </rPr>
      <t xml:space="preserve"> để hiệu chỉnh trị số q</t>
    </r>
    <r>
      <rPr>
        <vertAlign val="subscript"/>
        <sz val="9"/>
        <rFont val="Times New Roman"/>
        <family val="1"/>
      </rPr>
      <t>b</t>
    </r>
    <r>
      <rPr>
        <sz val="9"/>
        <rFont val="Times New Roman"/>
        <family val="1"/>
      </rPr>
      <t xml:space="preserve"> ứng với đất</t>
    </r>
  </si>
  <si>
    <r>
      <t>Hệ số điều kiện làm việc γ</t>
    </r>
    <r>
      <rPr>
        <vertAlign val="subscript"/>
        <sz val="9"/>
        <rFont val="Times New Roman"/>
        <family val="1"/>
      </rPr>
      <t>eq2</t>
    </r>
    <r>
      <rPr>
        <sz val="9"/>
        <rFont val="Times New Roman"/>
        <family val="1"/>
      </rPr>
      <t xml:space="preserve"> để hiệu chỉnh trị số f</t>
    </r>
    <r>
      <rPr>
        <vertAlign val="subscript"/>
        <sz val="9"/>
        <rFont val="Times New Roman"/>
        <family val="1"/>
      </rPr>
      <t xml:space="preserve">i </t>
    </r>
    <r>
      <rPr>
        <sz val="9"/>
        <rFont val="Times New Roman"/>
        <family val="1"/>
      </rPr>
      <t>ứng với đất</t>
    </r>
  </si>
  <si>
    <t>Cấp động đất tính toán của nhà và công trình</t>
  </si>
  <si>
    <t>Cát to  ( 0.55 ≤ e ≤ 0.7 )</t>
  </si>
  <si>
    <t>Cát hạt nhỏ ( 0.6 ≤ e ≤ 0.75), cát hạt vừa ( 0.55 ≤ e ≤ 0.7)</t>
  </si>
  <si>
    <t>Cát sạn (0.55 ≤ e ≤ 0.7); đất hạt lớn lẫn cát</t>
  </si>
  <si>
    <r>
      <t>I</t>
    </r>
    <r>
      <rPr>
        <vertAlign val="subscript"/>
        <sz val="9"/>
        <rFont val="Times New Roman"/>
        <family val="1"/>
      </rPr>
      <t>L</t>
    </r>
    <r>
      <rPr>
        <sz val="9"/>
        <rFont val="Times New Roman"/>
        <family val="1"/>
      </rPr>
      <t xml:space="preserve"> &lt; 0</t>
    </r>
  </si>
  <si>
    <r>
      <t>0 &lt; I</t>
    </r>
    <r>
      <rPr>
        <vertAlign val="subscript"/>
        <sz val="9"/>
        <rFont val="Times New Roman"/>
        <family val="1"/>
      </rPr>
      <t>L</t>
    </r>
    <r>
      <rPr>
        <sz val="9"/>
        <rFont val="Times New Roman"/>
        <family val="1"/>
      </rPr>
      <t xml:space="preserve"> &lt; 0.5</t>
    </r>
  </si>
  <si>
    <r>
      <t>0 &lt; I</t>
    </r>
    <r>
      <rPr>
        <vertAlign val="subscript"/>
        <sz val="9"/>
        <rFont val="Times New Roman"/>
        <family val="1"/>
      </rPr>
      <t>L</t>
    </r>
    <r>
      <rPr>
        <sz val="9"/>
        <rFont val="Times New Roman"/>
        <family val="1"/>
      </rPr>
      <t xml:space="preserve"> &lt; 0.75</t>
    </r>
  </si>
  <si>
    <r>
      <t>0.75 &lt; I</t>
    </r>
    <r>
      <rPr>
        <vertAlign val="subscript"/>
        <sz val="9"/>
        <rFont val="Times New Roman"/>
        <family val="1"/>
      </rPr>
      <t>L</t>
    </r>
    <r>
      <rPr>
        <sz val="9"/>
        <rFont val="Times New Roman"/>
        <family val="1"/>
      </rPr>
      <t xml:space="preserve"> &lt;1.0</t>
    </r>
  </si>
  <si>
    <t>Sét và sét pha cứng (B &lt; 0)</t>
  </si>
  <si>
    <r>
      <t>Cát pha cứng B</t>
    </r>
    <r>
      <rPr>
        <vertAlign val="subscript"/>
        <sz val="9"/>
        <rFont val="Times New Roman"/>
        <family val="1"/>
      </rPr>
      <t xml:space="preserve"> </t>
    </r>
    <r>
      <rPr>
        <sz val="9"/>
        <rFont val="Times New Roman"/>
        <family val="1"/>
      </rPr>
      <t>&lt; 0; sét, sét pha dẻo cứng và nửa cứng (0 ≤ B</t>
    </r>
    <r>
      <rPr>
        <vertAlign val="subscript"/>
        <sz val="9"/>
        <rFont val="Times New Roman"/>
        <family val="1"/>
      </rPr>
      <t xml:space="preserve"> </t>
    </r>
    <r>
      <rPr>
        <sz val="9"/>
        <rFont val="Times New Roman"/>
        <family val="1"/>
      </rPr>
      <t>≤ 0.5)</t>
    </r>
  </si>
  <si>
    <r>
      <t>Cát bụi (0.6 ≤ e ≤ 0.8); cát pha dẻo (0 ≤ B</t>
    </r>
    <r>
      <rPr>
        <vertAlign val="subscript"/>
        <sz val="9"/>
        <rFont val="Times New Roman"/>
        <family val="1"/>
      </rPr>
      <t xml:space="preserve"> </t>
    </r>
    <r>
      <rPr>
        <sz val="9"/>
        <rFont val="Times New Roman"/>
        <family val="1"/>
      </rPr>
      <t>≤ 1)</t>
    </r>
  </si>
  <si>
    <t>Sét, sét pha dẻo mềm (0.5 ≤ B ≤ 0.75)</t>
  </si>
  <si>
    <t>Sét và sét pha dẻo chảy ( 0.75 ≤ B ≤ 1)</t>
  </si>
  <si>
    <t>DETECH</t>
  </si>
  <si>
    <t>Tòa nhà văn phòng Detech</t>
  </si>
  <si>
    <t>CDC</t>
  </si>
  <si>
    <t>Hà Hưng Thịnh</t>
  </si>
  <si>
    <t>Nguyễn Trường Thắng</t>
  </si>
  <si>
    <t>CB240-T</t>
  </si>
  <si>
    <t>CB300-V</t>
  </si>
  <si>
    <t>CB400-V</t>
  </si>
  <si>
    <t>CB500-V</t>
  </si>
  <si>
    <t>Tính toán:</t>
  </si>
  <si>
    <t>Kiểm:</t>
  </si>
  <si>
    <t>Lê Thanh Đạt</t>
  </si>
  <si>
    <t>Trần Thị Khánh Hòa</t>
  </si>
  <si>
    <t>Job No</t>
  </si>
  <si>
    <t>Date</t>
  </si>
  <si>
    <t>k =</t>
  </si>
  <si>
    <r>
      <t>P= ( 0.85f'</t>
    </r>
    <r>
      <rPr>
        <b/>
        <vertAlign val="subscript"/>
        <sz val="11"/>
        <rFont val="Times New Roman"/>
        <family val="1"/>
      </rPr>
      <t>c</t>
    </r>
    <r>
      <rPr>
        <b/>
        <sz val="11"/>
        <rFont val="Times New Roman"/>
        <family val="1"/>
      </rPr>
      <t xml:space="preserve"> - 0.6f</t>
    </r>
    <r>
      <rPr>
        <b/>
        <vertAlign val="subscript"/>
        <sz val="11"/>
        <rFont val="Times New Roman"/>
        <family val="1"/>
      </rPr>
      <t>pc</t>
    </r>
    <r>
      <rPr>
        <b/>
        <sz val="11"/>
        <rFont val="Times New Roman"/>
        <family val="1"/>
      </rPr>
      <t xml:space="preserve"> )F</t>
    </r>
    <r>
      <rPr>
        <b/>
        <vertAlign val="subscript"/>
        <sz val="11"/>
        <rFont val="Times New Roman"/>
        <family val="1"/>
      </rPr>
      <t>b</t>
    </r>
  </si>
  <si>
    <r>
      <t>f'</t>
    </r>
    <r>
      <rPr>
        <b/>
        <vertAlign val="subscript"/>
        <sz val="11"/>
        <rFont val="Times New Roman"/>
        <family val="1"/>
      </rPr>
      <t>c</t>
    </r>
  </si>
  <si>
    <r>
      <t>f</t>
    </r>
    <r>
      <rPr>
        <b/>
        <vertAlign val="subscript"/>
        <sz val="11"/>
        <rFont val="Times New Roman"/>
        <family val="1"/>
      </rPr>
      <t>pc</t>
    </r>
  </si>
  <si>
    <r>
      <t>F</t>
    </r>
    <r>
      <rPr>
        <b/>
        <vertAlign val="subscript"/>
        <sz val="11"/>
        <rFont val="Times New Roman"/>
        <family val="1"/>
      </rPr>
      <t>b</t>
    </r>
  </si>
  <si>
    <r>
      <t>m</t>
    </r>
    <r>
      <rPr>
        <vertAlign val="superscript"/>
        <sz val="11"/>
        <rFont val="Times New Roman"/>
        <family val="1"/>
      </rPr>
      <t>2</t>
    </r>
  </si>
  <si>
    <r>
      <t>F</t>
    </r>
    <r>
      <rPr>
        <b/>
        <vertAlign val="subscript"/>
        <sz val="11"/>
        <rFont val="Times New Roman"/>
        <family val="1"/>
      </rPr>
      <t>s</t>
    </r>
  </si>
  <si>
    <r>
      <t>(cm</t>
    </r>
    <r>
      <rPr>
        <vertAlign val="superscript"/>
        <sz val="11"/>
        <rFont val="Times New Roman"/>
        <family val="1"/>
      </rPr>
      <t>2</t>
    </r>
    <r>
      <rPr>
        <sz val="11"/>
        <rFont val="Times New Roman"/>
        <family val="1"/>
      </rPr>
      <t>)</t>
    </r>
  </si>
  <si>
    <r>
      <t>(m</t>
    </r>
    <r>
      <rPr>
        <vertAlign val="superscript"/>
        <sz val="11"/>
        <rFont val="Times New Roman"/>
        <family val="1"/>
      </rPr>
      <t>2</t>
    </r>
    <r>
      <rPr>
        <sz val="11"/>
        <rFont val="Times New Roman"/>
        <family val="1"/>
      </rPr>
      <t>)</t>
    </r>
  </si>
  <si>
    <t>CỌC D500</t>
  </si>
  <si>
    <t>CỌC 1000x1000</t>
  </si>
  <si>
    <r>
      <t>n</t>
    </r>
    <r>
      <rPr>
        <vertAlign val="subscript"/>
        <sz val="11"/>
        <rFont val="Times New Roman"/>
        <family val="1"/>
      </rPr>
      <t>1</t>
    </r>
    <r>
      <rPr>
        <sz val="11"/>
        <rFont val="Times New Roman"/>
        <family val="1"/>
      </rPr>
      <t xml:space="preserve"> = </t>
    </r>
  </si>
  <si>
    <r>
      <t>F</t>
    </r>
    <r>
      <rPr>
        <vertAlign val="subscript"/>
        <sz val="11"/>
        <rFont val="Times New Roman"/>
        <family val="1"/>
      </rPr>
      <t>s</t>
    </r>
    <r>
      <rPr>
        <sz val="11"/>
        <rFont val="Times New Roman"/>
        <family val="1"/>
      </rPr>
      <t xml:space="preserve"> = </t>
    </r>
  </si>
  <si>
    <r>
      <t>n</t>
    </r>
    <r>
      <rPr>
        <vertAlign val="subscript"/>
        <sz val="11"/>
        <rFont val="Times New Roman"/>
        <family val="1"/>
      </rPr>
      <t>2</t>
    </r>
    <r>
      <rPr>
        <sz val="11"/>
        <rFont val="Times New Roman"/>
        <family val="1"/>
      </rPr>
      <t xml:space="preserve"> = </t>
    </r>
  </si>
  <si>
    <r>
      <t>F</t>
    </r>
    <r>
      <rPr>
        <vertAlign val="subscript"/>
        <sz val="11"/>
        <rFont val="Times New Roman"/>
        <family val="1"/>
      </rPr>
      <t>t</t>
    </r>
    <r>
      <rPr>
        <sz val="11"/>
        <rFont val="Times New Roman"/>
        <family val="1"/>
      </rPr>
      <t xml:space="preserve"> = </t>
    </r>
  </si>
  <si>
    <r>
      <t>f</t>
    </r>
    <r>
      <rPr>
        <vertAlign val="subscript"/>
        <sz val="11"/>
        <rFont val="Times New Roman"/>
        <family val="1"/>
      </rPr>
      <t xml:space="preserve">pc </t>
    </r>
    <r>
      <rPr>
        <sz val="11"/>
        <rFont val="Times New Roman"/>
        <family val="1"/>
      </rPr>
      <t>=</t>
    </r>
    <r>
      <rPr>
        <vertAlign val="subscript"/>
        <sz val="11"/>
        <rFont val="Times New Roman"/>
        <family val="1"/>
      </rPr>
      <t xml:space="preserve"> </t>
    </r>
  </si>
  <si>
    <r>
      <t>F</t>
    </r>
    <r>
      <rPr>
        <vertAlign val="subscript"/>
        <sz val="11"/>
        <rFont val="Times New Roman"/>
        <family val="1"/>
      </rPr>
      <t>b</t>
    </r>
    <r>
      <rPr>
        <sz val="11"/>
        <rFont val="Times New Roman"/>
        <family val="1"/>
      </rPr>
      <t xml:space="preserve"> = </t>
    </r>
  </si>
  <si>
    <r>
      <t>f'</t>
    </r>
    <r>
      <rPr>
        <vertAlign val="subscript"/>
        <sz val="11"/>
        <rFont val="Times New Roman"/>
        <family val="1"/>
      </rPr>
      <t xml:space="preserve">c  </t>
    </r>
    <r>
      <rPr>
        <sz val="11"/>
        <rFont val="Times New Roman"/>
        <family val="1"/>
      </rPr>
      <t xml:space="preserve">=        </t>
    </r>
  </si>
  <si>
    <r>
      <t>E</t>
    </r>
    <r>
      <rPr>
        <vertAlign val="subscript"/>
        <sz val="11"/>
        <rFont val="Times New Roman"/>
        <family val="1"/>
      </rPr>
      <t>b</t>
    </r>
    <r>
      <rPr>
        <sz val="11"/>
        <rFont val="Times New Roman"/>
        <family val="1"/>
      </rPr>
      <t xml:space="preserve"> =</t>
    </r>
  </si>
  <si>
    <r>
      <t>R</t>
    </r>
    <r>
      <rPr>
        <vertAlign val="subscript"/>
        <sz val="11"/>
        <rFont val="Times New Roman"/>
        <family val="1"/>
      </rPr>
      <t>s</t>
    </r>
    <r>
      <rPr>
        <sz val="11"/>
        <rFont val="Times New Roman"/>
        <family val="1"/>
      </rPr>
      <t xml:space="preserve"> = R</t>
    </r>
    <r>
      <rPr>
        <vertAlign val="subscript"/>
        <sz val="11"/>
        <rFont val="Times New Roman"/>
        <family val="1"/>
      </rPr>
      <t>sc</t>
    </r>
    <r>
      <rPr>
        <sz val="11"/>
        <rFont val="Times New Roman"/>
        <family val="1"/>
      </rPr>
      <t xml:space="preserve"> =</t>
    </r>
  </si>
  <si>
    <r>
      <t>E</t>
    </r>
    <r>
      <rPr>
        <vertAlign val="subscript"/>
        <sz val="11"/>
        <rFont val="Times New Roman"/>
        <family val="1"/>
      </rPr>
      <t>s</t>
    </r>
    <r>
      <rPr>
        <sz val="11"/>
        <rFont val="Times New Roman"/>
        <family val="1"/>
      </rPr>
      <t xml:space="preserve"> =</t>
    </r>
  </si>
  <si>
    <t>Ф</t>
  </si>
  <si>
    <t>XÁC ĐỊNH SỨC CHỊU TẢI VẬT LIỆU CỌC ĐẶC UST (TCVN 7888:2008)</t>
  </si>
  <si>
    <t>XÁC ĐỊNH SỨC CHỊU TẢI VẬT LIỆU CỌC RỖNG UST (TCVN 7888:2008)</t>
  </si>
  <si>
    <t>Loại cọc</t>
  </si>
  <si>
    <t xml:space="preserve"> Theo điều kiện kiểm tra 7.1.11</t>
  </si>
  <si>
    <t xml:space="preserve"> Theo điều kiện kiểm tra 7.1.12</t>
  </si>
  <si>
    <r>
      <t>R</t>
    </r>
    <r>
      <rPr>
        <vertAlign val="subscript"/>
        <sz val="10"/>
        <rFont val="Times New Roman"/>
        <family val="1"/>
      </rPr>
      <t>c,k</t>
    </r>
    <r>
      <rPr>
        <sz val="10"/>
        <rFont val="Times New Roman"/>
        <family val="1"/>
      </rPr>
      <t xml:space="preserve">  = R</t>
    </r>
    <r>
      <rPr>
        <vertAlign val="superscript"/>
        <sz val="10"/>
        <rFont val="Times New Roman"/>
        <family val="1"/>
      </rPr>
      <t>i</t>
    </r>
    <r>
      <rPr>
        <vertAlign val="subscript"/>
        <sz val="10"/>
        <rFont val="Times New Roman"/>
        <family val="1"/>
      </rPr>
      <t>c,u min</t>
    </r>
    <r>
      <rPr>
        <sz val="10"/>
        <rFont val="Times New Roman"/>
        <family val="1"/>
      </rPr>
      <t xml:space="preserve"> nếu i &lt; 6</t>
    </r>
  </si>
  <si>
    <t>và</t>
  </si>
  <si>
    <r>
      <t>R</t>
    </r>
    <r>
      <rPr>
        <vertAlign val="subscript"/>
        <sz val="10"/>
        <rFont val="Times New Roman"/>
        <family val="1"/>
      </rPr>
      <t>c,k</t>
    </r>
    <r>
      <rPr>
        <sz val="10"/>
        <rFont val="Times New Roman"/>
        <family val="1"/>
      </rPr>
      <t xml:space="preserve">  = R</t>
    </r>
    <r>
      <rPr>
        <vertAlign val="superscript"/>
        <sz val="10"/>
        <rFont val="Times New Roman"/>
        <family val="1"/>
      </rPr>
      <t>i</t>
    </r>
    <r>
      <rPr>
        <vertAlign val="subscript"/>
        <sz val="10"/>
        <rFont val="Times New Roman"/>
        <family val="1"/>
      </rPr>
      <t>c,u tb</t>
    </r>
    <r>
      <rPr>
        <sz val="10"/>
        <rFont val="Times New Roman"/>
        <family val="1"/>
      </rPr>
      <t xml:space="preserve"> nếu i </t>
    </r>
    <r>
      <rPr>
        <sz val="10"/>
        <rFont val="Calibri"/>
        <family val="2"/>
      </rPr>
      <t>≥</t>
    </r>
    <r>
      <rPr>
        <sz val="10"/>
        <rFont val="Times New Roman"/>
        <family val="1"/>
      </rPr>
      <t xml:space="preserve"> 6</t>
    </r>
  </si>
  <si>
    <t>Trong đó:</t>
  </si>
  <si>
    <r>
      <t xml:space="preserve"> - </t>
    </r>
    <r>
      <rPr>
        <b/>
        <sz val="10"/>
        <rFont val="Times New Roman"/>
        <family val="1"/>
      </rPr>
      <t>N</t>
    </r>
    <r>
      <rPr>
        <b/>
        <vertAlign val="subscript"/>
        <sz val="10"/>
        <rFont val="Times New Roman"/>
        <family val="1"/>
      </rPr>
      <t>c,d</t>
    </r>
    <r>
      <rPr>
        <sz val="10"/>
        <rFont val="Times New Roman"/>
        <family val="1"/>
      </rPr>
      <t xml:space="preserve"> : trị tính toán tải trọng nén do tổ hợp tải trọng bất lợi nhất</t>
    </r>
  </si>
  <si>
    <r>
      <t xml:space="preserve"> - </t>
    </r>
    <r>
      <rPr>
        <b/>
        <sz val="10"/>
        <rFont val="Times New Roman"/>
        <family val="1"/>
      </rPr>
      <t>R</t>
    </r>
    <r>
      <rPr>
        <b/>
        <vertAlign val="subscript"/>
        <sz val="10"/>
        <rFont val="Times New Roman"/>
        <family val="1"/>
      </rPr>
      <t>c,d</t>
    </r>
    <r>
      <rPr>
        <sz val="10"/>
        <rFont val="Times New Roman"/>
        <family val="1"/>
      </rPr>
      <t xml:space="preserve"> : trị tính toán sức chịu tải trọng nén</t>
    </r>
  </si>
  <si>
    <r>
      <t xml:space="preserve"> - </t>
    </r>
    <r>
      <rPr>
        <b/>
        <sz val="10"/>
        <rFont val="Times New Roman"/>
        <family val="1"/>
      </rPr>
      <t>R</t>
    </r>
    <r>
      <rPr>
        <b/>
        <vertAlign val="subscript"/>
        <sz val="10"/>
        <rFont val="Times New Roman"/>
        <family val="1"/>
      </rPr>
      <t>c,k</t>
    </r>
    <r>
      <rPr>
        <sz val="10"/>
        <rFont val="Times New Roman"/>
        <family val="1"/>
      </rPr>
      <t xml:space="preserve"> : trị tiêu chuẩn sức chịu tải trọng nén</t>
    </r>
  </si>
  <si>
    <r>
      <t xml:space="preserve"> - </t>
    </r>
    <r>
      <rPr>
        <b/>
        <sz val="10"/>
        <rFont val="Times New Roman"/>
        <family val="1"/>
      </rPr>
      <t>R</t>
    </r>
    <r>
      <rPr>
        <b/>
        <vertAlign val="superscript"/>
        <sz val="10"/>
        <rFont val="Times New Roman"/>
        <family val="1"/>
      </rPr>
      <t>i</t>
    </r>
    <r>
      <rPr>
        <b/>
        <vertAlign val="subscript"/>
        <sz val="10"/>
        <rFont val="Times New Roman"/>
        <family val="1"/>
      </rPr>
      <t>c,u</t>
    </r>
    <r>
      <rPr>
        <sz val="10"/>
        <rFont val="Times New Roman"/>
        <family val="1"/>
      </rPr>
      <t xml:space="preserve"> : trị riêng sức chịu tải cực hạn thứ i</t>
    </r>
  </si>
  <si>
    <r>
      <t xml:space="preserve"> - </t>
    </r>
    <r>
      <rPr>
        <b/>
        <sz val="10"/>
        <rFont val="Symbol"/>
        <family val="1"/>
        <charset val="2"/>
      </rPr>
      <t>g</t>
    </r>
    <r>
      <rPr>
        <b/>
        <vertAlign val="subscript"/>
        <sz val="10"/>
        <rFont val="Times New Roman"/>
        <family val="1"/>
      </rPr>
      <t>n</t>
    </r>
    <r>
      <rPr>
        <sz val="10"/>
        <rFont val="Times New Roman"/>
        <family val="1"/>
      </rPr>
      <t xml:space="preserve"> : hệ số tin cậy về tầm quan trọng của công trình, công trình cấp</t>
    </r>
  </si>
  <si>
    <r>
      <t xml:space="preserve"> - </t>
    </r>
    <r>
      <rPr>
        <b/>
        <sz val="10"/>
        <rFont val="Symbol"/>
        <family val="1"/>
        <charset val="2"/>
      </rPr>
      <t>g</t>
    </r>
    <r>
      <rPr>
        <b/>
        <vertAlign val="subscript"/>
        <sz val="10"/>
        <rFont val="Times New Roman"/>
        <family val="1"/>
      </rPr>
      <t>k</t>
    </r>
    <r>
      <rPr>
        <sz val="10"/>
        <rFont val="Times New Roman"/>
        <family val="1"/>
      </rPr>
      <t xml:space="preserve"> : hệ số tin cậy theo đất</t>
    </r>
  </si>
  <si>
    <t xml:space="preserve"> + Đáy móng cọc đài thấp nằm trên lớp đất tốt, cọc chống chịu nén của đài cao</t>
  </si>
  <si>
    <r>
      <rPr>
        <sz val="10"/>
        <rFont val="Symbol"/>
        <family val="1"/>
        <charset val="2"/>
      </rPr>
      <t>g</t>
    </r>
    <r>
      <rPr>
        <vertAlign val="subscript"/>
        <sz val="10"/>
        <rFont val="Times New Roman"/>
        <family val="1"/>
      </rPr>
      <t>k</t>
    </r>
    <r>
      <rPr>
        <sz val="10"/>
        <rFont val="Times New Roman"/>
        <family val="1"/>
      </rPr>
      <t xml:space="preserve"> =</t>
    </r>
  </si>
  <si>
    <t xml:space="preserve">    Nếu móng 1 cọc đóng (ép) với N &gt; 600 kN hoặc 1 cọc khoan nhồi với N &gt; 2500 kN,</t>
  </si>
  <si>
    <t xml:space="preserve"> + Đáy móng cọc đài thấp nằm trên lớp đất biến dạng lớn, cọc treo hay chống chịu tải trọng kéo</t>
  </si>
  <si>
    <r>
      <t xml:space="preserve"> - Móng có </t>
    </r>
    <r>
      <rPr>
        <sz val="10"/>
        <rFont val="Calibri"/>
        <family val="2"/>
      </rPr>
      <t>≥</t>
    </r>
    <r>
      <rPr>
        <sz val="10"/>
        <rFont val="Times New Roman"/>
        <family val="1"/>
      </rPr>
      <t xml:space="preserve"> 21 cọc</t>
    </r>
  </si>
  <si>
    <t xml:space="preserve"> - Móng có 11 -&gt; 20 cọc</t>
  </si>
  <si>
    <t xml:space="preserve"> - Móng có 06 -&gt; 10 cọc</t>
  </si>
  <si>
    <r>
      <rPr>
        <sz val="10"/>
        <rFont val="Symbol"/>
        <family val="1"/>
        <charset val="2"/>
      </rPr>
      <t>g</t>
    </r>
    <r>
      <rPr>
        <vertAlign val="subscript"/>
        <sz val="10"/>
        <rFont val="Times New Roman"/>
        <family val="1"/>
      </rPr>
      <t>n</t>
    </r>
    <r>
      <rPr>
        <sz val="10"/>
        <rFont val="Times New Roman"/>
        <family val="1"/>
      </rPr>
      <t xml:space="preserve"> =</t>
    </r>
  </si>
  <si>
    <t>Phương pháp</t>
  </si>
  <si>
    <r>
      <t>N</t>
    </r>
    <r>
      <rPr>
        <vertAlign val="subscript"/>
        <sz val="10"/>
        <rFont val="Times New Roman"/>
        <family val="1"/>
      </rPr>
      <t>c,d</t>
    </r>
    <r>
      <rPr>
        <sz val="10"/>
        <rFont val="Times New Roman"/>
        <family val="1"/>
      </rPr>
      <t xml:space="preserve"> </t>
    </r>
    <r>
      <rPr>
        <sz val="10"/>
        <rFont val="Calibri"/>
        <family val="2"/>
      </rPr>
      <t xml:space="preserve">≤ </t>
    </r>
    <r>
      <rPr>
        <sz val="10"/>
        <rFont val="Times New Roman"/>
        <family val="1"/>
      </rPr>
      <t>[R</t>
    </r>
    <r>
      <rPr>
        <vertAlign val="subscript"/>
        <sz val="10"/>
        <rFont val="Times New Roman"/>
        <family val="1"/>
      </rPr>
      <t>c,d</t>
    </r>
    <r>
      <rPr>
        <sz val="10"/>
        <rFont val="Times New Roman"/>
        <family val="1"/>
      </rPr>
      <t xml:space="preserve">] = </t>
    </r>
    <r>
      <rPr>
        <sz val="10"/>
        <rFont val="Symbol"/>
        <family val="1"/>
        <charset val="2"/>
      </rPr>
      <t>g</t>
    </r>
    <r>
      <rPr>
        <vertAlign val="subscript"/>
        <sz val="10"/>
        <rFont val="Times New Roman"/>
        <family val="1"/>
      </rPr>
      <t>o</t>
    </r>
    <r>
      <rPr>
        <sz val="10"/>
        <rFont val="Times New Roman"/>
        <family val="1"/>
      </rPr>
      <t>*R</t>
    </r>
    <r>
      <rPr>
        <vertAlign val="subscript"/>
        <sz val="10"/>
        <rFont val="Times New Roman"/>
        <family val="1"/>
      </rPr>
      <t>c,d</t>
    </r>
    <r>
      <rPr>
        <sz val="10"/>
        <rFont val="Times New Roman"/>
        <family val="1"/>
      </rPr>
      <t>/</t>
    </r>
    <r>
      <rPr>
        <sz val="10"/>
        <rFont val="Symbol"/>
        <family val="1"/>
        <charset val="2"/>
      </rPr>
      <t>g</t>
    </r>
    <r>
      <rPr>
        <vertAlign val="subscript"/>
        <sz val="10"/>
        <rFont val="Times New Roman"/>
        <family val="1"/>
      </rPr>
      <t>n</t>
    </r>
    <r>
      <rPr>
        <sz val="10"/>
        <rFont val="Times New Roman"/>
        <family val="1"/>
      </rPr>
      <t xml:space="preserve"> ; R</t>
    </r>
    <r>
      <rPr>
        <vertAlign val="subscript"/>
        <sz val="10"/>
        <rFont val="Times New Roman"/>
        <family val="1"/>
      </rPr>
      <t>c,d</t>
    </r>
    <r>
      <rPr>
        <sz val="10"/>
        <rFont val="Times New Roman"/>
        <family val="1"/>
      </rPr>
      <t xml:space="preserve"> = R</t>
    </r>
    <r>
      <rPr>
        <vertAlign val="subscript"/>
        <sz val="10"/>
        <rFont val="Times New Roman"/>
        <family val="1"/>
      </rPr>
      <t>c,k</t>
    </r>
    <r>
      <rPr>
        <sz val="10"/>
        <rFont val="Times New Roman"/>
        <family val="1"/>
      </rPr>
      <t>/</t>
    </r>
    <r>
      <rPr>
        <sz val="10"/>
        <rFont val="Symbol"/>
        <family val="1"/>
        <charset val="2"/>
      </rPr>
      <t>g</t>
    </r>
    <r>
      <rPr>
        <vertAlign val="subscript"/>
        <sz val="10"/>
        <rFont val="Times New Roman"/>
        <family val="1"/>
      </rPr>
      <t>k</t>
    </r>
    <r>
      <rPr>
        <sz val="10"/>
        <rFont val="Times New Roman"/>
        <family val="1"/>
      </rPr>
      <t xml:space="preserve"> </t>
    </r>
  </si>
  <si>
    <t>(Đ1)</t>
  </si>
  <si>
    <t>(Đ2)</t>
  </si>
  <si>
    <t>(Đ3)</t>
  </si>
  <si>
    <t>(Đ4)</t>
  </si>
  <si>
    <t>(Đ5)</t>
  </si>
  <si>
    <t>(Đ6)</t>
  </si>
  <si>
    <t>Kết luận!</t>
  </si>
  <si>
    <r>
      <t>Sức chịu tải cực hạn của cọc theo các hố khoan (R</t>
    </r>
    <r>
      <rPr>
        <vertAlign val="subscript"/>
        <sz val="10"/>
        <rFont val="Times New Roman"/>
        <family val="1"/>
      </rPr>
      <t>c,u</t>
    </r>
    <r>
      <rPr>
        <sz val="10"/>
        <rFont val="Times New Roman"/>
        <family val="1"/>
      </rPr>
      <t xml:space="preserve"> ; đơn vị: kN)</t>
    </r>
  </si>
  <si>
    <t>Sức chịu tải cọc theo vật liệu (kN)</t>
  </si>
  <si>
    <t>Loại cọc:</t>
  </si>
  <si>
    <r>
      <t xml:space="preserve">    A</t>
    </r>
    <r>
      <rPr>
        <vertAlign val="subscript"/>
        <sz val="10"/>
        <rFont val="Times New Roman"/>
        <family val="1"/>
      </rPr>
      <t xml:space="preserve">b </t>
    </r>
    <r>
      <rPr>
        <sz val="10"/>
        <rFont val="Times New Roman"/>
        <family val="1"/>
      </rPr>
      <t>: Diện tích tiết diện ngang thân cọc</t>
    </r>
  </si>
  <si>
    <r>
      <t>A</t>
    </r>
    <r>
      <rPr>
        <vertAlign val="subscript"/>
        <sz val="10"/>
        <rFont val="Times New Roman"/>
        <family val="1"/>
      </rPr>
      <t>b</t>
    </r>
    <r>
      <rPr>
        <sz val="10"/>
        <rFont val="Times New Roman"/>
        <family val="1"/>
      </rPr>
      <t xml:space="preserve"> =</t>
    </r>
  </si>
  <si>
    <r>
      <t>Trị triêu chuẩn sức chịu tải trọng nén R</t>
    </r>
    <r>
      <rPr>
        <vertAlign val="subscript"/>
        <sz val="10"/>
        <rFont val="Times New Roman"/>
        <family val="1"/>
      </rPr>
      <t>c,k</t>
    </r>
    <r>
      <rPr>
        <sz val="10"/>
        <rFont val="Times New Roman"/>
        <family val="1"/>
      </rPr>
      <t xml:space="preserve"> (đơn vị : kN)</t>
    </r>
  </si>
  <si>
    <t xml:space="preserve"> - Móng có 02 -&gt; 05 cọc</t>
  </si>
  <si>
    <t xml:space="preserve"> - Móng có 01 cọc</t>
  </si>
  <si>
    <t>(Đ7)</t>
  </si>
  <si>
    <t>[P] chọn (kN)</t>
  </si>
  <si>
    <r>
      <t>Trị tính toán sức chịu tải trọng nén [R</t>
    </r>
    <r>
      <rPr>
        <vertAlign val="subscript"/>
        <sz val="10"/>
        <rFont val="Times New Roman"/>
        <family val="1"/>
      </rPr>
      <t>c,d</t>
    </r>
    <r>
      <rPr>
        <sz val="10"/>
        <rFont val="Times New Roman"/>
        <family val="1"/>
      </rPr>
      <t xml:space="preserve"> ] (kN)</t>
    </r>
  </si>
  <si>
    <t>I. Tính toán sức chịu tải trọng nén giới hạn của cọc theo điều kiện đất nền:</t>
  </si>
  <si>
    <t xml:space="preserve"> II.Xác định các trị riêng sức chịu tải cực hạn: </t>
  </si>
  <si>
    <r>
      <t xml:space="preserve"> III.Xác định trị tiêu chuẩn sức chịu tải trọng nén R</t>
    </r>
    <r>
      <rPr>
        <b/>
        <vertAlign val="subscript"/>
        <sz val="10"/>
        <rFont val="Times New Roman"/>
        <family val="1"/>
      </rPr>
      <t>c,k</t>
    </r>
    <r>
      <rPr>
        <b/>
        <sz val="10"/>
        <rFont val="Times New Roman"/>
        <family val="1"/>
      </rPr>
      <t>:</t>
    </r>
  </si>
  <si>
    <r>
      <t xml:space="preserve"> IV.Xác định trị tính toán sức chịu tải trọng nén R</t>
    </r>
    <r>
      <rPr>
        <b/>
        <vertAlign val="subscript"/>
        <sz val="10"/>
        <rFont val="Times New Roman"/>
        <family val="1"/>
      </rPr>
      <t>c,d</t>
    </r>
    <r>
      <rPr>
        <b/>
        <sz val="10"/>
        <rFont val="Times New Roman"/>
        <family val="1"/>
      </rPr>
      <t>:</t>
    </r>
  </si>
  <si>
    <r>
      <t xml:space="preserve"> - </t>
    </r>
    <r>
      <rPr>
        <b/>
        <sz val="10"/>
        <rFont val="Symbol"/>
        <family val="1"/>
        <charset val="2"/>
      </rPr>
      <t>g</t>
    </r>
    <r>
      <rPr>
        <b/>
        <vertAlign val="subscript"/>
        <sz val="10"/>
        <rFont val="Times New Roman"/>
        <family val="1"/>
      </rPr>
      <t>o</t>
    </r>
    <r>
      <rPr>
        <sz val="10"/>
        <rFont val="Times New Roman"/>
        <family val="1"/>
      </rPr>
      <t xml:space="preserve"> : hệ số điều kiện làm việc lấy bằng 1.0 đối với cọc đơn và 1.15 trong móng nhiều cọc</t>
    </r>
  </si>
  <si>
    <t>Hố khoan:</t>
  </si>
  <si>
    <t>II</t>
  </si>
  <si>
    <t>1. Sức chịu tải cực hạn của cọc chống</t>
  </si>
  <si>
    <r>
      <t>Sức chịu tải trọng nén R</t>
    </r>
    <r>
      <rPr>
        <vertAlign val="subscript"/>
        <sz val="10"/>
        <rFont val="Times New Roman"/>
        <family val="1"/>
      </rPr>
      <t>c,u</t>
    </r>
    <r>
      <rPr>
        <sz val="10"/>
        <rFont val="Times New Roman"/>
        <family val="1"/>
      </rPr>
      <t xml:space="preserve"> (kN) của cọc khoan nhồi khi chân cọc tựa trên nền ít bị nén được xác định theo công thức:</t>
    </r>
  </si>
  <si>
    <r>
      <t xml:space="preserve">    </t>
    </r>
    <r>
      <rPr>
        <sz val="10"/>
        <rFont val="Symbol"/>
        <family val="1"/>
        <charset val="2"/>
      </rPr>
      <t>g</t>
    </r>
    <r>
      <rPr>
        <vertAlign val="subscript"/>
        <sz val="10"/>
        <rFont val="Times New Roman"/>
        <family val="1"/>
      </rPr>
      <t>c</t>
    </r>
    <r>
      <rPr>
        <sz val="10"/>
        <rFont val="Times New Roman"/>
        <family val="1"/>
      </rPr>
      <t xml:space="preserve"> : Hệ số điều kiện làm việc của cọc trong nền,  </t>
    </r>
    <r>
      <rPr>
        <sz val="10"/>
        <rFont val="Symbol"/>
        <family val="1"/>
        <charset val="2"/>
      </rPr>
      <t>g</t>
    </r>
    <r>
      <rPr>
        <vertAlign val="subscript"/>
        <sz val="10"/>
        <rFont val="Times New Roman"/>
        <family val="1"/>
      </rPr>
      <t>c</t>
    </r>
    <r>
      <rPr>
        <sz val="10"/>
        <rFont val="Times New Roman"/>
        <family val="1"/>
      </rPr>
      <t xml:space="preserve"> =1;</t>
    </r>
  </si>
  <si>
    <t>XÁC ĐỊNH SỨC CHỊU TẢI CỌC CHỐNG THEO CHỈ SỐ RQD</t>
  </si>
  <si>
    <t>Đối với cọc đóng hoặc ép nhồi, khoan nhồi và cọc ống nhồi bê tông tựa lên nền đá không phong hoá, hoặc nền</t>
  </si>
  <si>
    <r>
      <t xml:space="preserve">ít bị nén (không có các lớp đất yếu xen kẹp) và ngàm vào đó ít hơn 0,5 m, </t>
    </r>
    <r>
      <rPr>
        <b/>
        <sz val="10"/>
        <rFont val="Times New Roman"/>
        <family val="1"/>
      </rPr>
      <t>q</t>
    </r>
    <r>
      <rPr>
        <b/>
        <vertAlign val="subscript"/>
        <sz val="10"/>
        <rFont val="Times New Roman"/>
        <family val="1"/>
      </rPr>
      <t>b</t>
    </r>
    <r>
      <rPr>
        <sz val="10"/>
        <rFont val="Times New Roman"/>
        <family val="1"/>
      </rPr>
      <t xml:space="preserve"> xác định theo công thức:</t>
    </r>
  </si>
  <si>
    <r>
      <t xml:space="preserve">    </t>
    </r>
    <r>
      <rPr>
        <sz val="10"/>
        <rFont val="Symbol"/>
        <family val="1"/>
        <charset val="2"/>
      </rPr>
      <t>g</t>
    </r>
    <r>
      <rPr>
        <vertAlign val="subscript"/>
        <sz val="10"/>
        <rFont val="Times New Roman"/>
        <family val="1"/>
      </rPr>
      <t>g</t>
    </r>
    <r>
      <rPr>
        <sz val="10"/>
        <rFont val="Times New Roman"/>
        <family val="1"/>
      </rPr>
      <t xml:space="preserve"> : Hệ số tin cậy của đất,  </t>
    </r>
    <r>
      <rPr>
        <sz val="10"/>
        <rFont val="Symbol"/>
        <family val="1"/>
        <charset val="2"/>
      </rPr>
      <t>g</t>
    </r>
    <r>
      <rPr>
        <vertAlign val="subscript"/>
        <sz val="10"/>
        <rFont val="Times New Roman"/>
        <family val="1"/>
      </rPr>
      <t>g</t>
    </r>
    <r>
      <rPr>
        <sz val="10"/>
        <rFont val="Times New Roman"/>
        <family val="1"/>
      </rPr>
      <t xml:space="preserve"> =1,4;</t>
    </r>
  </si>
  <si>
    <r>
      <t xml:space="preserve">    R</t>
    </r>
    <r>
      <rPr>
        <vertAlign val="subscript"/>
        <sz val="10"/>
        <rFont val="Times New Roman"/>
        <family val="1"/>
      </rPr>
      <t xml:space="preserve">c,m,n </t>
    </r>
    <r>
      <rPr>
        <sz val="10"/>
        <rFont val="Times New Roman"/>
        <family val="1"/>
      </rPr>
      <t>: trị tiêu chuẩn của giới hạn bền chịu nén một trục của khối đá trong trạng thái no nước, theo nguyên tắc, xác định ngoài hiện trường;</t>
    </r>
  </si>
  <si>
    <r>
      <t xml:space="preserve">    R</t>
    </r>
    <r>
      <rPr>
        <vertAlign val="subscript"/>
        <sz val="10"/>
        <rFont val="Times New Roman"/>
        <family val="1"/>
      </rPr>
      <t xml:space="preserve">c,n </t>
    </r>
    <r>
      <rPr>
        <sz val="10"/>
        <rFont val="Times New Roman"/>
        <family val="1"/>
      </rPr>
      <t>: trị tiêu chuẩn giới hạn bền chịu nén một trục của đá ở trạng thái bão hòa nước, được xác định theo kết quả thử mẫu (nguyên khối) trong phòng thí nghiệm;</t>
    </r>
  </si>
  <si>
    <r>
      <t xml:space="preserve">    K</t>
    </r>
    <r>
      <rPr>
        <vertAlign val="subscript"/>
        <sz val="10"/>
        <rFont val="Times New Roman"/>
        <family val="1"/>
      </rPr>
      <t xml:space="preserve">s </t>
    </r>
    <r>
      <rPr>
        <sz val="10"/>
        <rFont val="Times New Roman"/>
        <family val="1"/>
      </rPr>
      <t>: hệ số, kể đến giảm cường độ do vết nứt trong nền đá, xác định theo Bảng 1 (Mục 7.2.1 TCVN 10304:2014)</t>
    </r>
  </si>
  <si>
    <t>*</t>
  </si>
  <si>
    <r>
      <t xml:space="preserve">    R</t>
    </r>
    <r>
      <rPr>
        <vertAlign val="subscript"/>
        <sz val="10"/>
        <rFont val="Times New Roman"/>
        <family val="1"/>
      </rPr>
      <t xml:space="preserve">m </t>
    </r>
    <r>
      <rPr>
        <sz val="10"/>
        <rFont val="Times New Roman"/>
        <family val="1"/>
      </rPr>
      <t>: cường độ sức kháng tính toán của khối đá dưới mũi cọc chống;</t>
    </r>
  </si>
  <si>
    <r>
      <t xml:space="preserve">Đối với cọc đóng hoặc ép nhồi, khoan nhồi và cọc ống nhồi bê tông tựa lên nền đá không phong hoá, hoặc nền ít bị nén (không có các lớp đất yếu xen kẹp) và ngàm vào đó ít nhất 0,5 m, </t>
    </r>
    <r>
      <rPr>
        <b/>
        <sz val="10"/>
        <rFont val="Times New Roman"/>
        <family val="1"/>
      </rPr>
      <t>q</t>
    </r>
    <r>
      <rPr>
        <b/>
        <vertAlign val="subscript"/>
        <sz val="10"/>
        <rFont val="Times New Roman"/>
        <family val="1"/>
      </rPr>
      <t>b</t>
    </r>
    <r>
      <rPr>
        <sz val="10"/>
        <rFont val="Times New Roman"/>
        <family val="1"/>
      </rPr>
      <t xml:space="preserve"> xác định theo công thức:</t>
    </r>
  </si>
  <si>
    <r>
      <t xml:space="preserve">    q</t>
    </r>
    <r>
      <rPr>
        <vertAlign val="subscript"/>
        <sz val="10"/>
        <rFont val="Times New Roman"/>
        <family val="1"/>
      </rPr>
      <t>b</t>
    </r>
    <r>
      <rPr>
        <sz val="10"/>
        <rFont val="Times New Roman"/>
        <family val="1"/>
      </rPr>
      <t xml:space="preserve"> : Cường độ sức kháng của đất dưới mũi cọc chống, q</t>
    </r>
    <r>
      <rPr>
        <vertAlign val="subscript"/>
        <sz val="10"/>
        <rFont val="Times New Roman"/>
        <family val="1"/>
      </rPr>
      <t>b</t>
    </r>
    <r>
      <rPr>
        <sz val="10"/>
        <rFont val="Times New Roman"/>
        <family val="1"/>
      </rPr>
      <t xml:space="preserve"> </t>
    </r>
    <r>
      <rPr>
        <sz val="10"/>
        <rFont val="Calibri"/>
        <family val="2"/>
      </rPr>
      <t xml:space="preserve">≤ </t>
    </r>
    <r>
      <rPr>
        <sz val="10"/>
        <rFont val="Times New Roman"/>
        <family val="1"/>
      </rPr>
      <t>20 MPa;</t>
    </r>
  </si>
  <si>
    <r>
      <t xml:space="preserve">    l</t>
    </r>
    <r>
      <rPr>
        <vertAlign val="subscript"/>
        <sz val="10"/>
        <rFont val="Times New Roman"/>
        <family val="1"/>
      </rPr>
      <t>d</t>
    </r>
    <r>
      <rPr>
        <sz val="10"/>
        <rFont val="Times New Roman"/>
        <family val="1"/>
      </rPr>
      <t xml:space="preserve"> : là chiều sâu ngàm cọc vào đá;</t>
    </r>
  </si>
  <si>
    <r>
      <t xml:space="preserve">    d</t>
    </r>
    <r>
      <rPr>
        <vertAlign val="subscript"/>
        <sz val="10"/>
        <rFont val="Times New Roman"/>
        <family val="1"/>
      </rPr>
      <t>f</t>
    </r>
    <r>
      <rPr>
        <sz val="10"/>
        <rFont val="Times New Roman"/>
        <family val="1"/>
      </rPr>
      <t xml:space="preserve"> : là đường kính ngoài của phần cọc ngàm vào đá;</t>
    </r>
  </si>
  <si>
    <r>
      <t xml:space="preserve">    Giá trị (1+0,4.l</t>
    </r>
    <r>
      <rPr>
        <vertAlign val="subscript"/>
        <sz val="10"/>
        <rFont val="Times New Roman"/>
        <family val="1"/>
      </rPr>
      <t>d</t>
    </r>
    <r>
      <rPr>
        <sz val="10"/>
        <rFont val="Times New Roman"/>
        <family val="1"/>
      </rPr>
      <t>/d</t>
    </r>
    <r>
      <rPr>
        <vertAlign val="subscript"/>
        <sz val="10"/>
        <rFont val="Times New Roman"/>
        <family val="1"/>
      </rPr>
      <t>f</t>
    </r>
    <r>
      <rPr>
        <sz val="10"/>
        <rFont val="Times New Roman"/>
        <family val="1"/>
      </rPr>
      <t>) không lớn hơn 3</t>
    </r>
  </si>
  <si>
    <t>- Chiều sâu ngàm cọc vào đá :</t>
  </si>
  <si>
    <r>
      <t>l</t>
    </r>
    <r>
      <rPr>
        <vertAlign val="subscript"/>
        <sz val="10"/>
        <rFont val="Times New Roman"/>
        <family val="1"/>
      </rPr>
      <t>d</t>
    </r>
    <r>
      <rPr>
        <sz val="10"/>
        <rFont val="Times New Roman"/>
        <family val="1"/>
      </rPr>
      <t xml:space="preserve"> =</t>
    </r>
  </si>
  <si>
    <r>
      <t>d</t>
    </r>
    <r>
      <rPr>
        <vertAlign val="subscript"/>
        <sz val="10"/>
        <rFont val="Times New Roman"/>
        <family val="1"/>
      </rPr>
      <t>f</t>
    </r>
    <r>
      <rPr>
        <sz val="10"/>
        <rFont val="Times New Roman"/>
        <family val="1"/>
      </rPr>
      <t xml:space="preserve"> =</t>
    </r>
  </si>
  <si>
    <t>- Diện tích tiết diện ngang thân cọc:</t>
  </si>
  <si>
    <t>- Chỉ số chất lượng đá :</t>
  </si>
  <si>
    <t xml:space="preserve">RQD = </t>
  </si>
  <si>
    <t>%</t>
  </si>
  <si>
    <t>- Hệ số giảm cường độ trong nền đá :</t>
  </si>
  <si>
    <r>
      <t>K</t>
    </r>
    <r>
      <rPr>
        <vertAlign val="subscript"/>
        <sz val="10"/>
        <rFont val="Times New Roman"/>
        <family val="1"/>
      </rPr>
      <t>s</t>
    </r>
    <r>
      <rPr>
        <sz val="10"/>
        <rFont val="Times New Roman"/>
        <family val="1"/>
      </rPr>
      <t xml:space="preserve"> = </t>
    </r>
  </si>
  <si>
    <r>
      <t>R</t>
    </r>
    <r>
      <rPr>
        <vertAlign val="subscript"/>
        <sz val="10"/>
        <rFont val="Times New Roman"/>
        <family val="1"/>
      </rPr>
      <t>c,n</t>
    </r>
    <r>
      <rPr>
        <sz val="10"/>
        <rFont val="Times New Roman"/>
        <family val="1"/>
      </rPr>
      <t xml:space="preserve"> = </t>
    </r>
  </si>
  <si>
    <t>Mpa</t>
  </si>
  <si>
    <t>- Cường độ chịu nén bão hòa của đá trong phòng thí nghiệm :</t>
  </si>
  <si>
    <t>- Cường độ chịu nén bão hòa của đá ngoài hiện trường :</t>
  </si>
  <si>
    <r>
      <t>R</t>
    </r>
    <r>
      <rPr>
        <vertAlign val="subscript"/>
        <sz val="10"/>
        <rFont val="Times New Roman"/>
        <family val="1"/>
      </rPr>
      <t>c,m,n</t>
    </r>
    <r>
      <rPr>
        <sz val="10"/>
        <rFont val="Times New Roman"/>
        <family val="1"/>
      </rPr>
      <t xml:space="preserve"> = </t>
    </r>
  </si>
  <si>
    <r>
      <t>R</t>
    </r>
    <r>
      <rPr>
        <vertAlign val="subscript"/>
        <sz val="10"/>
        <rFont val="Times New Roman"/>
        <family val="1"/>
      </rPr>
      <t>m</t>
    </r>
    <r>
      <rPr>
        <sz val="10"/>
        <rFont val="Times New Roman"/>
        <family val="1"/>
      </rPr>
      <t xml:space="preserve"> = </t>
    </r>
  </si>
  <si>
    <t>- Cường độ sức kháng tính toán của khối đá dưới mũi cọc chống:</t>
  </si>
  <si>
    <t>- Cường độ sức kháng của đất dưới mũi cọc chống:</t>
  </si>
  <si>
    <r>
      <t>q</t>
    </r>
    <r>
      <rPr>
        <vertAlign val="subscript"/>
        <sz val="10"/>
        <rFont val="Times New Roman"/>
        <family val="1"/>
      </rPr>
      <t>b</t>
    </r>
    <r>
      <rPr>
        <sz val="10"/>
        <rFont val="Times New Roman"/>
        <family val="1"/>
      </rPr>
      <t xml:space="preserve"> = </t>
    </r>
  </si>
  <si>
    <t>Cọc khoan nhồi</t>
  </si>
  <si>
    <t>RQD</t>
  </si>
  <si>
    <r>
      <t>R</t>
    </r>
    <r>
      <rPr>
        <vertAlign val="subscript"/>
        <sz val="10"/>
        <rFont val="Times New Roman"/>
        <family val="1"/>
      </rPr>
      <t>c,u</t>
    </r>
    <r>
      <rPr>
        <sz val="10"/>
        <rFont val="Times New Roman"/>
        <family val="1"/>
      </rPr>
      <t xml:space="preserve"> = </t>
    </r>
  </si>
  <si>
    <t>kN</t>
  </si>
  <si>
    <r>
      <t xml:space="preserve">                                 R</t>
    </r>
    <r>
      <rPr>
        <b/>
        <vertAlign val="subscript"/>
        <sz val="11"/>
        <rFont val="Times New Roman"/>
        <family val="1"/>
      </rPr>
      <t>c,u</t>
    </r>
    <r>
      <rPr>
        <b/>
        <sz val="11"/>
        <rFont val="Times New Roman"/>
        <family val="1"/>
      </rPr>
      <t xml:space="preserve"> = </t>
    </r>
    <r>
      <rPr>
        <b/>
        <sz val="11"/>
        <rFont val="Symbol"/>
        <family val="1"/>
        <charset val="2"/>
      </rPr>
      <t>g</t>
    </r>
    <r>
      <rPr>
        <b/>
        <vertAlign val="subscript"/>
        <sz val="11"/>
        <rFont val="Times New Roman"/>
        <family val="1"/>
      </rPr>
      <t>c</t>
    </r>
    <r>
      <rPr>
        <b/>
        <sz val="11"/>
        <rFont val="Times New Roman"/>
        <family val="1"/>
      </rPr>
      <t>.q</t>
    </r>
    <r>
      <rPr>
        <b/>
        <vertAlign val="subscript"/>
        <sz val="11"/>
        <rFont val="Times New Roman"/>
        <family val="1"/>
      </rPr>
      <t>b</t>
    </r>
    <r>
      <rPr>
        <b/>
        <sz val="11"/>
        <rFont val="Times New Roman"/>
        <family val="1"/>
      </rPr>
      <t>.A</t>
    </r>
    <r>
      <rPr>
        <b/>
        <vertAlign val="subscript"/>
        <sz val="11"/>
        <rFont val="Times New Roman"/>
        <family val="1"/>
      </rPr>
      <t>b</t>
    </r>
    <r>
      <rPr>
        <b/>
        <sz val="12"/>
        <rFont val="Times New Roman"/>
        <family val="1"/>
      </rPr>
      <t/>
    </r>
  </si>
  <si>
    <t>RQD (%)</t>
  </si>
  <si>
    <t>Ks</t>
  </si>
  <si>
    <r>
      <t xml:space="preserve">                               q</t>
    </r>
    <r>
      <rPr>
        <b/>
        <vertAlign val="subscript"/>
        <sz val="11"/>
        <rFont val="Times New Roman"/>
        <family val="1"/>
      </rPr>
      <t xml:space="preserve">b </t>
    </r>
    <r>
      <rPr>
        <b/>
        <sz val="11"/>
        <rFont val="Times New Roman"/>
        <family val="1"/>
      </rPr>
      <t>= R</t>
    </r>
    <r>
      <rPr>
        <b/>
        <vertAlign val="subscript"/>
        <sz val="11"/>
        <rFont val="Times New Roman"/>
        <family val="1"/>
      </rPr>
      <t>m</t>
    </r>
    <r>
      <rPr>
        <b/>
        <sz val="11"/>
        <rFont val="Times New Roman"/>
        <family val="1"/>
      </rPr>
      <t xml:space="preserve"> = R</t>
    </r>
    <r>
      <rPr>
        <b/>
        <vertAlign val="subscript"/>
        <sz val="11"/>
        <rFont val="Times New Roman"/>
        <family val="1"/>
      </rPr>
      <t>c,m,n</t>
    </r>
    <r>
      <rPr>
        <b/>
        <sz val="11"/>
        <rFont val="Times New Roman"/>
        <family val="1"/>
      </rPr>
      <t>/</t>
    </r>
    <r>
      <rPr>
        <b/>
        <sz val="11"/>
        <rFont val="Symbol"/>
        <family val="1"/>
        <charset val="2"/>
      </rPr>
      <t>g</t>
    </r>
    <r>
      <rPr>
        <b/>
        <vertAlign val="subscript"/>
        <sz val="11"/>
        <rFont val="Times New Roman"/>
        <family val="1"/>
      </rPr>
      <t>g</t>
    </r>
  </si>
  <si>
    <r>
      <t xml:space="preserve">                              R</t>
    </r>
    <r>
      <rPr>
        <b/>
        <vertAlign val="subscript"/>
        <sz val="11"/>
        <rFont val="Times New Roman"/>
        <family val="1"/>
      </rPr>
      <t>c,m,n</t>
    </r>
    <r>
      <rPr>
        <b/>
        <sz val="11"/>
        <rFont val="Times New Roman"/>
        <family val="1"/>
      </rPr>
      <t xml:space="preserve"> = R</t>
    </r>
    <r>
      <rPr>
        <b/>
        <vertAlign val="subscript"/>
        <sz val="11"/>
        <rFont val="Times New Roman"/>
        <family val="1"/>
      </rPr>
      <t xml:space="preserve">c,n </t>
    </r>
    <r>
      <rPr>
        <b/>
        <sz val="11"/>
        <rFont val="Times New Roman"/>
        <family val="1"/>
      </rPr>
      <t>.K</t>
    </r>
    <r>
      <rPr>
        <b/>
        <vertAlign val="subscript"/>
        <sz val="11"/>
        <rFont val="Times New Roman"/>
        <family val="1"/>
      </rPr>
      <t>s</t>
    </r>
  </si>
  <si>
    <r>
      <t xml:space="preserve">                              q</t>
    </r>
    <r>
      <rPr>
        <b/>
        <vertAlign val="subscript"/>
        <sz val="11"/>
        <rFont val="Times New Roman"/>
        <family val="1"/>
      </rPr>
      <t>b</t>
    </r>
    <r>
      <rPr>
        <b/>
        <sz val="11"/>
        <rFont val="Times New Roman"/>
        <family val="1"/>
      </rPr>
      <t xml:space="preserve"> = R</t>
    </r>
    <r>
      <rPr>
        <b/>
        <vertAlign val="subscript"/>
        <sz val="11"/>
        <rFont val="Times New Roman"/>
        <family val="1"/>
      </rPr>
      <t xml:space="preserve">m </t>
    </r>
    <r>
      <rPr>
        <b/>
        <sz val="11"/>
        <rFont val="Times New Roman"/>
        <family val="1"/>
      </rPr>
      <t>.(1+0,4.l</t>
    </r>
    <r>
      <rPr>
        <b/>
        <vertAlign val="subscript"/>
        <sz val="11"/>
        <rFont val="Times New Roman"/>
        <family val="1"/>
      </rPr>
      <t>d</t>
    </r>
    <r>
      <rPr>
        <b/>
        <sz val="11"/>
        <rFont val="Times New Roman"/>
        <family val="1"/>
      </rPr>
      <t>/d</t>
    </r>
    <r>
      <rPr>
        <b/>
        <vertAlign val="subscript"/>
        <sz val="11"/>
        <rFont val="Times New Roman"/>
        <family val="1"/>
      </rPr>
      <t>f</t>
    </r>
    <r>
      <rPr>
        <b/>
        <sz val="11"/>
        <rFont val="Times New Roman"/>
        <family val="1"/>
      </rPr>
      <t>)</t>
    </r>
  </si>
  <si>
    <t>- &gt; Sức chịu tải trọng nén cực hạn của cọc chống:</t>
  </si>
  <si>
    <t>HK25</t>
  </si>
  <si>
    <t>HK26</t>
  </si>
  <si>
    <t>HK28</t>
  </si>
  <si>
    <t>HK27</t>
  </si>
  <si>
    <t>HK29</t>
  </si>
  <si>
    <t>HK30</t>
  </si>
  <si>
    <t>D1000</t>
  </si>
  <si>
    <t>TỔNG HỢP TÍNH TOÁN SỨC CHỊU TẢI CỌC CHỐNG THEO CHỈ SỐ RQD-CỌC D1000
 (TCVN 10304 : 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</si>
</sst>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7">
    <numFmt numFmtId="6" formatCode="&quot;$&quot;#,##0_);[Red]\(&quot;$&quot;#,##0\)"/>
    <numFmt numFmtId="43" formatCode="_(* #,##0.00_);_(* \(#,##0.00\);_(* &quot;-&quot;??_);_(@_)"/>
    <numFmt numFmtId="164" formatCode="_-* #,##0_-;\-* #,##0_-;_-* &quot;-&quot;_-;_-@_-"/>
    <numFmt numFmtId="165" formatCode="_-* #,##0.00_-;\-* #,##0.00_-;_-* &quot;-&quot;??_-;_-@_-"/>
    <numFmt numFmtId="166" formatCode="0.000"/>
    <numFmt numFmtId="167" formatCode="0.0"/>
    <numFmt numFmtId="168" formatCode="&quot;\&quot;#,##0.00;[Red]\-&quot;\&quot;#,##0.00"/>
    <numFmt numFmtId="169" formatCode="&quot;\&quot;#,##0;[Red]&quot;\&quot;\-#,##0"/>
    <numFmt numFmtId="170" formatCode="&quot;\&quot;#,##0.00;[Red]&quot;\&quot;\-#,##0.00"/>
    <numFmt numFmtId="171" formatCode="\$#,##0\ ;\(\$#,##0\)"/>
    <numFmt numFmtId="172" formatCode="&quot;\&quot;#,##0;[Red]&quot;\&quot;&quot;\&quot;\-#,##0"/>
    <numFmt numFmtId="173" formatCode="_-&quot;$&quot;* #,##0_-;\-&quot;$&quot;* #,##0_-;_-&quot;$&quot;* &quot;-&quot;_-;_-@_-"/>
    <numFmt numFmtId="174" formatCode="_-&quot;$&quot;* #,##0.00_-;\-&quot;$&quot;* #,##0.00_-;_-&quot;$&quot;* &quot;-&quot;??_-;_-@_-"/>
    <numFmt numFmtId="175" formatCode="0.0000000"/>
    <numFmt numFmtId="176" formatCode="_ * #,##0_ ;_ * \-#,##0_ ;_ * &quot;-&quot;_ ;_ @_ "/>
    <numFmt numFmtId="177" formatCode="_ * #,##0.00_ ;_ * \-#,##0.00_ ;_ * &quot;-&quot;??_ ;_ @_ "/>
    <numFmt numFmtId="178" formatCode="_(* #,##0.000_);_(* \(#,##0.000\);_(* &quot;-&quot;??_);_(@_)"/>
    <numFmt numFmtId="179" formatCode="_ &quot;\&quot;* #,##0_ ;_ &quot;\&quot;* \-#,##0_ ;_ &quot;\&quot;* &quot;-&quot;_ ;_ @_ "/>
    <numFmt numFmtId="180" formatCode="_ &quot;\&quot;* #,##0.00_ ;_ &quot;\&quot;* \-#,##0.00_ ;_ &quot;\&quot;* &quot;-&quot;??_ ;_ @_ "/>
    <numFmt numFmtId="181" formatCode="_(&quot;$&quot;* #,##0.0_);_(&quot;$&quot;* \(#,##0.0\);_(&quot;$&quot;* &quot;-&quot;??_);_(@_)"/>
    <numFmt numFmtId="182" formatCode="0.0000"/>
    <numFmt numFmtId="183" formatCode="_(* #,##0_);_(* \(#,##0\);_(* &quot;-&quot;??_);_(@_)"/>
    <numFmt numFmtId="184" formatCode="&quot;= &quot;0"/>
    <numFmt numFmtId="185" formatCode="0.00&quot; (T)&quot;"/>
    <numFmt numFmtId="186" formatCode="0.0\ &quot;mm2&quot;"/>
    <numFmt numFmtId="187" formatCode="0.0&quot; (T)&quot;"/>
    <numFmt numFmtId="188" formatCode="0&quot; kN&quot;"/>
  </numFmts>
  <fonts count="97">
    <font>
      <sz val="12"/>
      <name val=".vnarial"/>
    </font>
    <font>
      <sz val="12"/>
      <name val=".VnArial"/>
      <family val="2"/>
    </font>
    <font>
      <sz val="10"/>
      <name val="Arial"/>
      <family val="2"/>
    </font>
    <font>
      <b/>
      <sz val="12"/>
      <name val="Arial"/>
      <family val="2"/>
    </font>
    <font>
      <b/>
      <sz val="18"/>
      <name val="Arial"/>
      <family val="2"/>
    </font>
    <font>
      <sz val="14"/>
      <name val="뼻뮝"/>
      <family val="3"/>
      <charset val="129"/>
    </font>
    <font>
      <sz val="12"/>
      <name val="바탕체"/>
      <family val="3"/>
    </font>
    <font>
      <sz val="12"/>
      <name val="뼻뮝"/>
      <family val="1"/>
      <charset val="129"/>
    </font>
    <font>
      <sz val="12"/>
      <name val=".VnTime"/>
      <family val="2"/>
    </font>
    <font>
      <sz val="12"/>
      <name val="바탕체"/>
      <family val="1"/>
      <charset val="129"/>
    </font>
    <font>
      <sz val="10"/>
      <name val="굴림체"/>
      <family val="3"/>
      <charset val="129"/>
    </font>
    <font>
      <sz val="8"/>
      <name val=".VnArial"/>
      <family val="2"/>
    </font>
    <font>
      <u/>
      <sz val="9"/>
      <color indexed="36"/>
      <name val="Geneva"/>
    </font>
    <font>
      <u/>
      <sz val="9"/>
      <color indexed="12"/>
      <name val="Geneva"/>
    </font>
    <font>
      <sz val="10"/>
      <name val=".VnArial"/>
      <family val="2"/>
    </font>
    <font>
      <sz val="14"/>
      <name val="??"/>
      <family val="3"/>
    </font>
    <font>
      <sz val="12"/>
      <name val="????"/>
      <charset val="136"/>
    </font>
    <font>
      <sz val="12"/>
      <name val="???"/>
      <family val="3"/>
    </font>
    <font>
      <sz val="10"/>
      <name val="???"/>
      <family val="3"/>
    </font>
    <font>
      <b/>
      <u/>
      <sz val="14"/>
      <color indexed="8"/>
      <name val=".VnBook-AntiquaH"/>
      <family val="2"/>
    </font>
    <font>
      <i/>
      <sz val="12"/>
      <color indexed="8"/>
      <name val=".VnBook-AntiquaH"/>
      <family val="2"/>
    </font>
    <font>
      <b/>
      <sz val="12"/>
      <color indexed="8"/>
      <name val=".VnBook-Antiqua"/>
      <family val="2"/>
    </font>
    <font>
      <i/>
      <sz val="12"/>
      <color indexed="8"/>
      <name val=".VnBook-Antiqua"/>
      <family val="2"/>
    </font>
    <font>
      <sz val="12"/>
      <name val="±¼¸²Ã¼"/>
      <family val="3"/>
      <charset val="129"/>
    </font>
    <font>
      <sz val="12"/>
      <name val="¹UAAA¼"/>
      <family val="3"/>
      <charset val="129"/>
    </font>
    <font>
      <sz val="12"/>
      <name val="µ¸¿òÃ¼"/>
      <family val="3"/>
      <charset val="129"/>
    </font>
    <font>
      <sz val="12"/>
      <name val="Arial"/>
      <family val="2"/>
    </font>
    <font>
      <sz val="14"/>
      <name val=".VnTime"/>
      <family val="2"/>
    </font>
    <font>
      <sz val="14"/>
      <name val=".VnArial"/>
      <family val="2"/>
    </font>
    <font>
      <sz val="9"/>
      <name val="Arial"/>
      <family val="2"/>
    </font>
    <font>
      <sz val="12"/>
      <name val="Courier"/>
      <family val="3"/>
    </font>
    <font>
      <sz val="10"/>
      <name val=" "/>
      <family val="1"/>
      <charset val="136"/>
    </font>
    <font>
      <sz val="12"/>
      <name val="Times New Roman"/>
      <family val="1"/>
    </font>
    <font>
      <sz val="10"/>
      <name val="Arial"/>
      <family val="2"/>
    </font>
    <font>
      <b/>
      <sz val="12"/>
      <name val=".VnArialH"/>
      <family val="2"/>
    </font>
    <font>
      <sz val="12"/>
      <name val=".VnArial"/>
      <family val="2"/>
    </font>
    <font>
      <sz val="9"/>
      <name val=".VnArial"/>
      <family val="2"/>
    </font>
    <font>
      <b/>
      <sz val="9"/>
      <name val=".VnArial"/>
      <family val="2"/>
    </font>
    <font>
      <b/>
      <vertAlign val="subscript"/>
      <sz val="9"/>
      <name val=".VnArial"/>
      <family val="2"/>
    </font>
    <font>
      <sz val="9"/>
      <name val=".VnArial"/>
      <family val="2"/>
    </font>
    <font>
      <b/>
      <sz val="9"/>
      <color indexed="12"/>
      <name val=".VnArial"/>
      <family val="2"/>
    </font>
    <font>
      <b/>
      <sz val="12"/>
      <name val=".VnArial"/>
      <family val="2"/>
    </font>
    <font>
      <sz val="9"/>
      <name val=".VnAvant"/>
      <family val="2"/>
    </font>
    <font>
      <b/>
      <sz val="9"/>
      <name val="Arial"/>
      <family val="2"/>
    </font>
    <font>
      <b/>
      <sz val="9"/>
      <color indexed="12"/>
      <name val="Arial"/>
      <family val="2"/>
    </font>
    <font>
      <sz val="12"/>
      <name val=".VnArialH"/>
      <family val="2"/>
    </font>
    <font>
      <sz val="10"/>
      <name val=".VnArial"/>
      <family val="2"/>
    </font>
    <font>
      <b/>
      <sz val="10"/>
      <name val=".VnArial"/>
      <family val="2"/>
    </font>
    <font>
      <b/>
      <sz val="10"/>
      <name val=".VnArialH"/>
      <family val="2"/>
    </font>
    <font>
      <sz val="10"/>
      <color indexed="18"/>
      <name val=".VnArial"/>
      <family val="2"/>
    </font>
    <font>
      <b/>
      <vertAlign val="superscript"/>
      <sz val="10"/>
      <name val=".VnArial"/>
      <family val="2"/>
    </font>
    <font>
      <b/>
      <sz val="10"/>
      <color indexed="12"/>
      <name val=".VnArial"/>
      <family val="2"/>
    </font>
    <font>
      <b/>
      <sz val="10"/>
      <color indexed="18"/>
      <name val=".VnArial"/>
      <family val="2"/>
    </font>
    <font>
      <b/>
      <vertAlign val="subscript"/>
      <sz val="10"/>
      <name val=".VnArial"/>
      <family val="2"/>
    </font>
    <font>
      <b/>
      <sz val="10"/>
      <color indexed="10"/>
      <name val=".VnArial"/>
      <family val="2"/>
    </font>
    <font>
      <sz val="10"/>
      <color indexed="10"/>
      <name val=".VnArial"/>
      <family val="2"/>
    </font>
    <font>
      <sz val="8"/>
      <name val="Arial"/>
      <family val="2"/>
    </font>
    <font>
      <b/>
      <sz val="10"/>
      <name val="Symbol"/>
      <family val="1"/>
      <charset val="2"/>
    </font>
    <font>
      <b/>
      <sz val="10"/>
      <name val="UniversalMath1 BT"/>
      <family val="1"/>
      <charset val="2"/>
    </font>
    <font>
      <b/>
      <vertAlign val="subscript"/>
      <sz val="11"/>
      <name val=".VnArial"/>
      <family val="2"/>
    </font>
    <font>
      <b/>
      <sz val="11"/>
      <name val=".VnArial"/>
      <family val="2"/>
    </font>
    <font>
      <vertAlign val="subscript"/>
      <sz val="10"/>
      <name val=".VnArial"/>
      <family val="2"/>
    </font>
    <font>
      <sz val="10"/>
      <color indexed="9"/>
      <name val=".VnArial"/>
      <family val="2"/>
    </font>
    <font>
      <b/>
      <sz val="9"/>
      <name val="Times New Roman"/>
      <family val="1"/>
    </font>
    <font>
      <b/>
      <sz val="12"/>
      <name val="Times New Roman"/>
      <family val="1"/>
    </font>
    <font>
      <sz val="9"/>
      <name val="Times New Roman"/>
      <family val="1"/>
    </font>
    <font>
      <b/>
      <sz val="9"/>
      <color indexed="12"/>
      <name val="Times New Roman"/>
      <family val="1"/>
    </font>
    <font>
      <sz val="10"/>
      <name val="Times New Roman"/>
      <family val="1"/>
    </font>
    <font>
      <b/>
      <sz val="10"/>
      <name val="Times New Roman"/>
      <family val="1"/>
    </font>
    <font>
      <i/>
      <sz val="10"/>
      <name val="Times New Roman"/>
      <family val="1"/>
    </font>
    <font>
      <b/>
      <vertAlign val="subscript"/>
      <sz val="10"/>
      <name val="Times New Roman"/>
      <family val="1"/>
    </font>
    <font>
      <vertAlign val="superscript"/>
      <sz val="10"/>
      <name val="Times New Roman"/>
      <family val="1"/>
    </font>
    <font>
      <vertAlign val="subscript"/>
      <sz val="10"/>
      <name val="Times New Roman"/>
      <family val="1"/>
    </font>
    <font>
      <sz val="10"/>
      <name val="Calibri"/>
      <family val="2"/>
    </font>
    <font>
      <b/>
      <sz val="11"/>
      <name val="Times New Roman"/>
      <family val="1"/>
    </font>
    <font>
      <b/>
      <vertAlign val="subscript"/>
      <sz val="11"/>
      <name val="Times New Roman"/>
      <family val="1"/>
    </font>
    <font>
      <vertAlign val="subscript"/>
      <sz val="9"/>
      <name val="Times New Roman"/>
      <family val="1"/>
    </font>
    <font>
      <sz val="11"/>
      <name val="Times New Roman"/>
      <family val="1"/>
    </font>
    <font>
      <vertAlign val="superscript"/>
      <sz val="11"/>
      <name val="Times New Roman"/>
      <family val="1"/>
    </font>
    <font>
      <b/>
      <u/>
      <sz val="11"/>
      <name val="Times New Roman"/>
      <family val="1"/>
    </font>
    <font>
      <sz val="11"/>
      <name val="Arial"/>
      <family val="2"/>
    </font>
    <font>
      <b/>
      <sz val="11"/>
      <name val="Arial"/>
      <family val="2"/>
    </font>
    <font>
      <vertAlign val="subscript"/>
      <sz val="11"/>
      <name val="Times New Roman"/>
      <family val="1"/>
    </font>
    <font>
      <sz val="11"/>
      <color indexed="12"/>
      <name val="Times New Roman"/>
      <family val="1"/>
    </font>
    <font>
      <sz val="10"/>
      <name val="Symbol"/>
      <family val="1"/>
      <charset val="2"/>
    </font>
    <font>
      <b/>
      <u/>
      <sz val="10"/>
      <name val="Times New Roman"/>
      <family val="1"/>
    </font>
    <font>
      <b/>
      <vertAlign val="superscript"/>
      <sz val="10"/>
      <name val="Times New Roman"/>
      <family val="1"/>
    </font>
    <font>
      <b/>
      <sz val="15"/>
      <name val="Times New Roman"/>
      <family val="1"/>
    </font>
    <font>
      <i/>
      <sz val="12"/>
      <name val="Times New Roman"/>
      <family val="1"/>
    </font>
    <font>
      <sz val="11"/>
      <color indexed="30"/>
      <name val="Times New Roman"/>
      <family val="1"/>
    </font>
    <font>
      <b/>
      <sz val="11"/>
      <color indexed="30"/>
      <name val="Times New Roman"/>
      <family val="1"/>
    </font>
    <font>
      <b/>
      <sz val="10"/>
      <color indexed="10"/>
      <name val="Times New Roman"/>
      <family val="1"/>
    </font>
    <font>
      <sz val="10"/>
      <color indexed="10"/>
      <name val="Times New Roman"/>
      <family val="1"/>
    </font>
    <font>
      <sz val="12"/>
      <color indexed="30"/>
      <name val=".VnArial"/>
      <family val="2"/>
    </font>
    <font>
      <sz val="8"/>
      <name val=".VnArial"/>
      <family val="2"/>
    </font>
    <font>
      <b/>
      <sz val="11"/>
      <name val="Symbol"/>
      <family val="1"/>
      <charset val="2"/>
    </font>
    <font>
      <b/>
      <sz val="11.5"/>
      <name val="Times New Roman"/>
      <family val="1"/>
    </font>
  </fonts>
  <fills count="7">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theme="0"/>
        <bgColor indexed="64"/>
      </patternFill>
    </fill>
  </fills>
  <borders count="28">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s>
  <cellStyleXfs count="66">
    <xf numFmtId="0" fontId="0" fillId="0" borderId="0"/>
    <xf numFmtId="178" fontId="8" fillId="0" borderId="0" applyFont="0" applyFill="0" applyBorder="0" applyAlignment="0" applyProtection="0"/>
    <xf numFmtId="0" fontId="15" fillId="0" borderId="0" applyFont="0" applyFill="0" applyBorder="0" applyAlignment="0" applyProtection="0"/>
    <xf numFmtId="175" fontId="8" fillId="0" borderId="0" applyFont="0" applyFill="0" applyBorder="0" applyAlignment="0" applyProtection="0"/>
    <xf numFmtId="40" fontId="15" fillId="0" borderId="0" applyFont="0" applyFill="0" applyBorder="0" applyAlignment="0" applyProtection="0"/>
    <xf numFmtId="38" fontId="15" fillId="0" borderId="0" applyFont="0" applyFill="0" applyBorder="0" applyAlignment="0" applyProtection="0"/>
    <xf numFmtId="164" fontId="16" fillId="0" borderId="0" applyFont="0" applyFill="0" applyBorder="0" applyAlignment="0" applyProtection="0"/>
    <xf numFmtId="9" fontId="17" fillId="0" borderId="0" applyFont="0" applyFill="0" applyBorder="0" applyAlignment="0" applyProtection="0"/>
    <xf numFmtId="0" fontId="18" fillId="0" borderId="0"/>
    <xf numFmtId="0" fontId="19" fillId="2" borderId="0"/>
    <xf numFmtId="0" fontId="20" fillId="2" borderId="0"/>
    <xf numFmtId="0" fontId="21" fillId="2" borderId="0"/>
    <xf numFmtId="0" fontId="22" fillId="0" borderId="0">
      <alignment wrapText="1"/>
    </xf>
    <xf numFmtId="179" fontId="23" fillId="0" borderId="0" applyFont="0" applyFill="0" applyBorder="0" applyAlignment="0" applyProtection="0"/>
    <xf numFmtId="0" fontId="24" fillId="0" borderId="0" applyFont="0" applyFill="0" applyBorder="0" applyAlignment="0" applyProtection="0"/>
    <xf numFmtId="180" fontId="23" fillId="0" borderId="0" applyFont="0" applyFill="0" applyBorder="0" applyAlignment="0" applyProtection="0"/>
    <xf numFmtId="0" fontId="24"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23" fillId="0" borderId="0" applyFont="0" applyFill="0" applyBorder="0" applyAlignment="0" applyProtection="0"/>
    <xf numFmtId="0" fontId="24" fillId="0" borderId="0" applyFont="0" applyFill="0" applyBorder="0" applyAlignment="0" applyProtection="0"/>
    <xf numFmtId="0" fontId="24" fillId="0" borderId="0"/>
    <xf numFmtId="0" fontId="25" fillId="0" borderId="0"/>
    <xf numFmtId="0" fontId="24" fillId="0" borderId="0"/>
    <xf numFmtId="43" fontId="1" fillId="0" borderId="0" applyFont="0" applyFill="0" applyBorder="0" applyAlignment="0" applyProtection="0"/>
    <xf numFmtId="3" fontId="2" fillId="0" borderId="0" applyFont="0" applyFill="0" applyBorder="0" applyAlignment="0" applyProtection="0"/>
    <xf numFmtId="171" fontId="2" fillId="0" borderId="0" applyFont="0" applyFill="0" applyBorder="0" applyAlignment="0" applyProtection="0"/>
    <xf numFmtId="0" fontId="2" fillId="0" borderId="0" applyFont="0" applyFill="0" applyBorder="0" applyAlignment="0" applyProtection="0"/>
    <xf numFmtId="2" fontId="2" fillId="0" borderId="0" applyFont="0" applyFill="0" applyBorder="0" applyAlignment="0" applyProtection="0"/>
    <xf numFmtId="0" fontId="3" fillId="0" borderId="1" applyNumberFormat="0" applyAlignment="0" applyProtection="0">
      <alignment horizontal="left" vertical="center"/>
    </xf>
    <xf numFmtId="0" fontId="3" fillId="0" borderId="2">
      <alignment horizontal="left" vertical="center"/>
    </xf>
    <xf numFmtId="0" fontId="4" fillId="0" borderId="0" applyNumberFormat="0" applyFill="0" applyBorder="0" applyAlignment="0" applyProtection="0"/>
    <xf numFmtId="0" fontId="3" fillId="0" borderId="0" applyNumberFormat="0" applyFill="0" applyBorder="0" applyAlignment="0" applyProtection="0"/>
    <xf numFmtId="0" fontId="13" fillId="0" borderId="0" applyNumberFormat="0" applyFill="0" applyBorder="0" applyAlignment="0" applyProtection="0">
      <alignment vertical="top"/>
      <protection locked="0"/>
    </xf>
    <xf numFmtId="0" fontId="12" fillId="0" borderId="0" applyNumberFormat="0" applyFill="0" applyBorder="0" applyAlignment="0" applyProtection="0">
      <alignment vertical="top"/>
      <protection locked="0"/>
    </xf>
    <xf numFmtId="0" fontId="26" fillId="0" borderId="0" applyNumberFormat="0" applyFont="0" applyFill="0" applyAlignment="0"/>
    <xf numFmtId="181" fontId="27" fillId="0" borderId="0"/>
    <xf numFmtId="0" fontId="33" fillId="0" borderId="0"/>
    <xf numFmtId="0" fontId="33" fillId="0" borderId="0"/>
    <xf numFmtId="0" fontId="42" fillId="0" borderId="0"/>
    <xf numFmtId="0" fontId="33" fillId="0" borderId="0"/>
    <xf numFmtId="0" fontId="35" fillId="0" borderId="0"/>
    <xf numFmtId="0" fontId="33" fillId="0" borderId="0"/>
    <xf numFmtId="0" fontId="33" fillId="0" borderId="0"/>
    <xf numFmtId="0" fontId="2" fillId="0" borderId="3" applyNumberFormat="0" applyFont="0" applyFill="0" applyAlignment="0" applyProtection="0"/>
    <xf numFmtId="0" fontId="28" fillId="0" borderId="0" applyNumberFormat="0" applyFill="0" applyBorder="0" applyAlignment="0" applyProtection="0"/>
    <xf numFmtId="0" fontId="31" fillId="0" borderId="0" applyFont="0" applyFill="0" applyBorder="0" applyAlignment="0" applyProtection="0"/>
    <xf numFmtId="0" fontId="31" fillId="0" borderId="0" applyFont="0" applyFill="0" applyBorder="0" applyAlignment="0" applyProtection="0"/>
    <xf numFmtId="0" fontId="32" fillId="0" borderId="0">
      <alignment vertical="center"/>
    </xf>
    <xf numFmtId="40" fontId="5" fillId="0" borderId="0" applyFont="0" applyFill="0" applyBorder="0" applyAlignment="0" applyProtection="0"/>
    <xf numFmtId="38" fontId="5" fillId="0" borderId="0" applyFont="0" applyFill="0" applyBorder="0" applyAlignment="0" applyProtection="0"/>
    <xf numFmtId="0" fontId="5" fillId="0" borderId="0" applyFont="0" applyFill="0" applyBorder="0" applyAlignment="0" applyProtection="0"/>
    <xf numFmtId="0" fontId="5" fillId="0" borderId="0" applyFont="0" applyFill="0" applyBorder="0" applyAlignment="0" applyProtection="0"/>
    <xf numFmtId="9" fontId="6" fillId="0" borderId="0" applyFont="0" applyFill="0" applyBorder="0" applyAlignment="0" applyProtection="0"/>
    <xf numFmtId="0" fontId="7" fillId="0" borderId="0"/>
    <xf numFmtId="172" fontId="2" fillId="0" borderId="0" applyFont="0" applyFill="0" applyBorder="0" applyAlignment="0" applyProtection="0"/>
    <xf numFmtId="168" fontId="8" fillId="0" borderId="0" applyFont="0" applyFill="0" applyBorder="0" applyAlignment="0" applyProtection="0"/>
    <xf numFmtId="170" fontId="9" fillId="0" borderId="0" applyFont="0" applyFill="0" applyBorder="0" applyAlignment="0" applyProtection="0"/>
    <xf numFmtId="169" fontId="9" fillId="0" borderId="0" applyFont="0" applyFill="0" applyBorder="0" applyAlignment="0" applyProtection="0"/>
    <xf numFmtId="0" fontId="10" fillId="0" borderId="0"/>
    <xf numFmtId="0" fontId="26" fillId="0" borderId="0"/>
    <xf numFmtId="164" fontId="29" fillId="0" borderId="0" applyFont="0" applyFill="0" applyBorder="0" applyAlignment="0" applyProtection="0"/>
    <xf numFmtId="165" fontId="29" fillId="0" borderId="0" applyFont="0" applyFill="0" applyBorder="0" applyAlignment="0" applyProtection="0"/>
    <xf numFmtId="173" fontId="29" fillId="0" borderId="0" applyFont="0" applyFill="0" applyBorder="0" applyAlignment="0" applyProtection="0"/>
    <xf numFmtId="6" fontId="30" fillId="0" borderId="0" applyFont="0" applyFill="0" applyBorder="0" applyAlignment="0" applyProtection="0"/>
    <xf numFmtId="174" fontId="29" fillId="0" borderId="0" applyFont="0" applyFill="0" applyBorder="0" applyAlignment="0" applyProtection="0"/>
  </cellStyleXfs>
  <cellXfs count="447">
    <xf numFmtId="0" fontId="0" fillId="0" borderId="0" xfId="0"/>
    <xf numFmtId="0" fontId="36" fillId="0" borderId="0" xfId="40" applyFont="1" applyAlignment="1">
      <alignment horizontal="center" vertical="center"/>
    </xf>
    <xf numFmtId="0" fontId="36" fillId="0" borderId="0" xfId="40" applyFont="1" applyFill="1" applyAlignment="1">
      <alignment horizontal="center" vertical="center"/>
    </xf>
    <xf numFmtId="0" fontId="29" fillId="0" borderId="0" xfId="0" applyFont="1" applyFill="1" applyAlignment="1">
      <alignment vertical="center"/>
    </xf>
    <xf numFmtId="0" fontId="29" fillId="0" borderId="0" xfId="39" applyFont="1" applyFill="1" applyAlignment="1">
      <alignment vertical="center"/>
    </xf>
    <xf numFmtId="0" fontId="43" fillId="0" borderId="0" xfId="0" applyFont="1" applyFill="1" applyBorder="1" applyAlignment="1">
      <alignment horizontal="right" vertical="center"/>
    </xf>
    <xf numFmtId="184" fontId="43" fillId="0" borderId="0" xfId="0" applyNumberFormat="1" applyFont="1" applyFill="1" applyBorder="1" applyAlignment="1">
      <alignment horizontal="left" vertical="center"/>
    </xf>
    <xf numFmtId="0" fontId="29" fillId="0" borderId="0" xfId="0" applyFont="1" applyFill="1" applyBorder="1" applyAlignment="1">
      <alignment horizontal="center" vertical="center"/>
    </xf>
    <xf numFmtId="185" fontId="43" fillId="0" borderId="0" xfId="0" applyNumberFormat="1" applyFont="1" applyFill="1" applyBorder="1" applyAlignment="1">
      <alignment horizontal="left" vertical="center"/>
    </xf>
    <xf numFmtId="0" fontId="43" fillId="0" borderId="0" xfId="0" applyFont="1" applyFill="1" applyBorder="1" applyAlignment="1">
      <alignment horizontal="center" vertical="center"/>
    </xf>
    <xf numFmtId="0" fontId="39" fillId="0" borderId="0" xfId="0" applyFont="1" applyFill="1" applyBorder="1" applyAlignment="1">
      <alignment vertical="center"/>
    </xf>
    <xf numFmtId="2" fontId="39" fillId="0" borderId="0" xfId="0" applyNumberFormat="1" applyFont="1" applyFill="1" applyBorder="1" applyAlignment="1">
      <alignment vertical="center"/>
    </xf>
    <xf numFmtId="0" fontId="36" fillId="0" borderId="0" xfId="38" applyFont="1" applyBorder="1" applyAlignment="1">
      <alignment horizontal="center" vertical="center"/>
    </xf>
    <xf numFmtId="0" fontId="37" fillId="3" borderId="4" xfId="38" applyFont="1" applyFill="1" applyBorder="1" applyAlignment="1">
      <alignment horizontal="center" vertical="center"/>
    </xf>
    <xf numFmtId="0" fontId="40" fillId="0" borderId="4" xfId="38" applyFont="1" applyFill="1" applyBorder="1" applyAlignment="1">
      <alignment horizontal="center" vertical="center"/>
    </xf>
    <xf numFmtId="0" fontId="37" fillId="0" borderId="0" xfId="38" applyFont="1" applyBorder="1" applyAlignment="1">
      <alignment horizontal="center" vertical="center"/>
    </xf>
    <xf numFmtId="0" fontId="37" fillId="3" borderId="5" xfId="38" applyFont="1" applyFill="1" applyBorder="1" applyAlignment="1">
      <alignment horizontal="center" vertical="center"/>
    </xf>
    <xf numFmtId="167" fontId="36" fillId="0" borderId="5" xfId="38" applyNumberFormat="1" applyFont="1" applyBorder="1" applyAlignment="1">
      <alignment horizontal="center" vertical="center"/>
    </xf>
    <xf numFmtId="2" fontId="36" fillId="0" borderId="5" xfId="38" applyNumberFormat="1" applyFont="1" applyBorder="1" applyAlignment="1">
      <alignment horizontal="center" vertical="center"/>
    </xf>
    <xf numFmtId="0" fontId="36" fillId="3" borderId="5" xfId="38" applyFont="1" applyFill="1" applyBorder="1" applyAlignment="1">
      <alignment horizontal="center" vertical="center"/>
    </xf>
    <xf numFmtId="2" fontId="36" fillId="0" borderId="6" xfId="38" applyNumberFormat="1" applyFont="1" applyBorder="1" applyAlignment="1">
      <alignment horizontal="center" vertical="center"/>
    </xf>
    <xf numFmtId="0" fontId="36" fillId="3" borderId="6" xfId="38" applyFont="1" applyFill="1" applyBorder="1" applyAlignment="1">
      <alignment horizontal="center" vertical="center"/>
    </xf>
    <xf numFmtId="167" fontId="36" fillId="0" borderId="6" xfId="38" applyNumberFormat="1" applyFont="1" applyBorder="1" applyAlignment="1">
      <alignment horizontal="center" vertical="center"/>
    </xf>
    <xf numFmtId="1" fontId="36" fillId="0" borderId="6" xfId="38" applyNumberFormat="1" applyFont="1" applyBorder="1" applyAlignment="1">
      <alignment horizontal="center" vertical="center"/>
    </xf>
    <xf numFmtId="1" fontId="36" fillId="0" borderId="7" xfId="38" applyNumberFormat="1" applyFont="1" applyBorder="1" applyAlignment="1">
      <alignment horizontal="center" vertical="center"/>
    </xf>
    <xf numFmtId="0" fontId="36" fillId="3" borderId="7" xfId="38" applyFont="1" applyFill="1" applyBorder="1" applyAlignment="1">
      <alignment horizontal="center" vertical="center"/>
    </xf>
    <xf numFmtId="1" fontId="36" fillId="0" borderId="0" xfId="38" applyNumberFormat="1" applyFont="1" applyBorder="1" applyAlignment="1">
      <alignment horizontal="center" vertical="center"/>
    </xf>
    <xf numFmtId="0" fontId="36" fillId="0" borderId="5" xfId="38" applyFont="1" applyFill="1" applyBorder="1" applyAlignment="1">
      <alignment horizontal="center" vertical="center"/>
    </xf>
    <xf numFmtId="0" fontId="36" fillId="0" borderId="5" xfId="38" applyFont="1" applyBorder="1" applyAlignment="1">
      <alignment horizontal="center" vertical="center"/>
    </xf>
    <xf numFmtId="0" fontId="36" fillId="0" borderId="6" xfId="38" applyFont="1" applyFill="1" applyBorder="1" applyAlignment="1">
      <alignment horizontal="center" vertical="center"/>
    </xf>
    <xf numFmtId="0" fontId="36" fillId="0" borderId="6" xfId="38" applyFont="1" applyBorder="1" applyAlignment="1">
      <alignment horizontal="center" vertical="center"/>
    </xf>
    <xf numFmtId="0" fontId="36" fillId="0" borderId="7" xfId="38" applyFont="1" applyBorder="1" applyAlignment="1">
      <alignment horizontal="center" vertical="center"/>
    </xf>
    <xf numFmtId="2" fontId="36" fillId="0" borderId="0" xfId="38" applyNumberFormat="1" applyFont="1" applyBorder="1" applyAlignment="1">
      <alignment horizontal="center" vertical="center"/>
    </xf>
    <xf numFmtId="0" fontId="35" fillId="0" borderId="0" xfId="38" applyFont="1" applyBorder="1" applyAlignment="1">
      <alignment horizontal="center" vertical="center"/>
    </xf>
    <xf numFmtId="0" fontId="45" fillId="0" borderId="0" xfId="38" applyFont="1" applyFill="1" applyBorder="1" applyAlignment="1">
      <alignment vertical="center"/>
    </xf>
    <xf numFmtId="0" fontId="47" fillId="3" borderId="4" xfId="43" applyFont="1" applyFill="1" applyBorder="1" applyAlignment="1">
      <alignment horizontal="center" vertical="center"/>
    </xf>
    <xf numFmtId="0" fontId="47" fillId="0" borderId="4" xfId="43" applyFont="1" applyBorder="1" applyAlignment="1">
      <alignment horizontal="center" vertical="center"/>
    </xf>
    <xf numFmtId="0" fontId="46" fillId="0" borderId="0" xfId="43" applyFont="1" applyAlignment="1">
      <alignment horizontal="center" vertical="center"/>
    </xf>
    <xf numFmtId="0" fontId="49" fillId="0" borderId="0" xfId="43" applyFont="1" applyFill="1" applyAlignment="1">
      <alignment horizontal="right" vertical="center"/>
    </xf>
    <xf numFmtId="0" fontId="51" fillId="0" borderId="4" xfId="43" applyFont="1" applyFill="1" applyBorder="1" applyAlignment="1">
      <alignment horizontal="center" vertical="center"/>
    </xf>
    <xf numFmtId="0" fontId="52" fillId="0" borderId="5" xfId="43" applyFont="1" applyBorder="1" applyAlignment="1">
      <alignment horizontal="center" vertical="center"/>
    </xf>
    <xf numFmtId="166" fontId="46" fillId="0" borderId="5" xfId="43" applyNumberFormat="1" applyFont="1" applyBorder="1" applyAlignment="1">
      <alignment horizontal="center" vertical="center"/>
    </xf>
    <xf numFmtId="2" fontId="46" fillId="0" borderId="5" xfId="43" applyNumberFormat="1" applyFont="1" applyBorder="1" applyAlignment="1">
      <alignment horizontal="center" vertical="center"/>
    </xf>
    <xf numFmtId="2" fontId="47" fillId="0" borderId="5" xfId="43" applyNumberFormat="1" applyFont="1" applyBorder="1" applyAlignment="1">
      <alignment horizontal="center" vertical="center"/>
    </xf>
    <xf numFmtId="0" fontId="52" fillId="0" borderId="6" xfId="43" applyFont="1" applyBorder="1" applyAlignment="1">
      <alignment horizontal="center" vertical="center"/>
    </xf>
    <xf numFmtId="166" fontId="46" fillId="0" borderId="6" xfId="43" applyNumberFormat="1" applyFont="1" applyBorder="1" applyAlignment="1">
      <alignment horizontal="center" vertical="center"/>
    </xf>
    <xf numFmtId="2" fontId="46" fillId="0" borderId="6" xfId="43" applyNumberFormat="1" applyFont="1" applyBorder="1" applyAlignment="1">
      <alignment horizontal="center" vertical="center"/>
    </xf>
    <xf numFmtId="2" fontId="47" fillId="0" borderId="6" xfId="43" applyNumberFormat="1" applyFont="1" applyBorder="1" applyAlignment="1">
      <alignment horizontal="center" vertical="center"/>
    </xf>
    <xf numFmtId="2" fontId="46" fillId="0" borderId="0" xfId="43" applyNumberFormat="1" applyFont="1" applyAlignment="1">
      <alignment horizontal="center" vertical="center"/>
    </xf>
    <xf numFmtId="0" fontId="52" fillId="0" borderId="6" xfId="43" applyFont="1" applyFill="1" applyBorder="1" applyAlignment="1">
      <alignment horizontal="center" vertical="center"/>
    </xf>
    <xf numFmtId="166" fontId="46" fillId="0" borderId="6" xfId="43" applyNumberFormat="1" applyFont="1" applyFill="1" applyBorder="1" applyAlignment="1">
      <alignment horizontal="center" vertical="center"/>
    </xf>
    <xf numFmtId="2" fontId="46" fillId="0" borderId="6" xfId="43" applyNumberFormat="1" applyFont="1" applyFill="1" applyBorder="1" applyAlignment="1">
      <alignment horizontal="center" vertical="center"/>
    </xf>
    <xf numFmtId="2" fontId="47" fillId="0" borderId="6" xfId="43" applyNumberFormat="1" applyFont="1" applyFill="1" applyBorder="1" applyAlignment="1">
      <alignment horizontal="center" vertical="center"/>
    </xf>
    <xf numFmtId="0" fontId="46" fillId="0" borderId="0" xfId="43" applyFont="1" applyFill="1" applyAlignment="1">
      <alignment horizontal="center" vertical="center"/>
    </xf>
    <xf numFmtId="0" fontId="52" fillId="0" borderId="7" xfId="43" applyFont="1" applyBorder="1" applyAlignment="1">
      <alignment horizontal="center" vertical="center"/>
    </xf>
    <xf numFmtId="166" fontId="46" fillId="0" borderId="7" xfId="43" applyNumberFormat="1" applyFont="1" applyBorder="1" applyAlignment="1">
      <alignment horizontal="center" vertical="center"/>
    </xf>
    <xf numFmtId="2" fontId="46" fillId="0" borderId="7" xfId="43" applyNumberFormat="1" applyFont="1" applyBorder="1" applyAlignment="1">
      <alignment horizontal="center" vertical="center"/>
    </xf>
    <xf numFmtId="2" fontId="47" fillId="0" borderId="7" xfId="43" applyNumberFormat="1" applyFont="1" applyBorder="1" applyAlignment="1">
      <alignment horizontal="center" vertical="center"/>
    </xf>
    <xf numFmtId="0" fontId="47" fillId="0" borderId="0" xfId="43" applyFont="1" applyAlignment="1">
      <alignment horizontal="left" vertical="center"/>
    </xf>
    <xf numFmtId="0" fontId="46" fillId="0" borderId="4" xfId="43" applyFont="1" applyBorder="1" applyAlignment="1">
      <alignment horizontal="center" vertical="center"/>
    </xf>
    <xf numFmtId="0" fontId="52" fillId="3" borderId="6" xfId="42" applyFont="1" applyFill="1" applyBorder="1" applyAlignment="1">
      <alignment horizontal="center" vertical="center"/>
    </xf>
    <xf numFmtId="2" fontId="52" fillId="3" borderId="6" xfId="43" applyNumberFormat="1" applyFont="1" applyFill="1" applyBorder="1" applyAlignment="1">
      <alignment horizontal="center" vertical="center"/>
    </xf>
    <xf numFmtId="182" fontId="52" fillId="3" borderId="6" xfId="43" applyNumberFormat="1" applyFont="1" applyFill="1" applyBorder="1" applyAlignment="1">
      <alignment horizontal="center" vertical="center"/>
    </xf>
    <xf numFmtId="0" fontId="52" fillId="3" borderId="6" xfId="43" applyFont="1" applyFill="1" applyBorder="1" applyAlignment="1">
      <alignment horizontal="center" vertical="center"/>
    </xf>
    <xf numFmtId="167" fontId="52" fillId="3" borderId="6" xfId="43" applyNumberFormat="1" applyFont="1" applyFill="1" applyBorder="1" applyAlignment="1">
      <alignment horizontal="center" vertical="center"/>
    </xf>
    <xf numFmtId="183" fontId="52" fillId="3" borderId="6" xfId="24" applyNumberFormat="1" applyFont="1" applyFill="1" applyBorder="1" applyAlignment="1">
      <alignment horizontal="center" vertical="center"/>
    </xf>
    <xf numFmtId="1" fontId="52" fillId="3" borderId="6" xfId="24" applyNumberFormat="1" applyFont="1" applyFill="1" applyBorder="1" applyAlignment="1">
      <alignment horizontal="right" vertical="center"/>
    </xf>
    <xf numFmtId="0" fontId="52" fillId="3" borderId="0" xfId="43" applyFont="1" applyFill="1" applyAlignment="1">
      <alignment horizontal="center" vertical="center"/>
    </xf>
    <xf numFmtId="0" fontId="49" fillId="3" borderId="0" xfId="43" applyFont="1" applyFill="1" applyAlignment="1">
      <alignment horizontal="center" vertical="center"/>
    </xf>
    <xf numFmtId="0" fontId="52" fillId="0" borderId="6" xfId="42" applyFont="1" applyFill="1" applyBorder="1" applyAlignment="1">
      <alignment horizontal="center" vertical="center"/>
    </xf>
    <xf numFmtId="2" fontId="52" fillId="0" borderId="6" xfId="43" applyNumberFormat="1" applyFont="1" applyFill="1" applyBorder="1" applyAlignment="1">
      <alignment horizontal="center" vertical="center"/>
    </xf>
    <xf numFmtId="182" fontId="52" fillId="0" borderId="6" xfId="43" applyNumberFormat="1" applyFont="1" applyFill="1" applyBorder="1" applyAlignment="1">
      <alignment horizontal="center" vertical="center"/>
    </xf>
    <xf numFmtId="167" fontId="52" fillId="0" borderId="6" xfId="43" applyNumberFormat="1" applyFont="1" applyFill="1" applyBorder="1" applyAlignment="1">
      <alignment horizontal="center" vertical="center"/>
    </xf>
    <xf numFmtId="183" fontId="52" fillId="0" borderId="6" xfId="24" applyNumberFormat="1" applyFont="1" applyFill="1" applyBorder="1" applyAlignment="1">
      <alignment horizontal="center" vertical="center"/>
    </xf>
    <xf numFmtId="1" fontId="52" fillId="0" borderId="6" xfId="24" applyNumberFormat="1" applyFont="1" applyFill="1" applyBorder="1" applyAlignment="1">
      <alignment horizontal="right" vertical="center"/>
    </xf>
    <xf numFmtId="0" fontId="52" fillId="0" borderId="0" xfId="43" applyFont="1" applyFill="1" applyAlignment="1">
      <alignment horizontal="center" vertical="center"/>
    </xf>
    <xf numFmtId="0" fontId="51" fillId="3" borderId="6" xfId="42" applyFont="1" applyFill="1" applyBorder="1" applyAlignment="1">
      <alignment horizontal="center" vertical="center"/>
    </xf>
    <xf numFmtId="2" fontId="51" fillId="3" borderId="6" xfId="43" applyNumberFormat="1" applyFont="1" applyFill="1" applyBorder="1" applyAlignment="1">
      <alignment horizontal="center" vertical="center"/>
    </xf>
    <xf numFmtId="182" fontId="51" fillId="3" borderId="6" xfId="43" applyNumberFormat="1" applyFont="1" applyFill="1" applyBorder="1" applyAlignment="1">
      <alignment horizontal="center" vertical="center"/>
    </xf>
    <xf numFmtId="0" fontId="51" fillId="3" borderId="6" xfId="43" applyFont="1" applyFill="1" applyBorder="1" applyAlignment="1">
      <alignment horizontal="center" vertical="center"/>
    </xf>
    <xf numFmtId="167" fontId="51" fillId="3" borderId="6" xfId="43" applyNumberFormat="1" applyFont="1" applyFill="1" applyBorder="1" applyAlignment="1">
      <alignment horizontal="center" vertical="center"/>
    </xf>
    <xf numFmtId="183" fontId="51" fillId="3" borderId="6" xfId="24" applyNumberFormat="1" applyFont="1" applyFill="1" applyBorder="1" applyAlignment="1">
      <alignment horizontal="center" vertical="center"/>
    </xf>
    <xf numFmtId="0" fontId="46" fillId="3" borderId="0" xfId="43" applyFont="1" applyFill="1" applyAlignment="1">
      <alignment horizontal="center" vertical="center"/>
    </xf>
    <xf numFmtId="0" fontId="54" fillId="3" borderId="6" xfId="42" applyFont="1" applyFill="1" applyBorder="1" applyAlignment="1">
      <alignment horizontal="center" vertical="center"/>
    </xf>
    <xf numFmtId="2" fontId="54" fillId="3" borderId="6" xfId="43" applyNumberFormat="1" applyFont="1" applyFill="1" applyBorder="1" applyAlignment="1">
      <alignment horizontal="center" vertical="center"/>
    </xf>
    <xf numFmtId="182" fontId="54" fillId="3" borderId="6" xfId="43" applyNumberFormat="1" applyFont="1" applyFill="1" applyBorder="1" applyAlignment="1">
      <alignment horizontal="center" vertical="center"/>
    </xf>
    <xf numFmtId="0" fontId="54" fillId="3" borderId="6" xfId="43" applyFont="1" applyFill="1" applyBorder="1" applyAlignment="1">
      <alignment horizontal="center" vertical="center"/>
    </xf>
    <xf numFmtId="167" fontId="54" fillId="3" borderId="6" xfId="43" applyNumberFormat="1" applyFont="1" applyFill="1" applyBorder="1" applyAlignment="1">
      <alignment horizontal="center" vertical="center"/>
    </xf>
    <xf numFmtId="183" fontId="54" fillId="3" borderId="6" xfId="24" applyNumberFormat="1" applyFont="1" applyFill="1" applyBorder="1" applyAlignment="1">
      <alignment horizontal="center" vertical="center"/>
    </xf>
    <xf numFmtId="1" fontId="54" fillId="3" borderId="6" xfId="24" applyNumberFormat="1" applyFont="1" applyFill="1" applyBorder="1" applyAlignment="1">
      <alignment horizontal="right" vertical="center"/>
    </xf>
    <xf numFmtId="0" fontId="55" fillId="3" borderId="0" xfId="43" applyFont="1" applyFill="1" applyAlignment="1">
      <alignment horizontal="center" vertical="center"/>
    </xf>
    <xf numFmtId="0" fontId="48" fillId="0" borderId="0" xfId="38" applyFont="1" applyFill="1" applyBorder="1" applyAlignment="1">
      <alignment horizontal="center" vertical="center"/>
    </xf>
    <xf numFmtId="0" fontId="47" fillId="0" borderId="0" xfId="38" applyFont="1" applyFill="1" applyBorder="1" applyAlignment="1">
      <alignment horizontal="center" vertical="center"/>
    </xf>
    <xf numFmtId="0" fontId="46" fillId="0" borderId="0" xfId="37" applyFont="1"/>
    <xf numFmtId="2" fontId="46" fillId="0" borderId="0" xfId="37" applyNumberFormat="1" applyFont="1"/>
    <xf numFmtId="0" fontId="47" fillId="4" borderId="4" xfId="38" applyFont="1" applyFill="1" applyBorder="1" applyAlignment="1">
      <alignment horizontal="center" vertical="center"/>
    </xf>
    <xf numFmtId="0" fontId="47" fillId="4" borderId="8" xfId="38" applyFont="1" applyFill="1" applyBorder="1" applyAlignment="1">
      <alignment horizontal="center" vertical="center"/>
    </xf>
    <xf numFmtId="0" fontId="58" fillId="4" borderId="8" xfId="38" applyFont="1" applyFill="1" applyBorder="1" applyAlignment="1">
      <alignment horizontal="center" vertical="center"/>
    </xf>
    <xf numFmtId="0" fontId="46" fillId="0" borderId="4" xfId="37" applyFont="1" applyBorder="1" applyAlignment="1">
      <alignment horizontal="center" vertical="center"/>
    </xf>
    <xf numFmtId="166" fontId="46" fillId="0" borderId="0" xfId="37" applyNumberFormat="1" applyFont="1"/>
    <xf numFmtId="0" fontId="48" fillId="0" borderId="4" xfId="38" applyFont="1" applyFill="1" applyBorder="1" applyAlignment="1">
      <alignment horizontal="center" vertical="center"/>
    </xf>
    <xf numFmtId="0" fontId="47" fillId="0" borderId="4" xfId="38" applyFont="1" applyFill="1" applyBorder="1" applyAlignment="1">
      <alignment horizontal="center" vertical="center"/>
    </xf>
    <xf numFmtId="0" fontId="46" fillId="0" borderId="4" xfId="38" applyFont="1" applyFill="1" applyBorder="1" applyAlignment="1">
      <alignment horizontal="center" vertical="center"/>
    </xf>
    <xf numFmtId="0" fontId="46" fillId="0" borderId="4" xfId="37" applyFont="1" applyBorder="1" applyAlignment="1">
      <alignment vertical="center"/>
    </xf>
    <xf numFmtId="0" fontId="60" fillId="0" borderId="4" xfId="38" applyFont="1" applyFill="1" applyBorder="1" applyAlignment="1">
      <alignment horizontal="center" vertical="center"/>
    </xf>
    <xf numFmtId="0" fontId="57" fillId="0" borderId="4" xfId="38" applyFont="1" applyFill="1" applyBorder="1" applyAlignment="1">
      <alignment horizontal="center" vertical="center"/>
    </xf>
    <xf numFmtId="0" fontId="46" fillId="0" borderId="0" xfId="37" applyFont="1" applyFill="1"/>
    <xf numFmtId="167" fontId="46" fillId="0" borderId="0" xfId="38" applyNumberFormat="1" applyFont="1" applyFill="1" applyBorder="1" applyAlignment="1">
      <alignment horizontal="center" vertical="center"/>
    </xf>
    <xf numFmtId="0" fontId="46" fillId="0" borderId="0" xfId="38" applyFont="1" applyFill="1" applyBorder="1" applyAlignment="1">
      <alignment horizontal="center" vertical="center"/>
    </xf>
    <xf numFmtId="2" fontId="46" fillId="0" borderId="0" xfId="38" applyNumberFormat="1" applyFont="1" applyFill="1" applyBorder="1" applyAlignment="1">
      <alignment horizontal="center" vertical="center"/>
    </xf>
    <xf numFmtId="2" fontId="55" fillId="0" borderId="0" xfId="37" applyNumberFormat="1" applyFont="1"/>
    <xf numFmtId="0" fontId="55" fillId="0" borderId="0" xfId="37" applyFont="1"/>
    <xf numFmtId="0" fontId="47" fillId="4" borderId="4" xfId="37" applyFont="1" applyFill="1" applyBorder="1" applyAlignment="1">
      <alignment horizontal="center"/>
    </xf>
    <xf numFmtId="166" fontId="47" fillId="0" borderId="4" xfId="38" applyNumberFormat="1" applyFont="1" applyFill="1" applyBorder="1" applyAlignment="1">
      <alignment horizontal="center" vertical="center"/>
    </xf>
    <xf numFmtId="0" fontId="46" fillId="0" borderId="4" xfId="37" applyFont="1" applyBorder="1"/>
    <xf numFmtId="2" fontId="47" fillId="0" borderId="4" xfId="38" applyNumberFormat="1" applyFont="1" applyFill="1" applyBorder="1" applyAlignment="1">
      <alignment horizontal="center" vertical="center"/>
    </xf>
    <xf numFmtId="0" fontId="54" fillId="0" borderId="0" xfId="38" applyFont="1" applyFill="1" applyBorder="1" applyAlignment="1">
      <alignment horizontal="center" vertical="center"/>
    </xf>
    <xf numFmtId="0" fontId="33" fillId="0" borderId="0" xfId="37" applyFill="1" applyBorder="1" applyAlignment="1">
      <alignment horizontal="center" vertical="center"/>
    </xf>
    <xf numFmtId="0" fontId="33" fillId="0" borderId="0" xfId="37" applyBorder="1" applyAlignment="1">
      <alignment horizontal="center" vertical="center"/>
    </xf>
    <xf numFmtId="1" fontId="47" fillId="4" borderId="4" xfId="38" applyNumberFormat="1" applyFont="1" applyFill="1" applyBorder="1" applyAlignment="1">
      <alignment horizontal="center" vertical="center"/>
    </xf>
    <xf numFmtId="0" fontId="46" fillId="4" borderId="4" xfId="37" applyFont="1" applyFill="1" applyBorder="1"/>
    <xf numFmtId="0" fontId="46" fillId="4" borderId="4" xfId="37" applyFont="1" applyFill="1" applyBorder="1" applyAlignment="1">
      <alignment horizontal="center"/>
    </xf>
    <xf numFmtId="0" fontId="46" fillId="0" borderId="0" xfId="37" applyFont="1" applyBorder="1"/>
    <xf numFmtId="1" fontId="47" fillId="0" borderId="4" xfId="38" applyNumberFormat="1" applyFont="1" applyFill="1" applyBorder="1" applyAlignment="1">
      <alignment horizontal="center" vertical="center"/>
    </xf>
    <xf numFmtId="0" fontId="46" fillId="0" borderId="0" xfId="37" applyFont="1" applyAlignment="1">
      <alignment horizontal="center"/>
    </xf>
    <xf numFmtId="2" fontId="47" fillId="4" borderId="4" xfId="38" applyNumberFormat="1" applyFont="1" applyFill="1" applyBorder="1" applyAlignment="1">
      <alignment horizontal="center" vertical="center"/>
    </xf>
    <xf numFmtId="167" fontId="47" fillId="0" borderId="4" xfId="38" applyNumberFormat="1" applyFont="1" applyFill="1" applyBorder="1" applyAlignment="1">
      <alignment horizontal="center" vertical="center"/>
    </xf>
    <xf numFmtId="0" fontId="33" fillId="0" borderId="0" xfId="37" applyAlignment="1">
      <alignment horizontal="center"/>
    </xf>
    <xf numFmtId="0" fontId="46" fillId="4" borderId="4" xfId="37" applyFont="1" applyFill="1" applyBorder="1" applyAlignment="1">
      <alignment horizontal="center" vertical="center"/>
    </xf>
    <xf numFmtId="0" fontId="62" fillId="0" borderId="0" xfId="37" applyFont="1" applyAlignment="1">
      <alignment horizontal="center"/>
    </xf>
    <xf numFmtId="0" fontId="46" fillId="0" borderId="4" xfId="37" applyFont="1" applyBorder="1" applyAlignment="1">
      <alignment horizontal="center"/>
    </xf>
    <xf numFmtId="0" fontId="33" fillId="0" borderId="0" xfId="37" applyBorder="1" applyAlignment="1">
      <alignment horizontal="center"/>
    </xf>
    <xf numFmtId="0" fontId="61" fillId="4" borderId="4" xfId="37" applyFont="1" applyFill="1" applyBorder="1" applyAlignment="1">
      <alignment horizontal="center"/>
    </xf>
    <xf numFmtId="0" fontId="46" fillId="0" borderId="0" xfId="37" applyFont="1" applyAlignment="1">
      <alignment horizontal="right"/>
    </xf>
    <xf numFmtId="0" fontId="37" fillId="0" borderId="0" xfId="38" applyFont="1" applyFill="1" applyBorder="1" applyAlignment="1">
      <alignment horizontal="center" vertical="center"/>
    </xf>
    <xf numFmtId="0" fontId="65" fillId="0" borderId="0" xfId="0" applyFont="1" applyFill="1" applyBorder="1" applyAlignment="1">
      <alignment vertical="center"/>
    </xf>
    <xf numFmtId="0" fontId="63" fillId="3" borderId="5" xfId="0" applyFont="1" applyFill="1" applyBorder="1" applyAlignment="1">
      <alignment vertical="center"/>
    </xf>
    <xf numFmtId="0" fontId="63" fillId="3" borderId="6" xfId="0" applyFont="1" applyFill="1" applyBorder="1" applyAlignment="1">
      <alignment vertical="center"/>
    </xf>
    <xf numFmtId="0" fontId="63" fillId="3" borderId="7" xfId="0" applyFont="1" applyFill="1" applyBorder="1" applyAlignment="1">
      <alignment vertical="center"/>
    </xf>
    <xf numFmtId="0" fontId="40" fillId="0" borderId="0" xfId="38" applyFont="1" applyFill="1" applyBorder="1" applyAlignment="1">
      <alignment horizontal="center" vertical="center"/>
    </xf>
    <xf numFmtId="0" fontId="66" fillId="0" borderId="9" xfId="0" applyFont="1" applyFill="1" applyBorder="1" applyAlignment="1">
      <alignment vertical="center"/>
    </xf>
    <xf numFmtId="0" fontId="66" fillId="0" borderId="10" xfId="0" applyFont="1" applyFill="1" applyBorder="1" applyAlignment="1">
      <alignment vertical="center"/>
    </xf>
    <xf numFmtId="0" fontId="66" fillId="0" borderId="11" xfId="0" applyFont="1" applyFill="1" applyBorder="1" applyAlignment="1">
      <alignment vertical="center"/>
    </xf>
    <xf numFmtId="0" fontId="44" fillId="0" borderId="6" xfId="0" applyFont="1" applyFill="1" applyBorder="1" applyAlignment="1">
      <alignment horizontal="left" vertical="center"/>
    </xf>
    <xf numFmtId="17" fontId="44" fillId="0" borderId="7" xfId="0" quotePrefix="1" applyNumberFormat="1" applyFont="1" applyFill="1" applyBorder="1" applyAlignment="1">
      <alignment horizontal="left" vertical="center"/>
    </xf>
    <xf numFmtId="0" fontId="67" fillId="0" borderId="0" xfId="40" applyFont="1" applyFill="1" applyAlignment="1">
      <alignment horizontal="center" vertical="center"/>
    </xf>
    <xf numFmtId="0" fontId="67" fillId="0" borderId="0" xfId="0" applyFont="1" applyFill="1" applyAlignment="1">
      <alignment vertical="center"/>
    </xf>
    <xf numFmtId="185" fontId="68" fillId="0" borderId="0" xfId="0" applyNumberFormat="1" applyFont="1" applyFill="1" applyBorder="1" applyAlignment="1">
      <alignment horizontal="left" vertical="center"/>
    </xf>
    <xf numFmtId="0" fontId="67" fillId="0" borderId="0" xfId="40" applyFont="1" applyAlignment="1" applyProtection="1">
      <alignment horizontal="center" vertical="center"/>
    </xf>
    <xf numFmtId="0" fontId="67" fillId="0" borderId="0" xfId="0" applyFont="1" applyFill="1" applyBorder="1" applyAlignment="1" applyProtection="1">
      <alignment vertical="center"/>
    </xf>
    <xf numFmtId="167" fontId="67" fillId="0" borderId="0" xfId="0" applyNumberFormat="1" applyFont="1" applyFill="1" applyBorder="1" applyAlignment="1" applyProtection="1">
      <alignment vertical="center"/>
    </xf>
    <xf numFmtId="0" fontId="68" fillId="3" borderId="4" xfId="0" applyFont="1" applyFill="1" applyBorder="1" applyAlignment="1">
      <alignment horizontal="center" vertical="center" wrapText="1"/>
    </xf>
    <xf numFmtId="0" fontId="44" fillId="0" borderId="5" xfId="0" applyFont="1" applyFill="1" applyBorder="1" applyAlignment="1">
      <alignment horizontal="left" vertical="center"/>
    </xf>
    <xf numFmtId="0" fontId="66" fillId="0" borderId="13" xfId="0" applyFont="1" applyFill="1" applyBorder="1" applyAlignment="1">
      <alignment vertical="center"/>
    </xf>
    <xf numFmtId="0" fontId="66" fillId="0" borderId="8" xfId="0" applyFont="1" applyFill="1" applyBorder="1" applyAlignment="1">
      <alignment vertical="center"/>
    </xf>
    <xf numFmtId="0" fontId="29" fillId="5" borderId="0" xfId="0" applyFont="1" applyFill="1" applyAlignment="1">
      <alignment vertical="center"/>
    </xf>
    <xf numFmtId="0" fontId="43" fillId="5" borderId="0" xfId="0" applyFont="1" applyFill="1" applyBorder="1" applyAlignment="1">
      <alignment horizontal="right" vertical="center"/>
    </xf>
    <xf numFmtId="184" fontId="43" fillId="5" borderId="0" xfId="0" applyNumberFormat="1" applyFont="1" applyFill="1" applyBorder="1" applyAlignment="1">
      <alignment horizontal="left" vertical="center"/>
    </xf>
    <xf numFmtId="0" fontId="29" fillId="5" borderId="6" xfId="0" applyFont="1" applyFill="1" applyBorder="1" applyAlignment="1">
      <alignment horizontal="center" vertical="center"/>
    </xf>
    <xf numFmtId="1" fontId="43" fillId="5" borderId="7" xfId="0" applyNumberFormat="1" applyFont="1" applyFill="1" applyBorder="1" applyAlignment="1">
      <alignment horizontal="center" vertical="center"/>
    </xf>
    <xf numFmtId="0" fontId="67" fillId="5" borderId="0" xfId="0" applyFont="1" applyFill="1" applyAlignment="1">
      <alignment vertical="center"/>
    </xf>
    <xf numFmtId="0" fontId="67" fillId="5" borderId="0" xfId="39" applyFont="1" applyFill="1" applyAlignment="1">
      <alignment vertical="center"/>
    </xf>
    <xf numFmtId="0" fontId="68" fillId="5" borderId="0" xfId="0" applyFont="1" applyFill="1" applyBorder="1" applyAlignment="1">
      <alignment vertical="center"/>
    </xf>
    <xf numFmtId="0" fontId="68" fillId="5" borderId="0" xfId="0" applyFont="1" applyFill="1" applyAlignment="1">
      <alignment horizontal="right" vertical="center"/>
    </xf>
    <xf numFmtId="0" fontId="68" fillId="5" borderId="0" xfId="0" applyFont="1" applyFill="1" applyAlignment="1">
      <alignment horizontal="center" vertical="center"/>
    </xf>
    <xf numFmtId="1" fontId="67" fillId="5" borderId="0" xfId="0" applyNumberFormat="1" applyFont="1" applyFill="1" applyBorder="1" applyAlignment="1">
      <alignment vertical="center"/>
    </xf>
    <xf numFmtId="0" fontId="67" fillId="5" borderId="0" xfId="0" applyFont="1" applyFill="1" applyAlignment="1">
      <alignment horizontal="left" vertical="center"/>
    </xf>
    <xf numFmtId="0" fontId="65" fillId="0" borderId="0" xfId="0" applyFont="1" applyFill="1" applyAlignment="1">
      <alignment horizontal="center" vertical="center"/>
    </xf>
    <xf numFmtId="0" fontId="65" fillId="0" borderId="0" xfId="0" applyFont="1" applyFill="1" applyBorder="1" applyAlignment="1">
      <alignment horizontal="center" vertical="center"/>
    </xf>
    <xf numFmtId="0" fontId="63" fillId="3" borderId="4" xfId="0" applyFont="1" applyFill="1" applyBorder="1" applyAlignment="1">
      <alignment horizontal="center" vertical="center"/>
    </xf>
    <xf numFmtId="0" fontId="63" fillId="0" borderId="0" xfId="0" applyFont="1" applyFill="1" applyBorder="1" applyAlignment="1">
      <alignment horizontal="center" vertical="center"/>
    </xf>
    <xf numFmtId="0" fontId="65" fillId="0" borderId="4" xfId="0" applyFont="1" applyFill="1" applyBorder="1" applyAlignment="1">
      <alignment horizontal="center" vertical="center"/>
    </xf>
    <xf numFmtId="0" fontId="63" fillId="0" borderId="4" xfId="0" applyFont="1" applyFill="1" applyBorder="1" applyAlignment="1">
      <alignment horizontal="center" vertical="center"/>
    </xf>
    <xf numFmtId="0" fontId="65" fillId="0" borderId="12" xfId="0" applyFont="1" applyBorder="1" applyAlignment="1">
      <alignment vertical="center"/>
    </xf>
    <xf numFmtId="0" fontId="65" fillId="0" borderId="12" xfId="0" applyFont="1" applyBorder="1" applyAlignment="1">
      <alignment horizontal="center" vertical="center"/>
    </xf>
    <xf numFmtId="0" fontId="65" fillId="0" borderId="6" xfId="0" applyFont="1" applyBorder="1" applyAlignment="1">
      <alignment vertical="center"/>
    </xf>
    <xf numFmtId="0" fontId="65" fillId="0" borderId="6" xfId="0" applyFont="1" applyBorder="1" applyAlignment="1">
      <alignment horizontal="center" vertical="center"/>
    </xf>
    <xf numFmtId="0" fontId="65" fillId="0" borderId="7" xfId="0" applyFont="1" applyBorder="1" applyAlignment="1">
      <alignment vertical="center"/>
    </xf>
    <xf numFmtId="0" fontId="65" fillId="0" borderId="7" xfId="0" applyFont="1" applyBorder="1" applyAlignment="1">
      <alignment horizontal="center" vertical="center"/>
    </xf>
    <xf numFmtId="0" fontId="63" fillId="0" borderId="0" xfId="0" applyFont="1" applyFill="1" applyAlignment="1">
      <alignment horizontal="center" vertical="center"/>
    </xf>
    <xf numFmtId="0" fontId="65" fillId="0" borderId="14" xfId="0" applyFont="1" applyFill="1" applyBorder="1" applyAlignment="1">
      <alignment vertical="center"/>
    </xf>
    <xf numFmtId="0" fontId="65" fillId="0" borderId="4" xfId="0" applyFont="1" applyFill="1" applyBorder="1" applyAlignment="1">
      <alignment vertical="center"/>
    </xf>
    <xf numFmtId="0" fontId="65"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47" fillId="4" borderId="14" xfId="38" applyFont="1" applyFill="1" applyBorder="1" applyAlignment="1">
      <alignment horizontal="center" vertical="center" wrapText="1"/>
    </xf>
    <xf numFmtId="0" fontId="67" fillId="5" borderId="0" xfId="0" applyFont="1" applyFill="1" applyBorder="1" applyAlignment="1">
      <alignment horizontal="center" vertical="center"/>
    </xf>
    <xf numFmtId="0" fontId="67" fillId="5" borderId="4" xfId="0" applyFont="1" applyFill="1" applyBorder="1" applyAlignment="1">
      <alignment horizontal="center" vertical="center"/>
    </xf>
    <xf numFmtId="167" fontId="67" fillId="5" borderId="4" xfId="0" applyNumberFormat="1" applyFont="1" applyFill="1" applyBorder="1" applyAlignment="1">
      <alignment horizontal="center" vertical="center"/>
    </xf>
    <xf numFmtId="0" fontId="77" fillId="5" borderId="4" xfId="40" applyFont="1" applyFill="1" applyBorder="1" applyAlignment="1">
      <alignment horizontal="center" vertical="center"/>
    </xf>
    <xf numFmtId="0" fontId="89" fillId="5" borderId="4" xfId="40" applyFont="1" applyFill="1" applyBorder="1" applyAlignment="1">
      <alignment horizontal="center" vertical="center"/>
    </xf>
    <xf numFmtId="0" fontId="29" fillId="5" borderId="0" xfId="40" applyFont="1" applyFill="1" applyBorder="1" applyAlignment="1">
      <alignment vertical="center"/>
    </xf>
    <xf numFmtId="0" fontId="74" fillId="5" borderId="0" xfId="39" applyFont="1" applyFill="1" applyAlignment="1">
      <alignment vertical="center"/>
    </xf>
    <xf numFmtId="0" fontId="77" fillId="5" borderId="0" xfId="39" applyFont="1" applyFill="1" applyAlignment="1">
      <alignment vertical="center"/>
    </xf>
    <xf numFmtId="0" fontId="77" fillId="5" borderId="0" xfId="39" applyFont="1" applyFill="1" applyAlignment="1">
      <alignment horizontal="right" vertical="center"/>
    </xf>
    <xf numFmtId="0" fontId="74" fillId="5" borderId="0" xfId="39" applyFont="1" applyFill="1" applyAlignment="1">
      <alignment horizontal="center" vertical="center"/>
    </xf>
    <xf numFmtId="0" fontId="77" fillId="5" borderId="0" xfId="0" applyFont="1" applyFill="1" applyAlignment="1">
      <alignment vertical="center"/>
    </xf>
    <xf numFmtId="0" fontId="74" fillId="5" borderId="0" xfId="0" applyFont="1" applyFill="1" applyAlignment="1">
      <alignment vertical="center"/>
    </xf>
    <xf numFmtId="0" fontId="74" fillId="5" borderId="0" xfId="0" applyFont="1" applyFill="1" applyAlignment="1">
      <alignment horizontal="left" vertical="center"/>
    </xf>
    <xf numFmtId="1" fontId="77" fillId="5" borderId="0" xfId="0" applyNumberFormat="1" applyFont="1" applyFill="1" applyBorder="1" applyAlignment="1">
      <alignment vertical="center"/>
    </xf>
    <xf numFmtId="0" fontId="77" fillId="5" borderId="0" xfId="41" applyFont="1" applyFill="1" applyAlignment="1" applyProtection="1">
      <alignment horizontal="left" vertical="center" wrapText="1"/>
      <protection locked="0"/>
    </xf>
    <xf numFmtId="0" fontId="77" fillId="5" borderId="0" xfId="0" applyFont="1" applyFill="1" applyAlignment="1">
      <alignment horizontal="left" vertical="center"/>
    </xf>
    <xf numFmtId="0" fontId="77" fillId="5" borderId="0" xfId="0" applyFont="1" applyFill="1" applyAlignment="1">
      <alignment horizontal="center" vertical="center"/>
    </xf>
    <xf numFmtId="166" fontId="77" fillId="5" borderId="0" xfId="0" applyNumberFormat="1" applyFont="1" applyFill="1" applyAlignment="1">
      <alignment vertical="center"/>
    </xf>
    <xf numFmtId="1" fontId="79" fillId="5" borderId="0" xfId="0" applyNumberFormat="1" applyFont="1" applyFill="1" applyBorder="1" applyAlignment="1">
      <alignment horizontal="right" vertical="center"/>
    </xf>
    <xf numFmtId="0" fontId="74" fillId="5" borderId="0" xfId="0" applyFont="1" applyFill="1" applyBorder="1" applyAlignment="1">
      <alignment horizontal="right" vertical="center"/>
    </xf>
    <xf numFmtId="1" fontId="77" fillId="5" borderId="0" xfId="41" applyNumberFormat="1" applyFont="1" applyFill="1" applyBorder="1" applyAlignment="1" applyProtection="1">
      <alignment horizontal="center" vertical="center" wrapText="1"/>
      <protection locked="0"/>
    </xf>
    <xf numFmtId="0" fontId="80" fillId="5" borderId="0" xfId="0" applyFont="1" applyFill="1" applyAlignment="1">
      <alignment vertical="center"/>
    </xf>
    <xf numFmtId="0" fontId="81" fillId="5" borderId="0" xfId="0" applyFont="1" applyFill="1" applyAlignment="1">
      <alignment vertical="center"/>
    </xf>
    <xf numFmtId="186" fontId="77" fillId="5" borderId="0" xfId="0" applyNumberFormat="1" applyFont="1" applyFill="1" applyAlignment="1">
      <alignment horizontal="left" vertical="center"/>
    </xf>
    <xf numFmtId="1" fontId="74" fillId="5" borderId="0" xfId="0" applyNumberFormat="1" applyFont="1" applyFill="1" applyBorder="1" applyAlignment="1">
      <alignment vertical="center"/>
    </xf>
    <xf numFmtId="1" fontId="74" fillId="5" borderId="12" xfId="0" applyNumberFormat="1" applyFont="1" applyFill="1" applyBorder="1" applyAlignment="1">
      <alignment horizontal="center" vertical="center"/>
    </xf>
    <xf numFmtId="184" fontId="74" fillId="5" borderId="0" xfId="0" applyNumberFormat="1" applyFont="1" applyFill="1" applyBorder="1" applyAlignment="1">
      <alignment horizontal="left" vertical="center"/>
    </xf>
    <xf numFmtId="0" fontId="90" fillId="5" borderId="6" xfId="0" applyNumberFormat="1" applyFont="1" applyFill="1" applyBorder="1" applyAlignment="1">
      <alignment horizontal="center" vertical="center"/>
    </xf>
    <xf numFmtId="187" fontId="74" fillId="5" borderId="0" xfId="0" applyNumberFormat="1" applyFont="1" applyFill="1" applyBorder="1" applyAlignment="1">
      <alignment horizontal="center" vertical="center"/>
    </xf>
    <xf numFmtId="1" fontId="74" fillId="5" borderId="7" xfId="0" applyNumberFormat="1" applyFont="1" applyFill="1" applyBorder="1" applyAlignment="1">
      <alignment horizontal="center" vertical="center"/>
    </xf>
    <xf numFmtId="0" fontId="74" fillId="5" borderId="0" xfId="0" applyFont="1" applyFill="1" applyAlignment="1">
      <alignment horizontal="right" vertical="center"/>
    </xf>
    <xf numFmtId="0" fontId="90" fillId="5" borderId="0" xfId="0" applyFont="1" applyFill="1" applyAlignment="1">
      <alignment horizontal="center" vertical="center"/>
    </xf>
    <xf numFmtId="0" fontId="77" fillId="5" borderId="4" xfId="40" applyFont="1" applyFill="1" applyBorder="1" applyAlignment="1">
      <alignment vertical="center"/>
    </xf>
    <xf numFmtId="0" fontId="47" fillId="0" borderId="16" xfId="38" applyFont="1" applyFill="1" applyBorder="1" applyAlignment="1">
      <alignment horizontal="center" vertical="center" wrapText="1"/>
    </xf>
    <xf numFmtId="0" fontId="60" fillId="0" borderId="17" xfId="38" applyFont="1" applyFill="1" applyBorder="1" applyAlignment="1">
      <alignment horizontal="center" vertical="center"/>
    </xf>
    <xf numFmtId="1" fontId="77" fillId="5" borderId="0" xfId="41" applyNumberFormat="1" applyFont="1" applyFill="1" applyBorder="1" applyAlignment="1" applyProtection="1">
      <alignment horizontal="left" vertical="center" wrapText="1"/>
      <protection locked="0"/>
    </xf>
    <xf numFmtId="0" fontId="77" fillId="5" borderId="5" xfId="0" applyFont="1" applyFill="1" applyBorder="1" applyAlignment="1">
      <alignment horizontal="right" vertical="center"/>
    </xf>
    <xf numFmtId="2" fontId="89" fillId="5" borderId="5" xfId="0" applyNumberFormat="1" applyFont="1" applyFill="1" applyBorder="1" applyAlignment="1">
      <alignment horizontal="center" vertical="center"/>
    </xf>
    <xf numFmtId="0" fontId="77" fillId="5" borderId="6" xfId="0" applyFont="1" applyFill="1" applyBorder="1" applyAlignment="1">
      <alignment horizontal="right" vertical="center"/>
    </xf>
    <xf numFmtId="0" fontId="89" fillId="5" borderId="6" xfId="0" applyFont="1" applyFill="1" applyBorder="1" applyAlignment="1">
      <alignment horizontal="center" vertical="center"/>
    </xf>
    <xf numFmtId="167" fontId="77" fillId="5" borderId="6" xfId="0" applyNumberFormat="1" applyFont="1" applyFill="1" applyBorder="1" applyAlignment="1">
      <alignment horizontal="center" vertical="center"/>
    </xf>
    <xf numFmtId="0" fontId="77" fillId="5" borderId="6" xfId="0" applyFont="1" applyFill="1" applyBorder="1" applyAlignment="1">
      <alignment horizontal="center" vertical="center"/>
    </xf>
    <xf numFmtId="2" fontId="77" fillId="5" borderId="6" xfId="0" applyNumberFormat="1" applyFont="1" applyFill="1" applyBorder="1" applyAlignment="1">
      <alignment horizontal="center" vertical="center"/>
    </xf>
    <xf numFmtId="0" fontId="77" fillId="5" borderId="7" xfId="0" applyFont="1" applyFill="1" applyBorder="1" applyAlignment="1">
      <alignment horizontal="right" vertical="center"/>
    </xf>
    <xf numFmtId="166" fontId="77" fillId="5" borderId="7" xfId="0" applyNumberFormat="1" applyFont="1" applyFill="1" applyBorder="1" applyAlignment="1">
      <alignment horizontal="center" vertical="center"/>
    </xf>
    <xf numFmtId="0" fontId="77" fillId="5" borderId="12" xfId="0" applyFont="1" applyFill="1" applyBorder="1" applyAlignment="1">
      <alignment horizontal="right" vertical="center"/>
    </xf>
    <xf numFmtId="0" fontId="77" fillId="5" borderId="0" xfId="0" applyFont="1" applyFill="1" applyBorder="1" applyAlignment="1">
      <alignment horizontal="right" vertical="center"/>
    </xf>
    <xf numFmtId="0" fontId="77" fillId="5" borderId="0" xfId="42" applyFont="1" applyFill="1" applyBorder="1" applyAlignment="1">
      <alignment horizontal="center" vertical="center"/>
    </xf>
    <xf numFmtId="167" fontId="77" fillId="5" borderId="0" xfId="0" applyNumberFormat="1" applyFont="1" applyFill="1" applyBorder="1" applyAlignment="1">
      <alignment horizontal="center" vertical="center"/>
    </xf>
    <xf numFmtId="0" fontId="77" fillId="5" borderId="0" xfId="42" applyFont="1" applyFill="1" applyBorder="1" applyAlignment="1">
      <alignment horizontal="right" vertical="center"/>
    </xf>
    <xf numFmtId="0" fontId="83" fillId="5" borderId="0" xfId="42" applyFont="1" applyFill="1" applyBorder="1" applyAlignment="1">
      <alignment horizontal="center" vertical="center"/>
    </xf>
    <xf numFmtId="2" fontId="29" fillId="5" borderId="5" xfId="0" applyNumberFormat="1" applyFont="1" applyFill="1" applyBorder="1" applyAlignment="1">
      <alignment horizontal="center" vertical="center"/>
    </xf>
    <xf numFmtId="2" fontId="29" fillId="5" borderId="12" xfId="0" applyNumberFormat="1" applyFont="1" applyFill="1" applyBorder="1" applyAlignment="1">
      <alignment horizontal="center" vertical="center"/>
    </xf>
    <xf numFmtId="167" fontId="29" fillId="5" borderId="6" xfId="0" applyNumberFormat="1" applyFont="1" applyFill="1" applyBorder="1" applyAlignment="1">
      <alignment horizontal="center" vertical="center"/>
    </xf>
    <xf numFmtId="2" fontId="29" fillId="5" borderId="6" xfId="0" applyNumberFormat="1" applyFont="1" applyFill="1" applyBorder="1" applyAlignment="1">
      <alignment horizontal="center" vertical="center"/>
    </xf>
    <xf numFmtId="166" fontId="29" fillId="5" borderId="7" xfId="0" applyNumberFormat="1" applyFont="1" applyFill="1" applyBorder="1" applyAlignment="1">
      <alignment horizontal="center" vertical="center"/>
    </xf>
    <xf numFmtId="1" fontId="43" fillId="5" borderId="12" xfId="0" applyNumberFormat="1" applyFont="1" applyFill="1" applyBorder="1" applyAlignment="1">
      <alignment horizontal="center" vertical="center"/>
    </xf>
    <xf numFmtId="0" fontId="43" fillId="5" borderId="6" xfId="0" applyNumberFormat="1" applyFont="1" applyFill="1" applyBorder="1" applyAlignment="1">
      <alignment horizontal="center" vertical="center"/>
    </xf>
    <xf numFmtId="0" fontId="74" fillId="0" borderId="0" xfId="0" applyNumberFormat="1" applyFont="1" applyFill="1" applyAlignment="1">
      <alignment horizontal="left" vertical="center"/>
    </xf>
    <xf numFmtId="0" fontId="77" fillId="0" borderId="0" xfId="0" applyFont="1" applyFill="1" applyAlignment="1">
      <alignment vertical="center"/>
    </xf>
    <xf numFmtId="0" fontId="67" fillId="5" borderId="0" xfId="0" applyFont="1" applyFill="1" applyBorder="1" applyAlignment="1">
      <alignment horizontal="left" vertical="center"/>
    </xf>
    <xf numFmtId="0" fontId="67" fillId="5" borderId="0" xfId="0" applyFont="1" applyFill="1" applyBorder="1" applyAlignment="1">
      <alignment vertical="center"/>
    </xf>
    <xf numFmtId="0" fontId="67" fillId="5" borderId="0" xfId="0" applyFont="1" applyFill="1" applyAlignment="1">
      <alignment horizontal="right" vertical="center"/>
    </xf>
    <xf numFmtId="0" fontId="67" fillId="5" borderId="0" xfId="0" applyFont="1" applyFill="1" applyBorder="1" applyAlignment="1" applyProtection="1">
      <alignment vertical="center"/>
    </xf>
    <xf numFmtId="167" fontId="67" fillId="5" borderId="0" xfId="0" applyNumberFormat="1" applyFont="1" applyFill="1" applyBorder="1" applyAlignment="1" applyProtection="1">
      <alignment vertical="center"/>
    </xf>
    <xf numFmtId="0" fontId="68" fillId="5" borderId="0" xfId="0" applyFont="1" applyFill="1" applyBorder="1" applyAlignment="1" applyProtection="1">
      <alignment vertical="center"/>
    </xf>
    <xf numFmtId="0" fontId="67" fillId="5" borderId="0" xfId="0" applyFont="1" applyFill="1" applyBorder="1" applyAlignment="1" applyProtection="1">
      <alignment horizontal="center" vertical="center"/>
    </xf>
    <xf numFmtId="0" fontId="67" fillId="5" borderId="0" xfId="0" applyFont="1" applyFill="1" applyBorder="1" applyAlignment="1" applyProtection="1">
      <alignment horizontal="right" vertical="center"/>
    </xf>
    <xf numFmtId="0" fontId="67" fillId="5" borderId="0" xfId="0" applyNumberFormat="1" applyFont="1" applyFill="1" applyBorder="1" applyAlignment="1" applyProtection="1">
      <alignment vertical="center"/>
    </xf>
    <xf numFmtId="167" fontId="67" fillId="5" borderId="0" xfId="0" applyNumberFormat="1" applyFont="1" applyFill="1" applyBorder="1" applyAlignment="1" applyProtection="1">
      <alignment horizontal="right" vertical="center"/>
    </xf>
    <xf numFmtId="0" fontId="67" fillId="5" borderId="0" xfId="0" applyFont="1" applyFill="1" applyBorder="1" applyAlignment="1" applyProtection="1">
      <alignment horizontal="left" vertical="center"/>
    </xf>
    <xf numFmtId="2" fontId="68" fillId="5" borderId="0" xfId="0" applyNumberFormat="1" applyFont="1" applyFill="1" applyBorder="1" applyAlignment="1" applyProtection="1">
      <alignment horizontal="center" vertical="center"/>
    </xf>
    <xf numFmtId="0" fontId="77" fillId="5" borderId="0" xfId="0" applyFont="1" applyFill="1" applyBorder="1" applyAlignment="1">
      <alignment vertical="center"/>
    </xf>
    <xf numFmtId="0" fontId="85" fillId="5" borderId="0" xfId="0" applyFont="1" applyFill="1" applyAlignment="1">
      <alignment horizontal="left" vertical="center"/>
    </xf>
    <xf numFmtId="0" fontId="67" fillId="5" borderId="0" xfId="0" applyFont="1" applyFill="1" applyBorder="1" applyAlignment="1">
      <alignment horizontal="center"/>
    </xf>
    <xf numFmtId="167" fontId="67" fillId="5" borderId="0" xfId="0" applyNumberFormat="1" applyFont="1" applyFill="1" applyBorder="1" applyAlignment="1">
      <alignment horizontal="center"/>
    </xf>
    <xf numFmtId="0" fontId="91" fillId="5" borderId="0" xfId="0" applyNumberFormat="1" applyFont="1" applyFill="1" applyAlignment="1">
      <alignment horizontal="center" vertical="center"/>
    </xf>
    <xf numFmtId="0" fontId="77" fillId="5" borderId="0" xfId="0" applyFont="1" applyFill="1" applyBorder="1" applyAlignment="1">
      <alignment horizontal="center" vertical="center"/>
    </xf>
    <xf numFmtId="0" fontId="67" fillId="5" borderId="4" xfId="0" applyFont="1" applyFill="1" applyBorder="1" applyAlignment="1">
      <alignment vertical="center"/>
    </xf>
    <xf numFmtId="0" fontId="67" fillId="5" borderId="4" xfId="0" applyFont="1" applyFill="1" applyBorder="1" applyAlignment="1">
      <alignment horizontal="right" vertical="center"/>
    </xf>
    <xf numFmtId="0" fontId="68" fillId="5" borderId="0" xfId="39" applyFont="1" applyFill="1" applyAlignment="1">
      <alignment vertical="center"/>
    </xf>
    <xf numFmtId="0" fontId="67" fillId="5" borderId="0" xfId="41" applyFont="1" applyFill="1" applyAlignment="1" applyProtection="1">
      <alignment horizontal="left" vertical="center" wrapText="1"/>
      <protection locked="0"/>
    </xf>
    <xf numFmtId="2" fontId="68" fillId="5" borderId="0" xfId="0" applyNumberFormat="1" applyFont="1" applyFill="1" applyAlignment="1">
      <alignment horizontal="left" vertical="center"/>
    </xf>
    <xf numFmtId="182" fontId="67" fillId="5" borderId="0" xfId="0" applyNumberFormat="1" applyFont="1" applyFill="1" applyAlignment="1">
      <alignment vertical="center"/>
    </xf>
    <xf numFmtId="0" fontId="68" fillId="5" borderId="0" xfId="0" quotePrefix="1" applyFont="1" applyFill="1" applyAlignment="1">
      <alignment vertical="center"/>
    </xf>
    <xf numFmtId="2" fontId="67" fillId="5" borderId="4" xfId="0" applyNumberFormat="1" applyFont="1" applyFill="1" applyBorder="1" applyAlignment="1">
      <alignment horizontal="center" vertical="center"/>
    </xf>
    <xf numFmtId="0" fontId="67" fillId="5" borderId="4" xfId="0" applyFont="1" applyFill="1" applyBorder="1" applyAlignment="1">
      <alignment horizontal="left" vertical="center"/>
    </xf>
    <xf numFmtId="1" fontId="67" fillId="5" borderId="0" xfId="0" applyNumberFormat="1" applyFont="1" applyFill="1" applyBorder="1" applyAlignment="1">
      <alignment horizontal="center" vertical="center"/>
    </xf>
    <xf numFmtId="0" fontId="67" fillId="5" borderId="0" xfId="0" applyFont="1" applyFill="1" applyBorder="1" applyAlignment="1">
      <alignment horizontal="right" vertical="center"/>
    </xf>
    <xf numFmtId="2" fontId="67" fillId="5" borderId="0" xfId="0" applyNumberFormat="1" applyFont="1" applyFill="1" applyBorder="1" applyAlignment="1">
      <alignment horizontal="center" vertical="center"/>
    </xf>
    <xf numFmtId="0" fontId="64" fillId="5" borderId="0" xfId="40" applyFont="1" applyFill="1" applyBorder="1" applyAlignment="1">
      <alignment vertical="center" wrapText="1"/>
    </xf>
    <xf numFmtId="0" fontId="87" fillId="5" borderId="0" xfId="0" applyNumberFormat="1" applyFont="1" applyFill="1" applyBorder="1" applyAlignment="1">
      <alignment horizontal="center" vertical="center"/>
    </xf>
    <xf numFmtId="0" fontId="64" fillId="5" borderId="0" xfId="40" applyFont="1" applyFill="1" applyBorder="1" applyAlignment="1" applyProtection="1">
      <alignment vertical="center" wrapText="1"/>
    </xf>
    <xf numFmtId="0" fontId="32" fillId="5" borderId="0" xfId="40" applyFont="1" applyFill="1" applyBorder="1" applyAlignment="1" applyProtection="1">
      <alignment vertical="center"/>
    </xf>
    <xf numFmtId="0" fontId="32" fillId="0" borderId="0" xfId="40" applyFont="1" applyAlignment="1" applyProtection="1">
      <alignment horizontal="center" vertical="center"/>
    </xf>
    <xf numFmtId="0" fontId="88" fillId="5" borderId="0" xfId="40" applyFont="1" applyFill="1" applyBorder="1" applyAlignment="1">
      <alignment vertical="center"/>
    </xf>
    <xf numFmtId="0" fontId="88" fillId="5" borderId="0" xfId="40" applyFont="1" applyFill="1" applyBorder="1" applyAlignment="1" applyProtection="1">
      <alignment horizontal="left" vertical="center"/>
    </xf>
    <xf numFmtId="0" fontId="68" fillId="5" borderId="0" xfId="0" quotePrefix="1" applyFont="1" applyFill="1" applyBorder="1" applyAlignment="1">
      <alignment vertical="center"/>
    </xf>
    <xf numFmtId="0" fontId="77" fillId="0" borderId="0" xfId="0" applyFont="1" applyFill="1" applyBorder="1" applyAlignment="1">
      <alignment vertical="center"/>
    </xf>
    <xf numFmtId="0" fontId="68" fillId="5" borderId="4" xfId="0" applyFont="1" applyFill="1" applyBorder="1" applyAlignment="1">
      <alignment horizontal="center" vertical="center"/>
    </xf>
    <xf numFmtId="0" fontId="91" fillId="5" borderId="4" xfId="0" applyFont="1" applyFill="1" applyBorder="1" applyAlignment="1">
      <alignment horizontal="center" vertical="center"/>
    </xf>
    <xf numFmtId="0" fontId="92" fillId="5" borderId="4" xfId="0" applyFont="1" applyFill="1" applyBorder="1" applyAlignment="1">
      <alignment horizontal="center" vertical="center"/>
    </xf>
    <xf numFmtId="0" fontId="77" fillId="0" borderId="0" xfId="0" applyFont="1" applyFill="1" applyAlignment="1">
      <alignment horizontal="left" vertical="center"/>
    </xf>
    <xf numFmtId="0" fontId="69" fillId="5" borderId="0" xfId="40" applyFont="1" applyFill="1" applyBorder="1" applyAlignment="1">
      <alignment vertical="center"/>
    </xf>
    <xf numFmtId="0" fontId="69" fillId="5" borderId="0" xfId="40" applyFont="1" applyFill="1" applyBorder="1" applyAlignment="1">
      <alignment horizontal="right" vertical="center"/>
    </xf>
    <xf numFmtId="0" fontId="67" fillId="5" borderId="0" xfId="0" applyFont="1" applyFill="1" applyAlignment="1" applyProtection="1">
      <alignment horizontal="left" vertical="center"/>
    </xf>
    <xf numFmtId="0" fontId="64" fillId="5" borderId="0" xfId="0" quotePrefix="1" applyFont="1" applyFill="1" applyBorder="1" applyAlignment="1" applyProtection="1">
      <alignment horizontal="center" vertical="center"/>
    </xf>
    <xf numFmtId="0" fontId="64" fillId="5" borderId="0" xfId="0" quotePrefix="1" applyFont="1" applyFill="1" applyBorder="1" applyAlignment="1" applyProtection="1">
      <alignment horizontal="center" vertical="top"/>
    </xf>
    <xf numFmtId="0" fontId="67" fillId="0" borderId="4" xfId="0" applyFont="1" applyFill="1" applyBorder="1" applyAlignment="1" applyProtection="1">
      <alignment horizontal="center" vertical="center"/>
    </xf>
    <xf numFmtId="0" fontId="74" fillId="5" borderId="0" xfId="0" applyFont="1" applyFill="1" applyBorder="1" applyAlignment="1" applyProtection="1">
      <alignment horizontal="left" vertical="center"/>
    </xf>
    <xf numFmtId="0" fontId="67" fillId="6" borderId="0" xfId="0" applyFont="1" applyFill="1" applyBorder="1" applyAlignment="1" applyProtection="1">
      <alignment horizontal="left" vertical="center"/>
    </xf>
    <xf numFmtId="0" fontId="67" fillId="6" borderId="0" xfId="0" applyNumberFormat="1" applyFont="1" applyFill="1" applyBorder="1" applyAlignment="1" applyProtection="1">
      <alignment vertical="center"/>
    </xf>
    <xf numFmtId="0" fontId="67" fillId="6" borderId="0" xfId="0" applyFont="1" applyFill="1" applyBorder="1" applyAlignment="1" applyProtection="1">
      <alignment vertical="center"/>
    </xf>
    <xf numFmtId="0" fontId="67" fillId="6" borderId="0" xfId="0" applyFont="1" applyFill="1" applyBorder="1" applyAlignment="1" applyProtection="1">
      <alignment horizontal="right" vertical="center"/>
    </xf>
    <xf numFmtId="2" fontId="68" fillId="6" borderId="0" xfId="0" applyNumberFormat="1" applyFont="1" applyFill="1" applyBorder="1" applyAlignment="1" applyProtection="1">
      <alignment horizontal="center" vertical="center"/>
    </xf>
    <xf numFmtId="0" fontId="68" fillId="6" borderId="0" xfId="0" applyFont="1" applyFill="1" applyBorder="1" applyAlignment="1" applyProtection="1">
      <alignment vertical="center"/>
    </xf>
    <xf numFmtId="0" fontId="68" fillId="6" borderId="0" xfId="0" applyFont="1" applyFill="1" applyBorder="1" applyAlignment="1" applyProtection="1">
      <alignment horizontal="center" vertical="center"/>
    </xf>
    <xf numFmtId="0" fontId="92" fillId="6" borderId="0" xfId="0" applyFont="1" applyFill="1" applyBorder="1" applyAlignment="1" applyProtection="1">
      <alignment horizontal="center" vertical="center"/>
      <protection locked="0"/>
    </xf>
    <xf numFmtId="0" fontId="67" fillId="6" borderId="0" xfId="0" quotePrefix="1" applyFont="1" applyFill="1" applyBorder="1" applyAlignment="1" applyProtection="1">
      <alignment vertical="center"/>
    </xf>
    <xf numFmtId="0" fontId="67" fillId="6" borderId="0" xfId="0" quotePrefix="1" applyFont="1" applyFill="1" applyAlignment="1">
      <alignment vertical="center"/>
    </xf>
    <xf numFmtId="0" fontId="67" fillId="6" borderId="0" xfId="0" applyFont="1" applyFill="1" applyAlignment="1">
      <alignment vertical="center"/>
    </xf>
    <xf numFmtId="1" fontId="67" fillId="6" borderId="0" xfId="0" applyNumberFormat="1" applyFont="1" applyFill="1" applyBorder="1" applyAlignment="1" applyProtection="1">
      <alignment horizontal="center" vertical="center"/>
    </xf>
    <xf numFmtId="167" fontId="68" fillId="6" borderId="0" xfId="0" applyNumberFormat="1" applyFont="1" applyFill="1" applyBorder="1" applyAlignment="1" applyProtection="1">
      <alignment horizontal="center" vertical="center"/>
    </xf>
    <xf numFmtId="0" fontId="68" fillId="6" borderId="0" xfId="0" quotePrefix="1" applyFont="1" applyFill="1" applyBorder="1" applyAlignment="1" applyProtection="1">
      <alignment vertical="center"/>
    </xf>
    <xf numFmtId="0" fontId="67" fillId="6" borderId="0" xfId="0" applyFont="1" applyFill="1" applyAlignment="1" applyProtection="1">
      <alignment horizontal="left" vertical="center"/>
    </xf>
    <xf numFmtId="0" fontId="74" fillId="6" borderId="0" xfId="0" applyFont="1" applyFill="1" applyBorder="1" applyAlignment="1" applyProtection="1">
      <alignment horizontal="left" vertical="center"/>
    </xf>
    <xf numFmtId="0" fontId="67" fillId="5" borderId="4" xfId="0" applyFont="1" applyFill="1" applyBorder="1" applyAlignment="1">
      <alignment horizontal="center" vertical="center"/>
    </xf>
    <xf numFmtId="0" fontId="67" fillId="5" borderId="4" xfId="0" applyFont="1" applyFill="1" applyBorder="1" applyAlignment="1">
      <alignment horizontal="center" vertical="center"/>
    </xf>
    <xf numFmtId="166" fontId="67" fillId="6" borderId="0" xfId="0" applyNumberFormat="1" applyFont="1" applyFill="1" applyAlignment="1">
      <alignment horizontal="center" vertical="center"/>
    </xf>
    <xf numFmtId="0" fontId="67" fillId="5" borderId="4" xfId="0" applyFont="1" applyFill="1" applyBorder="1" applyAlignment="1">
      <alignment horizontal="center" vertical="center"/>
    </xf>
    <xf numFmtId="0" fontId="64" fillId="0" borderId="0" xfId="0" applyFont="1" applyFill="1" applyBorder="1" applyAlignment="1">
      <alignment horizontal="center" vertical="center"/>
    </xf>
    <xf numFmtId="0" fontId="64" fillId="0" borderId="15" xfId="0" applyFont="1" applyFill="1" applyBorder="1" applyAlignment="1">
      <alignment horizontal="center" vertical="center"/>
    </xf>
    <xf numFmtId="0" fontId="37" fillId="3" borderId="18" xfId="38" applyFont="1" applyFill="1" applyBorder="1" applyAlignment="1">
      <alignment horizontal="center" vertical="center" wrapText="1"/>
    </xf>
    <xf numFmtId="0" fontId="37" fillId="3" borderId="22" xfId="38" applyFont="1" applyFill="1" applyBorder="1" applyAlignment="1">
      <alignment horizontal="center" vertical="center" wrapText="1"/>
    </xf>
    <xf numFmtId="0" fontId="37" fillId="3" borderId="23" xfId="38" applyFont="1" applyFill="1" applyBorder="1" applyAlignment="1">
      <alignment horizontal="center" vertical="center" wrapText="1"/>
    </xf>
    <xf numFmtId="0" fontId="37" fillId="3" borderId="24" xfId="38" applyFont="1" applyFill="1" applyBorder="1" applyAlignment="1">
      <alignment horizontal="center" vertical="center" wrapText="1"/>
    </xf>
    <xf numFmtId="0" fontId="37" fillId="3" borderId="19" xfId="38" applyFont="1" applyFill="1" applyBorder="1" applyAlignment="1">
      <alignment horizontal="center" vertical="center"/>
    </xf>
    <xf numFmtId="0" fontId="37" fillId="3" borderId="9" xfId="38" applyFont="1" applyFill="1" applyBorder="1" applyAlignment="1">
      <alignment horizontal="center" vertical="center"/>
    </xf>
    <xf numFmtId="0" fontId="37" fillId="3" borderId="20" xfId="38" applyFont="1" applyFill="1" applyBorder="1" applyAlignment="1">
      <alignment horizontal="center" vertical="center"/>
    </xf>
    <xf numFmtId="0" fontId="37" fillId="3" borderId="10" xfId="38" applyFont="1" applyFill="1" applyBorder="1" applyAlignment="1">
      <alignment horizontal="center" vertical="center"/>
    </xf>
    <xf numFmtId="0" fontId="37" fillId="3" borderId="21" xfId="38" applyFont="1" applyFill="1" applyBorder="1" applyAlignment="1">
      <alignment horizontal="center" vertical="center"/>
    </xf>
    <xf numFmtId="0" fontId="37" fillId="3" borderId="11" xfId="38" applyFont="1" applyFill="1" applyBorder="1" applyAlignment="1">
      <alignment horizontal="center" vertical="center"/>
    </xf>
    <xf numFmtId="0" fontId="34" fillId="0" borderId="0" xfId="38" applyFont="1" applyFill="1" applyBorder="1" applyAlignment="1">
      <alignment horizontal="center" vertical="center"/>
    </xf>
    <xf numFmtId="0" fontId="34" fillId="0" borderId="15" xfId="38" applyFont="1" applyFill="1" applyBorder="1" applyAlignment="1">
      <alignment horizontal="center" vertical="center"/>
    </xf>
    <xf numFmtId="0" fontId="37" fillId="3" borderId="13" xfId="38" applyFont="1" applyFill="1" applyBorder="1" applyAlignment="1">
      <alignment horizontal="center" vertical="center"/>
    </xf>
    <xf numFmtId="0" fontId="37" fillId="3" borderId="8" xfId="38" applyFont="1" applyFill="1" applyBorder="1" applyAlignment="1">
      <alignment horizontal="center" vertical="center"/>
    </xf>
    <xf numFmtId="0" fontId="47" fillId="0" borderId="4" xfId="43" applyFont="1" applyBorder="1" applyAlignment="1">
      <alignment horizontal="center" vertical="center"/>
    </xf>
    <xf numFmtId="0" fontId="47" fillId="0" borderId="14" xfId="43" applyFont="1" applyFill="1" applyBorder="1" applyAlignment="1">
      <alignment horizontal="center" vertical="center"/>
    </xf>
    <xf numFmtId="0" fontId="47" fillId="0" borderId="17" xfId="43" applyFont="1" applyFill="1" applyBorder="1" applyAlignment="1">
      <alignment horizontal="center" vertical="center"/>
    </xf>
    <xf numFmtId="0" fontId="47" fillId="3" borderId="14" xfId="43" applyFont="1" applyFill="1" applyBorder="1" applyAlignment="1">
      <alignment horizontal="center" vertical="center" wrapText="1"/>
    </xf>
    <xf numFmtId="0" fontId="47" fillId="3" borderId="17" xfId="43" applyFont="1" applyFill="1" applyBorder="1" applyAlignment="1">
      <alignment horizontal="center" vertical="center"/>
    </xf>
    <xf numFmtId="0" fontId="47" fillId="3" borderId="18" xfId="43" applyFont="1" applyFill="1" applyBorder="1" applyAlignment="1">
      <alignment horizontal="center" vertical="center" wrapText="1"/>
    </xf>
    <xf numFmtId="0" fontId="47" fillId="3" borderId="25" xfId="43" applyFont="1" applyFill="1" applyBorder="1" applyAlignment="1">
      <alignment horizontal="center" vertical="center"/>
    </xf>
    <xf numFmtId="0" fontId="47" fillId="3" borderId="22" xfId="43" applyFont="1" applyFill="1" applyBorder="1" applyAlignment="1">
      <alignment horizontal="center" vertical="center"/>
    </xf>
    <xf numFmtId="0" fontId="47" fillId="3" borderId="23" xfId="43" applyFont="1" applyFill="1" applyBorder="1" applyAlignment="1">
      <alignment horizontal="center" vertical="center"/>
    </xf>
    <xf numFmtId="0" fontId="47" fillId="3" borderId="15" xfId="43" applyFont="1" applyFill="1" applyBorder="1" applyAlignment="1">
      <alignment horizontal="center" vertical="center"/>
    </xf>
    <xf numFmtId="0" fontId="47" fillId="3" borderId="24" xfId="43" applyFont="1" applyFill="1" applyBorder="1" applyAlignment="1">
      <alignment horizontal="center" vertical="center"/>
    </xf>
    <xf numFmtId="0" fontId="48" fillId="3" borderId="4" xfId="43" applyFont="1" applyFill="1" applyBorder="1" applyAlignment="1">
      <alignment horizontal="center" vertical="center"/>
    </xf>
    <xf numFmtId="0" fontId="47" fillId="3" borderId="4" xfId="43" applyFont="1" applyFill="1" applyBorder="1" applyAlignment="1">
      <alignment horizontal="center" vertical="center" wrapText="1"/>
    </xf>
    <xf numFmtId="0" fontId="47" fillId="3" borderId="4" xfId="43" applyFont="1" applyFill="1" applyBorder="1" applyAlignment="1">
      <alignment horizontal="center" vertical="center"/>
    </xf>
    <xf numFmtId="0" fontId="89" fillId="5" borderId="13" xfId="40" applyFont="1" applyFill="1" applyBorder="1" applyAlignment="1">
      <alignment horizontal="center" vertical="center"/>
    </xf>
    <xf numFmtId="0" fontId="93" fillId="0" borderId="8" xfId="0" applyFont="1" applyBorder="1"/>
    <xf numFmtId="0" fontId="29" fillId="5" borderId="18" xfId="40" applyFont="1" applyFill="1" applyBorder="1" applyAlignment="1">
      <alignment horizontal="center" vertical="center"/>
    </xf>
    <xf numFmtId="0" fontId="29" fillId="5" borderId="22" xfId="40" applyFont="1" applyFill="1" applyBorder="1" applyAlignment="1">
      <alignment horizontal="center" vertical="center"/>
    </xf>
    <xf numFmtId="0" fontId="29" fillId="5" borderId="26" xfId="40" applyFont="1" applyFill="1" applyBorder="1" applyAlignment="1">
      <alignment horizontal="center" vertical="center"/>
    </xf>
    <xf numFmtId="0" fontId="29" fillId="5" borderId="27" xfId="40" applyFont="1" applyFill="1" applyBorder="1" applyAlignment="1">
      <alignment horizontal="center" vertical="center"/>
    </xf>
    <xf numFmtId="0" fontId="29" fillId="5" borderId="23" xfId="40" applyFont="1" applyFill="1" applyBorder="1" applyAlignment="1">
      <alignment horizontal="center" vertical="center"/>
    </xf>
    <xf numFmtId="0" fontId="29" fillId="5" borderId="24" xfId="40" applyFont="1" applyFill="1" applyBorder="1" applyAlignment="1">
      <alignment horizontal="center" vertical="center"/>
    </xf>
    <xf numFmtId="0" fontId="89" fillId="5" borderId="13" xfId="40" applyFont="1" applyFill="1" applyBorder="1" applyAlignment="1">
      <alignment horizontal="left" vertical="center"/>
    </xf>
    <xf numFmtId="0" fontId="89" fillId="5" borderId="2" xfId="40" applyFont="1" applyFill="1" applyBorder="1" applyAlignment="1">
      <alignment horizontal="left" vertical="center"/>
    </xf>
    <xf numFmtId="0" fontId="89" fillId="5" borderId="8" xfId="40" applyFont="1" applyFill="1" applyBorder="1" applyAlignment="1">
      <alignment horizontal="left" vertical="center"/>
    </xf>
    <xf numFmtId="0" fontId="64" fillId="5" borderId="13" xfId="40" applyFont="1" applyFill="1" applyBorder="1" applyAlignment="1">
      <alignment horizontal="center" vertical="center" wrapText="1"/>
    </xf>
    <xf numFmtId="0" fontId="1" fillId="0" borderId="2" xfId="0" applyFont="1" applyBorder="1"/>
    <xf numFmtId="0" fontId="1" fillId="0" borderId="8" xfId="0" applyFont="1" applyBorder="1"/>
    <xf numFmtId="0" fontId="67" fillId="5" borderId="0" xfId="0" applyFont="1" applyFill="1" applyBorder="1" applyAlignment="1" applyProtection="1">
      <alignment vertical="center" wrapText="1"/>
    </xf>
    <xf numFmtId="0" fontId="32" fillId="5" borderId="0" xfId="40" applyFont="1" applyFill="1" applyBorder="1" applyAlignment="1" applyProtection="1">
      <alignment horizontal="left" vertical="center"/>
    </xf>
    <xf numFmtId="0" fontId="64" fillId="5" borderId="0" xfId="40" applyFont="1" applyFill="1" applyBorder="1" applyAlignment="1" applyProtection="1">
      <alignment horizontal="center" vertical="center" wrapText="1"/>
    </xf>
    <xf numFmtId="0" fontId="67" fillId="6" borderId="0" xfId="0" applyFont="1" applyFill="1" applyBorder="1" applyAlignment="1" applyProtection="1">
      <alignment vertical="center" wrapText="1"/>
    </xf>
    <xf numFmtId="188" fontId="67" fillId="5" borderId="13" xfId="0" applyNumberFormat="1" applyFont="1" applyFill="1" applyBorder="1" applyAlignment="1">
      <alignment horizontal="center" vertical="center"/>
    </xf>
    <xf numFmtId="188" fontId="67" fillId="5" borderId="8" xfId="0" applyNumberFormat="1" applyFont="1" applyFill="1" applyBorder="1" applyAlignment="1">
      <alignment horizontal="center" vertical="center"/>
    </xf>
    <xf numFmtId="0" fontId="67" fillId="5" borderId="4" xfId="0" applyFont="1" applyFill="1" applyBorder="1" applyAlignment="1">
      <alignment horizontal="center" vertical="center"/>
    </xf>
    <xf numFmtId="1" fontId="68" fillId="5" borderId="4" xfId="0" applyNumberFormat="1" applyFont="1" applyFill="1" applyBorder="1" applyAlignment="1">
      <alignment horizontal="center" vertical="center"/>
    </xf>
    <xf numFmtId="0" fontId="68" fillId="5" borderId="4" xfId="0" applyFont="1" applyFill="1" applyBorder="1" applyAlignment="1">
      <alignment horizontal="center" vertical="center"/>
    </xf>
    <xf numFmtId="0" fontId="67" fillId="5" borderId="0" xfId="0" applyFont="1" applyFill="1" applyBorder="1" applyAlignment="1">
      <alignment horizontal="center" vertical="center"/>
    </xf>
    <xf numFmtId="167" fontId="68" fillId="5" borderId="4" xfId="0" applyNumberFormat="1" applyFont="1" applyFill="1" applyBorder="1" applyAlignment="1">
      <alignment horizontal="center" vertical="center"/>
    </xf>
    <xf numFmtId="0" fontId="67" fillId="5" borderId="18" xfId="0" applyFont="1" applyFill="1" applyBorder="1" applyAlignment="1">
      <alignment horizontal="center" vertical="center" wrapText="1"/>
    </xf>
    <xf numFmtId="0" fontId="67" fillId="5" borderId="22" xfId="0" applyFont="1" applyFill="1" applyBorder="1" applyAlignment="1">
      <alignment horizontal="center" vertical="center" wrapText="1"/>
    </xf>
    <xf numFmtId="0" fontId="67" fillId="5" borderId="23" xfId="0" applyFont="1" applyFill="1" applyBorder="1" applyAlignment="1">
      <alignment horizontal="center" vertical="center" wrapText="1"/>
    </xf>
    <xf numFmtId="0" fontId="67" fillId="5" borderId="24" xfId="0" applyFont="1" applyFill="1" applyBorder="1" applyAlignment="1">
      <alignment horizontal="center" vertical="center" wrapText="1"/>
    </xf>
    <xf numFmtId="0" fontId="67" fillId="5" borderId="14" xfId="0" applyFont="1" applyFill="1" applyBorder="1" applyAlignment="1">
      <alignment horizontal="center" vertical="center"/>
    </xf>
    <xf numFmtId="0" fontId="67" fillId="5" borderId="17" xfId="0" applyFont="1" applyFill="1" applyBorder="1" applyAlignment="1">
      <alignment horizontal="center" vertical="center"/>
    </xf>
    <xf numFmtId="0" fontId="67" fillId="5" borderId="4" xfId="0" applyFont="1" applyFill="1" applyBorder="1" applyAlignment="1">
      <alignment horizontal="center" vertical="center" wrapText="1"/>
    </xf>
    <xf numFmtId="0" fontId="67" fillId="5" borderId="13" xfId="0" applyFont="1" applyFill="1" applyBorder="1" applyAlignment="1">
      <alignment horizontal="center" vertical="center"/>
    </xf>
    <xf numFmtId="0" fontId="67" fillId="5" borderId="2" xfId="0" applyFont="1" applyFill="1" applyBorder="1" applyAlignment="1">
      <alignment horizontal="center" vertical="center"/>
    </xf>
    <xf numFmtId="0" fontId="67" fillId="5" borderId="8" xfId="0" applyFont="1" applyFill="1" applyBorder="1" applyAlignment="1">
      <alignment horizontal="center" vertical="center"/>
    </xf>
    <xf numFmtId="1" fontId="67" fillId="5" borderId="14" xfId="0" applyNumberFormat="1" applyFont="1" applyFill="1" applyBorder="1" applyAlignment="1">
      <alignment horizontal="center" vertical="center"/>
    </xf>
    <xf numFmtId="1" fontId="67" fillId="5" borderId="17" xfId="0" applyNumberFormat="1" applyFont="1" applyFill="1" applyBorder="1" applyAlignment="1">
      <alignment horizontal="center" vertical="center"/>
    </xf>
    <xf numFmtId="1" fontId="67" fillId="5" borderId="16" xfId="0" applyNumberFormat="1" applyFont="1" applyFill="1" applyBorder="1" applyAlignment="1">
      <alignment horizontal="center" vertical="center"/>
    </xf>
    <xf numFmtId="0" fontId="96" fillId="5" borderId="0" xfId="40" applyFont="1" applyFill="1" applyBorder="1" applyAlignment="1">
      <alignment horizontal="center" vertical="center" wrapText="1"/>
    </xf>
    <xf numFmtId="0" fontId="67" fillId="5" borderId="14" xfId="0" applyFont="1" applyFill="1" applyBorder="1" applyAlignment="1">
      <alignment horizontal="center" vertical="center" wrapText="1"/>
    </xf>
    <xf numFmtId="0" fontId="67" fillId="5" borderId="17" xfId="0" applyFont="1" applyFill="1" applyBorder="1" applyAlignment="1">
      <alignment horizontal="center" vertical="center" wrapText="1"/>
    </xf>
    <xf numFmtId="1" fontId="67" fillId="5" borderId="4" xfId="0" applyNumberFormat="1" applyFont="1" applyFill="1" applyBorder="1" applyAlignment="1">
      <alignment horizontal="center" vertical="center"/>
    </xf>
    <xf numFmtId="0" fontId="65" fillId="5" borderId="4" xfId="0" applyFont="1" applyFill="1" applyBorder="1" applyAlignment="1">
      <alignment horizontal="center" vertical="center"/>
    </xf>
    <xf numFmtId="0" fontId="65" fillId="5" borderId="14" xfId="0" applyFont="1" applyFill="1" applyBorder="1" applyAlignment="1">
      <alignment horizontal="center" vertical="justify"/>
    </xf>
    <xf numFmtId="0" fontId="65" fillId="5" borderId="16" xfId="0" applyFont="1" applyFill="1" applyBorder="1" applyAlignment="1">
      <alignment horizontal="center" vertical="justify"/>
    </xf>
    <xf numFmtId="0" fontId="65" fillId="5" borderId="17" xfId="0" applyFont="1" applyFill="1" applyBorder="1" applyAlignment="1">
      <alignment horizontal="center" vertical="justify"/>
    </xf>
    <xf numFmtId="0" fontId="65" fillId="0" borderId="4" xfId="0" applyFont="1" applyFill="1" applyBorder="1" applyAlignment="1">
      <alignment horizontal="center" vertical="center"/>
    </xf>
    <xf numFmtId="0" fontId="63" fillId="0" borderId="15" xfId="0" applyFont="1" applyFill="1" applyBorder="1" applyAlignment="1">
      <alignment horizontal="center" vertical="center"/>
    </xf>
    <xf numFmtId="0" fontId="63" fillId="0" borderId="0" xfId="0" applyFont="1" applyFill="1" applyBorder="1" applyAlignment="1">
      <alignment horizontal="center" vertical="center"/>
    </xf>
    <xf numFmtId="0" fontId="65" fillId="0" borderId="14" xfId="0" applyFont="1" applyFill="1" applyBorder="1" applyAlignment="1">
      <alignment horizontal="center" vertical="center"/>
    </xf>
    <xf numFmtId="0" fontId="65" fillId="0" borderId="17" xfId="0" applyFont="1" applyFill="1" applyBorder="1" applyAlignment="1">
      <alignment horizontal="center" vertical="center"/>
    </xf>
    <xf numFmtId="0" fontId="65" fillId="0" borderId="13" xfId="0" applyFont="1" applyFill="1" applyBorder="1" applyAlignment="1">
      <alignment horizontal="center" vertical="center"/>
    </xf>
    <xf numFmtId="0" fontId="65" fillId="0" borderId="2" xfId="0" applyFont="1" applyFill="1" applyBorder="1" applyAlignment="1">
      <alignment horizontal="center" vertical="center"/>
    </xf>
    <xf numFmtId="0" fontId="65" fillId="0" borderId="8" xfId="0" applyFont="1" applyFill="1" applyBorder="1" applyAlignment="1">
      <alignment horizontal="center" vertical="center"/>
    </xf>
    <xf numFmtId="0" fontId="63" fillId="3" borderId="13" xfId="0" applyFont="1" applyFill="1" applyBorder="1" applyAlignment="1">
      <alignment horizontal="center" vertical="center"/>
    </xf>
    <xf numFmtId="0" fontId="63" fillId="3" borderId="2" xfId="0" applyFont="1" applyFill="1" applyBorder="1" applyAlignment="1">
      <alignment horizontal="center" vertical="center"/>
    </xf>
    <xf numFmtId="0" fontId="63" fillId="3" borderId="8" xfId="0" applyFont="1" applyFill="1" applyBorder="1" applyAlignment="1">
      <alignment horizontal="center" vertical="center"/>
    </xf>
    <xf numFmtId="0" fontId="65" fillId="0" borderId="18" xfId="0" applyFont="1" applyFill="1" applyBorder="1" applyAlignment="1">
      <alignment horizontal="center" vertical="center"/>
    </xf>
    <xf numFmtId="0" fontId="65" fillId="0" borderId="25" xfId="0" applyFont="1" applyFill="1" applyBorder="1" applyAlignment="1">
      <alignment horizontal="center" vertical="center"/>
    </xf>
    <xf numFmtId="0" fontId="65" fillId="0" borderId="22" xfId="0" applyFont="1" applyFill="1" applyBorder="1" applyAlignment="1">
      <alignment horizontal="center" vertical="center"/>
    </xf>
    <xf numFmtId="0" fontId="46" fillId="4" borderId="4" xfId="37" applyFont="1" applyFill="1" applyBorder="1" applyAlignment="1">
      <alignment horizontal="center" vertical="center" wrapText="1"/>
    </xf>
    <xf numFmtId="0" fontId="33" fillId="0" borderId="4" xfId="37" applyBorder="1" applyAlignment="1">
      <alignment horizontal="center" vertical="center" wrapText="1"/>
    </xf>
    <xf numFmtId="0" fontId="46" fillId="4" borderId="4" xfId="37" applyFont="1" applyFill="1" applyBorder="1" applyAlignment="1">
      <alignment horizontal="center" wrapText="1"/>
    </xf>
    <xf numFmtId="0" fontId="48" fillId="0" borderId="4" xfId="38" applyFont="1" applyFill="1" applyBorder="1" applyAlignment="1">
      <alignment horizontal="center" vertical="center" wrapText="1"/>
    </xf>
    <xf numFmtId="0" fontId="33" fillId="0" borderId="4" xfId="37" applyBorder="1" applyAlignment="1">
      <alignment horizontal="center" wrapText="1"/>
    </xf>
    <xf numFmtId="0" fontId="46" fillId="4" borderId="13" xfId="37" applyFont="1" applyFill="1" applyBorder="1" applyAlignment="1">
      <alignment horizontal="center" vertical="center" wrapText="1"/>
    </xf>
    <xf numFmtId="0" fontId="46" fillId="4" borderId="8" xfId="37" applyFont="1" applyFill="1" applyBorder="1" applyAlignment="1">
      <alignment horizontal="center" vertical="center" wrapText="1"/>
    </xf>
    <xf numFmtId="0" fontId="47" fillId="4" borderId="4" xfId="38" applyFont="1" applyFill="1" applyBorder="1" applyAlignment="1">
      <alignment horizontal="center" vertical="center" wrapText="1"/>
    </xf>
    <xf numFmtId="0" fontId="48" fillId="0" borderId="15" xfId="38" applyFont="1" applyFill="1" applyBorder="1" applyAlignment="1">
      <alignment horizontal="center" vertical="center" wrapText="1"/>
    </xf>
    <xf numFmtId="0" fontId="33" fillId="0" borderId="15" xfId="37" applyBorder="1" applyAlignment="1">
      <alignment horizontal="center" wrapText="1"/>
    </xf>
    <xf numFmtId="0" fontId="47" fillId="4" borderId="4" xfId="37" applyFont="1" applyFill="1" applyBorder="1" applyAlignment="1">
      <alignment horizontal="center" vertical="center" wrapText="1"/>
    </xf>
    <xf numFmtId="0" fontId="58" fillId="4" borderId="4" xfId="38" applyFont="1" applyFill="1" applyBorder="1" applyAlignment="1">
      <alignment horizontal="center" vertical="center" wrapText="1"/>
    </xf>
    <xf numFmtId="0" fontId="47" fillId="4" borderId="26" xfId="38" applyFont="1" applyFill="1" applyBorder="1" applyAlignment="1">
      <alignment horizontal="center" vertical="center" wrapText="1"/>
    </xf>
    <xf numFmtId="0" fontId="33" fillId="4" borderId="0" xfId="37" applyFill="1" applyBorder="1" applyAlignment="1">
      <alignment horizontal="center" vertical="center" wrapText="1"/>
    </xf>
    <xf numFmtId="0" fontId="33" fillId="4" borderId="0" xfId="37" applyFill="1" applyBorder="1" applyAlignment="1">
      <alignment vertical="center" wrapText="1"/>
    </xf>
    <xf numFmtId="0" fontId="33" fillId="0" borderId="0" xfId="37" applyAlignment="1">
      <alignment vertical="center" wrapText="1"/>
    </xf>
    <xf numFmtId="0" fontId="47" fillId="0" borderId="4" xfId="38" applyFont="1" applyFill="1" applyBorder="1" applyAlignment="1">
      <alignment horizontal="center" vertical="center" wrapText="1"/>
    </xf>
    <xf numFmtId="166" fontId="47" fillId="4" borderId="4" xfId="38" applyNumberFormat="1" applyFont="1" applyFill="1" applyBorder="1" applyAlignment="1">
      <alignment horizontal="center" vertical="center" wrapText="1"/>
    </xf>
    <xf numFmtId="0" fontId="48" fillId="0" borderId="15" xfId="38" applyFont="1" applyFill="1" applyBorder="1" applyAlignment="1">
      <alignment horizontal="center" vertical="center"/>
    </xf>
    <xf numFmtId="0" fontId="47" fillId="0" borderId="0" xfId="38" applyFont="1" applyFill="1" applyBorder="1" applyAlignment="1">
      <alignment horizontal="center" vertical="center"/>
    </xf>
    <xf numFmtId="0" fontId="46" fillId="0" borderId="0" xfId="37" applyFont="1" applyAlignment="1">
      <alignment horizontal="center" vertical="center"/>
    </xf>
    <xf numFmtId="0" fontId="47" fillId="4" borderId="4" xfId="38" applyFont="1" applyFill="1" applyBorder="1" applyAlignment="1">
      <alignment horizontal="center" vertical="center"/>
    </xf>
    <xf numFmtId="0" fontId="33" fillId="0" borderId="4" xfId="37" applyBorder="1" applyAlignment="1">
      <alignment wrapText="1"/>
    </xf>
    <xf numFmtId="0" fontId="47" fillId="4" borderId="14" xfId="38" applyFont="1" applyFill="1" applyBorder="1" applyAlignment="1">
      <alignment horizontal="center" vertical="center" wrapText="1"/>
    </xf>
    <xf numFmtId="0" fontId="33" fillId="4" borderId="16" xfId="37" applyFont="1" applyFill="1" applyBorder="1" applyAlignment="1">
      <alignment horizontal="center" vertical="center" wrapText="1"/>
    </xf>
    <xf numFmtId="0" fontId="33" fillId="4" borderId="17" xfId="37" applyFont="1" applyFill="1" applyBorder="1" applyAlignment="1">
      <alignment horizontal="center" vertical="center" wrapText="1"/>
    </xf>
    <xf numFmtId="0" fontId="47" fillId="0" borderId="15" xfId="38" applyFont="1" applyFill="1" applyBorder="1" applyAlignment="1">
      <alignment horizontal="center" vertical="center"/>
    </xf>
    <xf numFmtId="0" fontId="33" fillId="0" borderId="15" xfId="37" applyFill="1" applyBorder="1" applyAlignment="1">
      <alignment horizontal="center" vertical="center"/>
    </xf>
    <xf numFmtId="0" fontId="33" fillId="0" borderId="15" xfId="37" applyBorder="1" applyAlignment="1">
      <alignment horizontal="center" vertical="center"/>
    </xf>
    <xf numFmtId="0" fontId="47" fillId="0" borderId="23" xfId="38" applyFont="1" applyFill="1" applyBorder="1" applyAlignment="1">
      <alignment horizontal="center" vertical="center" wrapText="1"/>
    </xf>
    <xf numFmtId="0" fontId="33" fillId="0" borderId="15" xfId="37" applyBorder="1" applyAlignment="1">
      <alignment horizontal="center" vertical="center" wrapText="1"/>
    </xf>
    <xf numFmtId="0" fontId="33" fillId="0" borderId="15" xfId="37" applyBorder="1" applyAlignment="1">
      <alignment wrapText="1"/>
    </xf>
    <xf numFmtId="166" fontId="47" fillId="4" borderId="26" xfId="38" applyNumberFormat="1" applyFont="1" applyFill="1" applyBorder="1" applyAlignment="1">
      <alignment horizontal="center" vertical="center" wrapText="1"/>
    </xf>
    <xf numFmtId="0" fontId="33" fillId="4" borderId="0" xfId="37" applyFont="1" applyFill="1" applyBorder="1" applyAlignment="1">
      <alignment horizontal="center" wrapText="1"/>
    </xf>
    <xf numFmtId="0" fontId="33" fillId="0" borderId="0" xfId="37" applyBorder="1" applyAlignment="1">
      <alignment horizontal="center" wrapText="1"/>
    </xf>
    <xf numFmtId="0" fontId="33" fillId="0" borderId="0" xfId="37" applyAlignment="1">
      <alignment horizontal="center" wrapText="1"/>
    </xf>
    <xf numFmtId="0" fontId="48" fillId="0" borderId="0" xfId="38" applyFont="1" applyFill="1" applyBorder="1" applyAlignment="1">
      <alignment horizontal="center" vertical="center" wrapText="1"/>
    </xf>
    <xf numFmtId="0" fontId="33" fillId="0" borderId="0" xfId="37" applyFill="1" applyAlignment="1">
      <alignment wrapText="1"/>
    </xf>
    <xf numFmtId="0" fontId="33" fillId="0" borderId="0" xfId="37" applyAlignment="1">
      <alignment wrapText="1"/>
    </xf>
    <xf numFmtId="0" fontId="47" fillId="4" borderId="13" xfId="37" applyFont="1" applyFill="1" applyBorder="1" applyAlignment="1">
      <alignment horizontal="center" wrapText="1"/>
    </xf>
    <xf numFmtId="0" fontId="47" fillId="4" borderId="8" xfId="37" applyFont="1" applyFill="1" applyBorder="1" applyAlignment="1">
      <alignment horizontal="center" wrapText="1"/>
    </xf>
    <xf numFmtId="0" fontId="33" fillId="4" borderId="4" xfId="37" applyFont="1" applyFill="1" applyBorder="1" applyAlignment="1">
      <alignment wrapText="1"/>
    </xf>
  </cellXfs>
  <cellStyles count="66">
    <cellStyle name="??" xfId="1"/>
    <cellStyle name="?? [0.00]_PRODUCT DETAIL Q1" xfId="2"/>
    <cellStyle name="?? [0]" xfId="3"/>
    <cellStyle name="???? [0.00]_PRODUCT DETAIL Q1" xfId="4"/>
    <cellStyle name="????_PRODUCT DETAIL Q1" xfId="5"/>
    <cellStyle name="???[0]_Book1" xfId="6"/>
    <cellStyle name="???_95" xfId="7"/>
    <cellStyle name="??_(????)??????" xfId="8"/>
    <cellStyle name="1" xfId="9"/>
    <cellStyle name="2" xfId="10"/>
    <cellStyle name="3" xfId="11"/>
    <cellStyle name="4" xfId="12"/>
    <cellStyle name="ÅëÈ­ [0]_¿ì¹°Åë" xfId="13"/>
    <cellStyle name="AeE­ [0]_INQUIRY ¿µ¾÷AßAø " xfId="14"/>
    <cellStyle name="ÅëÈ­_¿ì¹°Åë" xfId="15"/>
    <cellStyle name="AeE­_INQUIRY ¿µ¾÷AßAø " xfId="16"/>
    <cellStyle name="ÄÞ¸¶ [0]_¿ì¹°Åë" xfId="17"/>
    <cellStyle name="AÞ¸¶ [0]_INQUIRY ¿?¾÷AßAø " xfId="18"/>
    <cellStyle name="ÄÞ¸¶_¿ì¹°Åë" xfId="19"/>
    <cellStyle name="AÞ¸¶_INQUIRY ¿?¾÷AßAø " xfId="20"/>
    <cellStyle name="C?AØ_¿?¾÷CoE² " xfId="21"/>
    <cellStyle name="Ç¥ÁØ_´çÃÊ±¸ÀÔ»ý»ê" xfId="22"/>
    <cellStyle name="C￥AØ_¿μ¾÷CoE² " xfId="23"/>
    <cellStyle name="Comma" xfId="24" builtinId="3"/>
    <cellStyle name="Comma0" xfId="25"/>
    <cellStyle name="Currency0" xfId="26"/>
    <cellStyle name="Date" xfId="27"/>
    <cellStyle name="Fixed" xfId="28"/>
    <cellStyle name="Header1" xfId="29"/>
    <cellStyle name="Header2" xfId="30"/>
    <cellStyle name="Heading 1" xfId="31" builtinId="16" customBuiltin="1"/>
    <cellStyle name="Heading 2" xfId="32" builtinId="17" customBuiltin="1"/>
    <cellStyle name="Lien hypertexte" xfId="33"/>
    <cellStyle name="Lien hypertexte visité" xfId="34"/>
    <cellStyle name="n" xfId="35"/>
    <cellStyle name="Normal" xfId="0" builtinId="0"/>
    <cellStyle name="Normal - Style1" xfId="36"/>
    <cellStyle name="Normal_7-Ket cau thep(1)" xfId="37"/>
    <cellStyle name="Normal_Cau_kien_chiu_uon_theo_tiet_dien_nghieng" xfId="38"/>
    <cellStyle name="Normal_Coc UST" xfId="39"/>
    <cellStyle name="Normal_Tinh tai trong" xfId="40"/>
    <cellStyle name="Normal_tinhcotdocDAM1" xfId="41"/>
    <cellStyle name="Normal_Tong hop1" xfId="42"/>
    <cellStyle name="Normal_TRATHEP" xfId="43"/>
    <cellStyle name="Total" xfId="44" builtinId="25" customBuiltin="1"/>
    <cellStyle name="xuan" xfId="45"/>
    <cellStyle name=" [0.00]_ Att. 1- Cover" xfId="46"/>
    <cellStyle name="_ Att. 1- Cover" xfId="47"/>
    <cellStyle name="?_ Att. 1- Cover" xfId="48"/>
    <cellStyle name="똿뗦먛귟 [0.00]_PRODUCT DETAIL Q1" xfId="49"/>
    <cellStyle name="똿뗦먛귟_PRODUCT DETAIL Q1" xfId="50"/>
    <cellStyle name="믅됞 [0.00]_PRODUCT DETAIL Q1" xfId="51"/>
    <cellStyle name="믅됞_PRODUCT DETAIL Q1" xfId="52"/>
    <cellStyle name="백분율_95" xfId="53"/>
    <cellStyle name="뷭?_BOOKSHIP" xfId="54"/>
    <cellStyle name="콤마 [0]_1202" xfId="55"/>
    <cellStyle name="콤마_1202" xfId="56"/>
    <cellStyle name="통화 [0]_1202" xfId="57"/>
    <cellStyle name="통화_1202" xfId="58"/>
    <cellStyle name="표준_(정보부문)월별인원계획" xfId="59"/>
    <cellStyle name="一般_00Q3902REV.1" xfId="60"/>
    <cellStyle name="千分位[0]_00Q3902REV.1" xfId="61"/>
    <cellStyle name="千分位_00Q3902REV.1" xfId="62"/>
    <cellStyle name="貨幣 [0]_00Q3902REV.1" xfId="63"/>
    <cellStyle name="貨幣[0]_BRE" xfId="64"/>
    <cellStyle name="貨幣_00Q3902REV.1" xfId="6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1</xdr:col>
      <xdr:colOff>819150</xdr:colOff>
      <xdr:row>2</xdr:row>
      <xdr:rowOff>238125</xdr:rowOff>
    </xdr:to>
    <xdr:pic>
      <xdr:nvPicPr>
        <xdr:cNvPr id="182125" name="Picture 1" descr="CDC logo_final.jp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38100"/>
          <a:ext cx="100012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1</xdr:col>
      <xdr:colOff>819150</xdr:colOff>
      <xdr:row>2</xdr:row>
      <xdr:rowOff>238125</xdr:rowOff>
    </xdr:to>
    <xdr:pic>
      <xdr:nvPicPr>
        <xdr:cNvPr id="1757747" name="Picture 1" descr="CDC logo_final.jp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38100"/>
          <a:ext cx="100012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209550</xdr:colOff>
          <xdr:row>5</xdr:row>
          <xdr:rowOff>38100</xdr:rowOff>
        </xdr:from>
        <xdr:to>
          <xdr:col>20</xdr:col>
          <xdr:colOff>381000</xdr:colOff>
          <xdr:row>7</xdr:row>
          <xdr:rowOff>38100</xdr:rowOff>
        </xdr:to>
        <xdr:sp macro="" textlink="">
          <xdr:nvSpPr>
            <xdr:cNvPr id="1759642" name="XuatKQ_JP" hidden="1">
              <a:extLst>
                <a:ext uri="{63B3BB69-23CF-44E3-9099-C40C66FF867C}">
                  <a14:compatExt spid="_x0000_s17596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ketcau\SERVER%20KET%20CAU\Users\Administrator\Downloads\COC%20CDC\COC%20XN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huhien\c\MSOFFICE\EXCEL\PROGRAM\PERSONA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T VL"/>
      <sheetName val="Theo cong thuc (Nhat Ban)"/>
      <sheetName val="Theo TN nen tinh"/>
      <sheetName val="Coc nhoi (TCVN 195-1997)"/>
      <sheetName val="Theo cong thuc Meyerhof"/>
      <sheetName val="Theo c.thuc chi tieu cuong do"/>
      <sheetName val="Du lieu dia chat chung"/>
      <sheetName val="Du lieu cac ho khoan"/>
      <sheetName val="Ho khoan tham chieu Nhat Ban"/>
      <sheetName val="HK tham chieu TCVN 195-1997"/>
      <sheetName val="Ho khoan tham chieu Meyerhof"/>
      <sheetName val="Ho khoan tham chieu c.tieu c.do"/>
    </sheetNames>
    <sheetDataSet>
      <sheetData sheetId="0" refreshError="1"/>
      <sheetData sheetId="1"/>
      <sheetData sheetId="2" refreshError="1"/>
      <sheetData sheetId="3" refreshError="1"/>
      <sheetData sheetId="4" refreshError="1"/>
      <sheetData sheetId="5" refreshError="1"/>
      <sheetData sheetId="6">
        <row r="63">
          <cell r="D63" t="str">
            <v>B20</v>
          </cell>
          <cell r="E63">
            <v>20</v>
          </cell>
          <cell r="F63">
            <v>11.5</v>
          </cell>
          <cell r="G63">
            <v>27000</v>
          </cell>
        </row>
        <row r="64">
          <cell r="D64" t="str">
            <v>B22.5</v>
          </cell>
          <cell r="E64">
            <v>22.5</v>
          </cell>
          <cell r="F64">
            <v>13</v>
          </cell>
          <cell r="G64">
            <v>28400</v>
          </cell>
        </row>
        <row r="65">
          <cell r="D65" t="str">
            <v>B25</v>
          </cell>
          <cell r="E65">
            <v>25</v>
          </cell>
          <cell r="F65">
            <v>14.5</v>
          </cell>
          <cell r="G65">
            <v>30000</v>
          </cell>
        </row>
        <row r="66">
          <cell r="D66" t="str">
            <v>B30</v>
          </cell>
          <cell r="E66">
            <v>30</v>
          </cell>
          <cell r="F66">
            <v>17</v>
          </cell>
          <cell r="G66">
            <v>32500</v>
          </cell>
        </row>
        <row r="67">
          <cell r="D67" t="str">
            <v>B35</v>
          </cell>
          <cell r="E67">
            <v>35</v>
          </cell>
          <cell r="F67">
            <v>19.5</v>
          </cell>
          <cell r="G67">
            <v>34500</v>
          </cell>
        </row>
        <row r="68">
          <cell r="D68" t="str">
            <v>B96</v>
          </cell>
          <cell r="E68">
            <v>40</v>
          </cell>
          <cell r="F68">
            <v>22</v>
          </cell>
          <cell r="G68">
            <v>39200</v>
          </cell>
        </row>
      </sheetData>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SONAL"/>
      <sheetName val="Sheet1"/>
      <sheetName val="Sheet2"/>
      <sheetName val="Module1"/>
      <sheetName val="Sheet3"/>
      <sheetName val="PTH"/>
    </sheetNames>
    <definedNames>
      <definedName name="TLTH1" sheetId="1"/>
    </definedNames>
    <sheetDataSet>
      <sheetData sheetId="0" refreshError="1"/>
      <sheetData sheetId="1"/>
      <sheetData sheetId="2"/>
      <sheetData sheetId="3" refreshError="1"/>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H37"/>
  <sheetViews>
    <sheetView zoomScale="130" zoomScaleNormal="130" workbookViewId="0">
      <selection activeCell="B14" sqref="B14"/>
    </sheetView>
  </sheetViews>
  <sheetFormatPr defaultColWidth="6.77734375" defaultRowHeight="15.95" customHeight="1"/>
  <cols>
    <col min="1" max="1" width="13.77734375" style="10" customWidth="1"/>
    <col min="2" max="2" width="34.77734375" style="10" customWidth="1"/>
    <col min="3" max="3" width="22.21875" style="10" customWidth="1"/>
    <col min="4" max="10" width="8.77734375" style="10" customWidth="1"/>
    <col min="11" max="16384" width="6.77734375" style="10"/>
  </cols>
  <sheetData>
    <row r="1" spans="1:8" ht="15.95" customHeight="1">
      <c r="A1" s="315" t="s">
        <v>296</v>
      </c>
      <c r="B1" s="315"/>
      <c r="C1" s="315"/>
      <c r="D1" s="135"/>
    </row>
    <row r="2" spans="1:8" ht="15.95" customHeight="1">
      <c r="A2" s="316"/>
      <c r="B2" s="316"/>
      <c r="C2" s="316"/>
      <c r="D2" s="135"/>
    </row>
    <row r="3" spans="1:8" ht="15.95" customHeight="1">
      <c r="A3" s="136" t="s">
        <v>283</v>
      </c>
      <c r="B3" s="152" t="s">
        <v>349</v>
      </c>
      <c r="C3" s="140"/>
      <c r="D3" s="135"/>
    </row>
    <row r="4" spans="1:8" ht="15.95" customHeight="1">
      <c r="A4" s="137" t="s">
        <v>284</v>
      </c>
      <c r="B4" s="143" t="s">
        <v>350</v>
      </c>
      <c r="C4" s="141"/>
      <c r="D4" s="135"/>
    </row>
    <row r="5" spans="1:8" ht="15.95" customHeight="1">
      <c r="A5" s="137" t="s">
        <v>285</v>
      </c>
      <c r="B5" s="143" t="s">
        <v>349</v>
      </c>
      <c r="C5" s="141"/>
      <c r="D5" s="135"/>
    </row>
    <row r="6" spans="1:8" ht="15.95" customHeight="1">
      <c r="A6" s="137" t="s">
        <v>286</v>
      </c>
      <c r="B6" s="143" t="s">
        <v>307</v>
      </c>
      <c r="C6" s="141"/>
      <c r="D6" s="135"/>
    </row>
    <row r="7" spans="1:8" ht="15.95" customHeight="1">
      <c r="A7" s="137" t="s">
        <v>287</v>
      </c>
      <c r="B7" s="143" t="s">
        <v>308</v>
      </c>
      <c r="C7" s="141"/>
      <c r="D7" s="135"/>
    </row>
    <row r="8" spans="1:8" ht="15.95" customHeight="1">
      <c r="A8" s="137" t="s">
        <v>288</v>
      </c>
      <c r="B8" s="143" t="s">
        <v>351</v>
      </c>
      <c r="C8" s="141"/>
      <c r="D8" s="135"/>
    </row>
    <row r="9" spans="1:8" ht="15.95" customHeight="1">
      <c r="A9" s="137" t="s">
        <v>289</v>
      </c>
      <c r="B9" s="143" t="s">
        <v>352</v>
      </c>
      <c r="C9" s="141"/>
      <c r="D9" s="135"/>
    </row>
    <row r="10" spans="1:8" ht="15.95" customHeight="1">
      <c r="A10" s="137" t="s">
        <v>290</v>
      </c>
      <c r="B10" s="143" t="s">
        <v>309</v>
      </c>
      <c r="C10" s="141"/>
      <c r="D10" s="135"/>
    </row>
    <row r="11" spans="1:8" ht="15.95" customHeight="1">
      <c r="A11" s="137" t="s">
        <v>291</v>
      </c>
      <c r="B11" s="143" t="s">
        <v>309</v>
      </c>
      <c r="C11" s="141"/>
      <c r="D11" s="135"/>
    </row>
    <row r="12" spans="1:8" ht="15.95" customHeight="1">
      <c r="A12" s="137" t="s">
        <v>292</v>
      </c>
      <c r="B12" s="143" t="s">
        <v>309</v>
      </c>
      <c r="C12" s="141"/>
      <c r="D12" s="135"/>
    </row>
    <row r="13" spans="1:8" ht="15.95" customHeight="1">
      <c r="A13" s="137" t="s">
        <v>293</v>
      </c>
      <c r="B13" s="143" t="s">
        <v>353</v>
      </c>
      <c r="C13" s="141"/>
      <c r="D13" s="135"/>
    </row>
    <row r="14" spans="1:8" ht="15.95" customHeight="1">
      <c r="A14" s="137" t="s">
        <v>294</v>
      </c>
      <c r="B14" s="143" t="s">
        <v>68</v>
      </c>
      <c r="C14" s="141"/>
      <c r="D14" s="135"/>
    </row>
    <row r="15" spans="1:8" ht="15.95" customHeight="1">
      <c r="A15" s="138" t="s">
        <v>295</v>
      </c>
      <c r="B15" s="144" t="s">
        <v>298</v>
      </c>
      <c r="C15" s="142"/>
      <c r="D15" s="135"/>
      <c r="H15" s="11"/>
    </row>
    <row r="16" spans="1:8" ht="15.95" customHeight="1">
      <c r="A16" s="138" t="s">
        <v>297</v>
      </c>
      <c r="B16" s="153" t="s">
        <v>299</v>
      </c>
      <c r="C16" s="154"/>
      <c r="D16" s="135"/>
    </row>
    <row r="17" spans="1:4" ht="15.95" customHeight="1">
      <c r="A17" s="135"/>
      <c r="B17" s="135"/>
      <c r="C17" s="135"/>
      <c r="D17" s="135"/>
    </row>
    <row r="18" spans="1:4" ht="15.95" customHeight="1">
      <c r="A18" s="135"/>
      <c r="B18" s="135"/>
      <c r="C18" s="135"/>
      <c r="D18" s="135"/>
    </row>
    <row r="19" spans="1:4" ht="15.95" customHeight="1">
      <c r="A19" s="135"/>
      <c r="B19" s="135"/>
      <c r="C19" s="135"/>
      <c r="D19" s="135"/>
    </row>
    <row r="20" spans="1:4" ht="15.95" customHeight="1">
      <c r="A20" s="135"/>
      <c r="B20" s="135"/>
      <c r="C20" s="135"/>
      <c r="D20" s="135"/>
    </row>
    <row r="21" spans="1:4" ht="15.95" customHeight="1">
      <c r="A21" s="135"/>
      <c r="B21" s="135"/>
      <c r="C21" s="135"/>
      <c r="D21" s="135"/>
    </row>
    <row r="35" spans="4:7" ht="15.95" customHeight="1">
      <c r="D35" s="1"/>
      <c r="E35" s="1"/>
      <c r="F35" s="1"/>
      <c r="G35" s="1"/>
    </row>
    <row r="36" spans="4:7" ht="15.95" customHeight="1">
      <c r="D36" s="1"/>
      <c r="E36" s="1"/>
      <c r="F36" s="1"/>
      <c r="G36" s="1"/>
    </row>
    <row r="37" spans="4:7" ht="15.95" customHeight="1">
      <c r="D37" s="1"/>
      <c r="E37" s="1"/>
      <c r="F37" s="1"/>
      <c r="G37" s="1"/>
    </row>
  </sheetData>
  <mergeCells count="1">
    <mergeCell ref="A1:C2"/>
  </mergeCells>
  <phoneticPr fontId="11" type="noConversion"/>
  <dataValidations disablePrompts="1" count="1">
    <dataValidation type="list" allowBlank="1" showInputMessage="1" showErrorMessage="1" sqref="B16:C16">
      <formula1>"V, E"</formula1>
    </dataValidation>
  </dataValidations>
  <printOptions horizontalCentered="1"/>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AP22"/>
  <sheetViews>
    <sheetView workbookViewId="0">
      <selection activeCell="N13" sqref="N13"/>
    </sheetView>
  </sheetViews>
  <sheetFormatPr defaultColWidth="5.33203125" defaultRowHeight="15.95" customHeight="1"/>
  <cols>
    <col min="1" max="2" width="5.33203125" style="15" customWidth="1"/>
    <col min="3" max="3" width="8" style="12" customWidth="1"/>
    <col min="4" max="4" width="7.77734375" style="12" customWidth="1"/>
    <col min="5" max="5" width="8" style="12" customWidth="1"/>
    <col min="6" max="6" width="8.5546875" style="12" customWidth="1"/>
    <col min="7" max="16384" width="5.33203125" style="12"/>
  </cols>
  <sheetData>
    <row r="1" spans="1:42" s="33" customFormat="1" ht="30" customHeight="1">
      <c r="A1" s="327" t="s">
        <v>96</v>
      </c>
      <c r="B1" s="327"/>
      <c r="C1" s="327"/>
      <c r="D1" s="327"/>
      <c r="E1" s="327"/>
      <c r="F1" s="327"/>
      <c r="G1" s="327"/>
      <c r="H1" s="327"/>
      <c r="I1" s="327"/>
      <c r="J1" s="327"/>
      <c r="K1" s="327"/>
      <c r="L1" s="327"/>
      <c r="M1" s="327"/>
      <c r="N1" s="327"/>
      <c r="O1" s="327"/>
      <c r="P1" s="327"/>
      <c r="Q1" s="327"/>
      <c r="R1" s="327"/>
      <c r="S1" s="327"/>
      <c r="T1" s="327"/>
    </row>
    <row r="2" spans="1:42" s="15" customFormat="1" ht="15.95" customHeight="1">
      <c r="A2" s="329" t="s">
        <v>97</v>
      </c>
      <c r="B2" s="330"/>
      <c r="C2" s="13" t="s">
        <v>34</v>
      </c>
      <c r="D2" s="13" t="s">
        <v>35</v>
      </c>
      <c r="E2" s="13" t="s">
        <v>36</v>
      </c>
      <c r="F2" s="13" t="s">
        <v>37</v>
      </c>
      <c r="G2" s="13" t="s">
        <v>38</v>
      </c>
      <c r="H2" s="13" t="s">
        <v>39</v>
      </c>
      <c r="I2" s="13" t="s">
        <v>40</v>
      </c>
      <c r="J2" s="13" t="s">
        <v>53</v>
      </c>
      <c r="K2" s="13" t="s">
        <v>41</v>
      </c>
      <c r="L2" s="13" t="s">
        <v>42</v>
      </c>
      <c r="M2" s="13" t="s">
        <v>48</v>
      </c>
      <c r="N2" s="13" t="s">
        <v>43</v>
      </c>
      <c r="O2" s="13" t="s">
        <v>44</v>
      </c>
      <c r="P2" s="13" t="s">
        <v>45</v>
      </c>
      <c r="Q2" s="13" t="s">
        <v>46</v>
      </c>
      <c r="R2" s="13" t="s">
        <v>47</v>
      </c>
      <c r="S2" s="13" t="s">
        <v>55</v>
      </c>
      <c r="T2" s="14" t="s">
        <v>34</v>
      </c>
      <c r="Y2" s="134"/>
      <c r="Z2" s="134"/>
      <c r="AA2" s="134"/>
      <c r="AB2" s="134"/>
      <c r="AC2" s="134"/>
      <c r="AD2" s="134"/>
      <c r="AE2" s="134"/>
      <c r="AF2" s="134"/>
      <c r="AG2" s="134"/>
      <c r="AH2" s="134"/>
      <c r="AI2" s="134"/>
      <c r="AJ2" s="134"/>
      <c r="AK2" s="134"/>
      <c r="AL2" s="134"/>
      <c r="AM2" s="134"/>
      <c r="AN2" s="134"/>
      <c r="AO2" s="134"/>
      <c r="AP2" s="139"/>
    </row>
    <row r="3" spans="1:42" s="15" customFormat="1" ht="15.95" customHeight="1">
      <c r="A3" s="329" t="s">
        <v>98</v>
      </c>
      <c r="B3" s="330"/>
      <c r="C3" s="13" t="s">
        <v>21</v>
      </c>
      <c r="D3" s="13" t="s">
        <v>22</v>
      </c>
      <c r="E3" s="13" t="s">
        <v>23</v>
      </c>
      <c r="F3" s="13" t="s">
        <v>24</v>
      </c>
      <c r="G3" s="13" t="s">
        <v>24</v>
      </c>
      <c r="H3" s="13" t="s">
        <v>25</v>
      </c>
      <c r="I3" s="13" t="s">
        <v>26</v>
      </c>
      <c r="J3" s="13" t="s">
        <v>54</v>
      </c>
      <c r="K3" s="13" t="s">
        <v>27</v>
      </c>
      <c r="L3" s="13" t="s">
        <v>28</v>
      </c>
      <c r="M3" s="13" t="s">
        <v>29</v>
      </c>
      <c r="N3" s="13" t="s">
        <v>30</v>
      </c>
      <c r="O3" s="13" t="s">
        <v>31</v>
      </c>
      <c r="P3" s="13" t="s">
        <v>32</v>
      </c>
      <c r="Q3" s="13" t="s">
        <v>32</v>
      </c>
      <c r="R3" s="13" t="s">
        <v>33</v>
      </c>
      <c r="S3" s="16" t="s">
        <v>6</v>
      </c>
      <c r="T3" s="13" t="str">
        <f t="shared" ref="T3:T9" si="0">LOOKUP($T$2,$C$2:$R$2,C3:R3)</f>
        <v>M350</v>
      </c>
    </row>
    <row r="4" spans="1:42" ht="15.95" customHeight="1">
      <c r="A4" s="321" t="s">
        <v>83</v>
      </c>
      <c r="B4" s="322"/>
      <c r="C4" s="17">
        <v>2.7</v>
      </c>
      <c r="D4" s="17">
        <v>3.6</v>
      </c>
      <c r="E4" s="17">
        <v>5.5</v>
      </c>
      <c r="F4" s="17">
        <v>7.5</v>
      </c>
      <c r="G4" s="17">
        <v>9.5</v>
      </c>
      <c r="H4" s="17">
        <v>11</v>
      </c>
      <c r="I4" s="17">
        <v>15</v>
      </c>
      <c r="J4" s="18">
        <f t="shared" ref="J4:J9" si="1">(I4+K4)/2</f>
        <v>16.75</v>
      </c>
      <c r="K4" s="17">
        <v>18.5</v>
      </c>
      <c r="L4" s="17">
        <v>22</v>
      </c>
      <c r="M4" s="17">
        <v>25.5</v>
      </c>
      <c r="N4" s="17">
        <v>29</v>
      </c>
      <c r="O4" s="17">
        <v>32</v>
      </c>
      <c r="P4" s="17">
        <v>36</v>
      </c>
      <c r="Q4" s="17">
        <v>39.5</v>
      </c>
      <c r="R4" s="17">
        <v>43</v>
      </c>
      <c r="S4" s="19" t="s">
        <v>6</v>
      </c>
      <c r="T4" s="18">
        <f t="shared" si="0"/>
        <v>18.5</v>
      </c>
    </row>
    <row r="5" spans="1:42" ht="15.95" customHeight="1">
      <c r="A5" s="323" t="s">
        <v>84</v>
      </c>
      <c r="B5" s="324"/>
      <c r="C5" s="20">
        <v>0.39</v>
      </c>
      <c r="D5" s="20">
        <v>0.55000000000000004</v>
      </c>
      <c r="E5" s="20">
        <v>0.7</v>
      </c>
      <c r="F5" s="20">
        <v>0.85</v>
      </c>
      <c r="G5" s="20">
        <v>1</v>
      </c>
      <c r="H5" s="20">
        <v>1.1499999999999999</v>
      </c>
      <c r="I5" s="20">
        <v>1.4</v>
      </c>
      <c r="J5" s="20">
        <f t="shared" si="1"/>
        <v>1.5</v>
      </c>
      <c r="K5" s="20">
        <v>1.6</v>
      </c>
      <c r="L5" s="20">
        <v>1.8</v>
      </c>
      <c r="M5" s="20">
        <v>1.95</v>
      </c>
      <c r="N5" s="20">
        <v>2.1</v>
      </c>
      <c r="O5" s="20">
        <v>2.2000000000000002</v>
      </c>
      <c r="P5" s="20">
        <v>2.2999999999999998</v>
      </c>
      <c r="Q5" s="20">
        <v>2.4</v>
      </c>
      <c r="R5" s="20">
        <v>2.5</v>
      </c>
      <c r="S5" s="21" t="s">
        <v>6</v>
      </c>
      <c r="T5" s="20">
        <f t="shared" si="0"/>
        <v>1.6</v>
      </c>
    </row>
    <row r="6" spans="1:42" ht="15.95" customHeight="1">
      <c r="A6" s="323" t="s">
        <v>85</v>
      </c>
      <c r="B6" s="324"/>
      <c r="C6" s="22">
        <v>2.1</v>
      </c>
      <c r="D6" s="22">
        <v>2.8</v>
      </c>
      <c r="E6" s="22">
        <v>4.5</v>
      </c>
      <c r="F6" s="22">
        <v>6</v>
      </c>
      <c r="G6" s="22">
        <v>7.5</v>
      </c>
      <c r="H6" s="22">
        <v>8.5</v>
      </c>
      <c r="I6" s="22">
        <v>11.5</v>
      </c>
      <c r="J6" s="22">
        <f t="shared" si="1"/>
        <v>13</v>
      </c>
      <c r="K6" s="22">
        <v>14.5</v>
      </c>
      <c r="L6" s="22">
        <v>17</v>
      </c>
      <c r="M6" s="22">
        <v>19.5</v>
      </c>
      <c r="N6" s="22">
        <v>22</v>
      </c>
      <c r="O6" s="22">
        <v>25</v>
      </c>
      <c r="P6" s="22">
        <v>27.5</v>
      </c>
      <c r="Q6" s="22">
        <v>30</v>
      </c>
      <c r="R6" s="22">
        <v>33</v>
      </c>
      <c r="S6" s="21" t="s">
        <v>6</v>
      </c>
      <c r="T6" s="20">
        <f t="shared" si="0"/>
        <v>14.5</v>
      </c>
    </row>
    <row r="7" spans="1:42" ht="15.95" customHeight="1">
      <c r="A7" s="323" t="s">
        <v>86</v>
      </c>
      <c r="B7" s="324"/>
      <c r="C7" s="20">
        <v>0.26</v>
      </c>
      <c r="D7" s="20">
        <v>0.37</v>
      </c>
      <c r="E7" s="20">
        <v>0.48</v>
      </c>
      <c r="F7" s="20">
        <v>0.56999999999999995</v>
      </c>
      <c r="G7" s="20">
        <v>0.66</v>
      </c>
      <c r="H7" s="20">
        <v>0.75</v>
      </c>
      <c r="I7" s="20">
        <v>0.9</v>
      </c>
      <c r="J7" s="20">
        <f t="shared" si="1"/>
        <v>0.97500000000000009</v>
      </c>
      <c r="K7" s="20">
        <v>1.05</v>
      </c>
      <c r="L7" s="20">
        <v>1.2</v>
      </c>
      <c r="M7" s="20">
        <v>1.3</v>
      </c>
      <c r="N7" s="20">
        <v>1.4</v>
      </c>
      <c r="O7" s="20">
        <v>1.45</v>
      </c>
      <c r="P7" s="20">
        <v>1.55</v>
      </c>
      <c r="Q7" s="20">
        <v>1.6</v>
      </c>
      <c r="R7" s="20">
        <v>1.65</v>
      </c>
      <c r="S7" s="21" t="s">
        <v>6</v>
      </c>
      <c r="T7" s="20">
        <f t="shared" si="0"/>
        <v>1.05</v>
      </c>
    </row>
    <row r="8" spans="1:42" ht="15.95" customHeight="1">
      <c r="A8" s="323" t="s">
        <v>87</v>
      </c>
      <c r="B8" s="324"/>
      <c r="C8" s="23">
        <v>9500</v>
      </c>
      <c r="D8" s="23">
        <v>13000</v>
      </c>
      <c r="E8" s="23">
        <v>16000</v>
      </c>
      <c r="F8" s="23">
        <v>18000</v>
      </c>
      <c r="G8" s="23">
        <v>21000</v>
      </c>
      <c r="H8" s="23">
        <v>23000</v>
      </c>
      <c r="I8" s="23">
        <v>27000</v>
      </c>
      <c r="J8" s="23">
        <f t="shared" si="1"/>
        <v>28500</v>
      </c>
      <c r="K8" s="23">
        <v>30000</v>
      </c>
      <c r="L8" s="23">
        <v>32500</v>
      </c>
      <c r="M8" s="23">
        <v>34500</v>
      </c>
      <c r="N8" s="23">
        <v>36000</v>
      </c>
      <c r="O8" s="23">
        <v>37500</v>
      </c>
      <c r="P8" s="23">
        <v>39000</v>
      </c>
      <c r="Q8" s="23">
        <v>39500</v>
      </c>
      <c r="R8" s="23">
        <v>40000</v>
      </c>
      <c r="S8" s="21" t="s">
        <v>6</v>
      </c>
      <c r="T8" s="23">
        <f t="shared" si="0"/>
        <v>30000</v>
      </c>
    </row>
    <row r="9" spans="1:42" ht="15.95" customHeight="1">
      <c r="A9" s="325" t="s">
        <v>88</v>
      </c>
      <c r="B9" s="326"/>
      <c r="C9" s="24">
        <v>8500</v>
      </c>
      <c r="D9" s="24">
        <v>11500</v>
      </c>
      <c r="E9" s="24">
        <v>14500</v>
      </c>
      <c r="F9" s="24">
        <v>16000</v>
      </c>
      <c r="G9" s="24">
        <v>19000</v>
      </c>
      <c r="H9" s="24">
        <v>20500</v>
      </c>
      <c r="I9" s="24">
        <v>24000</v>
      </c>
      <c r="J9" s="24">
        <f t="shared" si="1"/>
        <v>25500</v>
      </c>
      <c r="K9" s="24">
        <v>27000</v>
      </c>
      <c r="L9" s="24">
        <v>29000</v>
      </c>
      <c r="M9" s="24">
        <v>31000</v>
      </c>
      <c r="N9" s="24">
        <v>32500</v>
      </c>
      <c r="O9" s="24">
        <v>34000</v>
      </c>
      <c r="P9" s="24">
        <v>35000</v>
      </c>
      <c r="Q9" s="24">
        <v>35500</v>
      </c>
      <c r="R9" s="24">
        <v>36000</v>
      </c>
      <c r="S9" s="25" t="s">
        <v>6</v>
      </c>
      <c r="T9" s="24">
        <f t="shared" si="0"/>
        <v>27000</v>
      </c>
    </row>
    <row r="10" spans="1:42" ht="15.95" customHeight="1">
      <c r="C10" s="26"/>
      <c r="D10" s="26"/>
      <c r="E10" s="26"/>
      <c r="F10" s="26"/>
      <c r="G10" s="26"/>
      <c r="H10" s="26"/>
      <c r="I10" s="26"/>
      <c r="J10" s="26"/>
      <c r="K10" s="26"/>
      <c r="L10" s="26"/>
      <c r="M10" s="26"/>
      <c r="N10" s="26"/>
      <c r="O10" s="26"/>
      <c r="P10" s="26"/>
      <c r="Q10" s="26"/>
      <c r="R10" s="26"/>
    </row>
    <row r="11" spans="1:42" s="33" customFormat="1" ht="30" customHeight="1">
      <c r="A11" s="328" t="s">
        <v>70</v>
      </c>
      <c r="B11" s="328"/>
      <c r="C11" s="328"/>
      <c r="D11" s="328"/>
      <c r="E11" s="328"/>
      <c r="F11" s="328"/>
      <c r="G11" s="328"/>
      <c r="H11" s="328"/>
      <c r="I11" s="328"/>
      <c r="J11" s="328"/>
      <c r="K11" s="328"/>
      <c r="L11" s="328"/>
      <c r="M11" s="34"/>
      <c r="N11" s="34"/>
      <c r="O11" s="34"/>
      <c r="P11" s="34"/>
      <c r="Q11" s="34"/>
      <c r="R11" s="34"/>
      <c r="S11" s="34"/>
      <c r="T11" s="34"/>
    </row>
    <row r="12" spans="1:42" s="15" customFormat="1" ht="15.95" customHeight="1">
      <c r="A12" s="317" t="s">
        <v>52</v>
      </c>
      <c r="B12" s="318"/>
      <c r="C12" s="13" t="s">
        <v>354</v>
      </c>
      <c r="D12" s="13" t="s">
        <v>355</v>
      </c>
      <c r="E12" s="13" t="s">
        <v>356</v>
      </c>
      <c r="F12" s="13" t="s">
        <v>357</v>
      </c>
      <c r="G12" s="13"/>
      <c r="H12" s="13"/>
      <c r="I12" s="13"/>
      <c r="J12" s="13"/>
      <c r="K12" s="13" t="s">
        <v>55</v>
      </c>
      <c r="L12" s="14"/>
      <c r="O12" s="134"/>
      <c r="P12" s="134"/>
      <c r="Q12" s="134"/>
      <c r="R12" s="134"/>
      <c r="S12" s="134"/>
      <c r="T12" s="134"/>
      <c r="U12" s="134"/>
      <c r="V12" s="134"/>
    </row>
    <row r="13" spans="1:42" s="15" customFormat="1" ht="15.95" customHeight="1">
      <c r="A13" s="319"/>
      <c r="B13" s="320"/>
      <c r="C13" s="13" t="s">
        <v>4</v>
      </c>
      <c r="D13" s="13" t="s">
        <v>5</v>
      </c>
      <c r="E13" s="13" t="s">
        <v>3</v>
      </c>
      <c r="F13" s="13" t="s">
        <v>7</v>
      </c>
      <c r="G13" s="13" t="s">
        <v>49</v>
      </c>
      <c r="H13" s="13" t="s">
        <v>50</v>
      </c>
      <c r="I13" s="13" t="s">
        <v>51</v>
      </c>
      <c r="J13" s="13" t="s">
        <v>69</v>
      </c>
      <c r="K13" s="16" t="s">
        <v>6</v>
      </c>
      <c r="L13" s="13"/>
    </row>
    <row r="14" spans="1:42" ht="15.95" customHeight="1">
      <c r="A14" s="321" t="s">
        <v>89</v>
      </c>
      <c r="B14" s="322"/>
      <c r="C14" s="27">
        <v>235</v>
      </c>
      <c r="D14" s="27">
        <v>295</v>
      </c>
      <c r="E14" s="27">
        <v>390</v>
      </c>
      <c r="F14" s="27">
        <v>500</v>
      </c>
      <c r="G14" s="27">
        <v>788</v>
      </c>
      <c r="H14" s="27">
        <v>980</v>
      </c>
      <c r="I14" s="27">
        <v>1175</v>
      </c>
      <c r="J14" s="27">
        <v>540</v>
      </c>
      <c r="K14" s="19" t="s">
        <v>6</v>
      </c>
      <c r="L14" s="28"/>
    </row>
    <row r="15" spans="1:42" ht="15.95" customHeight="1">
      <c r="A15" s="323" t="s">
        <v>90</v>
      </c>
      <c r="B15" s="324"/>
      <c r="C15" s="29">
        <v>225</v>
      </c>
      <c r="D15" s="29">
        <v>280</v>
      </c>
      <c r="E15" s="29">
        <v>365</v>
      </c>
      <c r="F15" s="29">
        <v>430</v>
      </c>
      <c r="G15" s="29">
        <v>680</v>
      </c>
      <c r="H15" s="29">
        <v>815</v>
      </c>
      <c r="I15" s="29">
        <v>980</v>
      </c>
      <c r="J15" s="29">
        <v>490</v>
      </c>
      <c r="K15" s="21" t="s">
        <v>6</v>
      </c>
      <c r="L15" s="30"/>
    </row>
    <row r="16" spans="1:42" ht="15.95" customHeight="1">
      <c r="A16" s="323" t="s">
        <v>91</v>
      </c>
      <c r="B16" s="324"/>
      <c r="C16" s="29">
        <v>225</v>
      </c>
      <c r="D16" s="29">
        <v>280</v>
      </c>
      <c r="E16" s="29">
        <v>365</v>
      </c>
      <c r="F16" s="29">
        <v>430</v>
      </c>
      <c r="G16" s="29">
        <v>500</v>
      </c>
      <c r="H16" s="29">
        <v>500</v>
      </c>
      <c r="I16" s="29">
        <v>500</v>
      </c>
      <c r="J16" s="29">
        <v>200</v>
      </c>
      <c r="K16" s="21" t="s">
        <v>6</v>
      </c>
      <c r="L16" s="30"/>
    </row>
    <row r="17" spans="1:12" ht="15.95" customHeight="1">
      <c r="A17" s="323" t="s">
        <v>92</v>
      </c>
      <c r="B17" s="324"/>
      <c r="C17" s="29">
        <v>175</v>
      </c>
      <c r="D17" s="29">
        <v>225</v>
      </c>
      <c r="E17" s="29">
        <v>290</v>
      </c>
      <c r="F17" s="29">
        <v>345</v>
      </c>
      <c r="G17" s="29">
        <v>545</v>
      </c>
      <c r="H17" s="29">
        <v>650</v>
      </c>
      <c r="I17" s="29">
        <v>785</v>
      </c>
      <c r="J17" s="29">
        <v>390</v>
      </c>
      <c r="K17" s="21" t="s">
        <v>6</v>
      </c>
      <c r="L17" s="30"/>
    </row>
    <row r="18" spans="1:12" ht="15.95" customHeight="1">
      <c r="A18" s="323" t="s">
        <v>93</v>
      </c>
      <c r="B18" s="324"/>
      <c r="C18" s="29">
        <v>235</v>
      </c>
      <c r="D18" s="29">
        <v>300</v>
      </c>
      <c r="E18" s="29">
        <v>390</v>
      </c>
      <c r="F18" s="29">
        <v>500</v>
      </c>
      <c r="G18" s="29">
        <v>788</v>
      </c>
      <c r="H18" s="29">
        <v>980</v>
      </c>
      <c r="I18" s="29">
        <v>1175</v>
      </c>
      <c r="J18" s="29"/>
      <c r="K18" s="21"/>
      <c r="L18" s="30"/>
    </row>
    <row r="19" spans="1:12" ht="15.95" customHeight="1">
      <c r="A19" s="323" t="s">
        <v>94</v>
      </c>
      <c r="B19" s="324"/>
      <c r="C19" s="29">
        <v>380</v>
      </c>
      <c r="D19" s="29">
        <v>500</v>
      </c>
      <c r="E19" s="29">
        <v>600</v>
      </c>
      <c r="F19" s="29">
        <v>650</v>
      </c>
      <c r="G19" s="29">
        <v>1000</v>
      </c>
      <c r="H19" s="29">
        <v>1250</v>
      </c>
      <c r="I19" s="29">
        <v>1400</v>
      </c>
      <c r="J19" s="29"/>
      <c r="K19" s="21"/>
      <c r="L19" s="30"/>
    </row>
    <row r="20" spans="1:12" ht="15.95" customHeight="1">
      <c r="A20" s="325" t="s">
        <v>95</v>
      </c>
      <c r="B20" s="326"/>
      <c r="C20" s="31">
        <v>210000</v>
      </c>
      <c r="D20" s="31">
        <v>210000</v>
      </c>
      <c r="E20" s="31">
        <v>200000</v>
      </c>
      <c r="F20" s="31">
        <v>190000</v>
      </c>
      <c r="G20" s="31">
        <v>190000</v>
      </c>
      <c r="H20" s="31">
        <v>190000</v>
      </c>
      <c r="I20" s="31">
        <v>190000</v>
      </c>
      <c r="J20" s="31">
        <v>180000</v>
      </c>
      <c r="K20" s="25" t="s">
        <v>6</v>
      </c>
      <c r="L20" s="31"/>
    </row>
    <row r="21" spans="1:12" ht="15.95" customHeight="1">
      <c r="C21" s="32"/>
      <c r="D21" s="32"/>
      <c r="E21" s="32"/>
      <c r="F21" s="32"/>
      <c r="G21" s="32"/>
      <c r="H21" s="32"/>
      <c r="I21" s="32"/>
      <c r="J21" s="32"/>
      <c r="K21" s="32"/>
    </row>
    <row r="22" spans="1:12" ht="15.95" customHeight="1">
      <c r="A22" s="12"/>
      <c r="B22" s="12"/>
      <c r="C22" s="32"/>
      <c r="D22" s="32"/>
      <c r="E22" s="32"/>
      <c r="F22" s="32"/>
      <c r="G22" s="32"/>
      <c r="H22" s="32"/>
      <c r="I22" s="32"/>
      <c r="J22" s="32"/>
      <c r="K22" s="32"/>
    </row>
  </sheetData>
  <dataConsolidate/>
  <mergeCells count="18">
    <mergeCell ref="A1:T1"/>
    <mergeCell ref="A11:L11"/>
    <mergeCell ref="A2:B2"/>
    <mergeCell ref="A3:B3"/>
    <mergeCell ref="A4:B4"/>
    <mergeCell ref="A5:B5"/>
    <mergeCell ref="A6:B6"/>
    <mergeCell ref="A7:B7"/>
    <mergeCell ref="A8:B8"/>
    <mergeCell ref="A9:B9"/>
    <mergeCell ref="A12:B13"/>
    <mergeCell ref="A14:B14"/>
    <mergeCell ref="A15:B15"/>
    <mergeCell ref="A20:B20"/>
    <mergeCell ref="A16:B16"/>
    <mergeCell ref="A17:B17"/>
    <mergeCell ref="A18:B18"/>
    <mergeCell ref="A19:B19"/>
  </mergeCells>
  <phoneticPr fontId="14" type="noConversion"/>
  <dataValidations disablePrompts="1" count="2">
    <dataValidation type="list" allowBlank="1" showInputMessage="1" showErrorMessage="1" sqref="L12">
      <formula1>$C$12:$J$12</formula1>
    </dataValidation>
    <dataValidation type="list" allowBlank="1" showInputMessage="1" showErrorMessage="1" sqref="T2 AP2">
      <formula1>$C$2:$R$2</formula1>
    </dataValidation>
  </dataValidations>
  <printOptions horizontalCentered="1"/>
  <pageMargins left="0.36" right="0.36" top="0.51" bottom="0.36" header="0.34" footer="0.2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sheetPr>
  <dimension ref="A1:R137"/>
  <sheetViews>
    <sheetView zoomScale="85" zoomScaleNormal="85" workbookViewId="0">
      <selection activeCell="Q9" sqref="Q9"/>
    </sheetView>
  </sheetViews>
  <sheetFormatPr defaultColWidth="6.77734375" defaultRowHeight="15.95" customHeight="1"/>
  <cols>
    <col min="1" max="11" width="6.77734375" style="37" customWidth="1"/>
    <col min="12" max="13" width="7.44140625" style="37" bestFit="1" customWidth="1"/>
    <col min="14" max="14" width="6.77734375" style="37" customWidth="1"/>
    <col min="15" max="15" width="6.77734375" style="38" customWidth="1"/>
    <col min="16" max="16384" width="6.77734375" style="37"/>
  </cols>
  <sheetData>
    <row r="1" spans="1:16" ht="30" customHeight="1">
      <c r="A1" s="342" t="s">
        <v>8</v>
      </c>
      <c r="B1" s="342"/>
      <c r="C1" s="342"/>
      <c r="D1" s="342"/>
      <c r="E1" s="342"/>
      <c r="F1" s="342"/>
      <c r="G1" s="342"/>
      <c r="H1" s="342"/>
      <c r="I1" s="342"/>
      <c r="J1" s="342"/>
      <c r="K1" s="342"/>
      <c r="L1" s="334" t="s">
        <v>9</v>
      </c>
      <c r="M1" s="334" t="s">
        <v>10</v>
      </c>
    </row>
    <row r="2" spans="1:16" ht="15.95" customHeight="1">
      <c r="A2" s="343" t="s">
        <v>11</v>
      </c>
      <c r="B2" s="343" t="s">
        <v>12</v>
      </c>
      <c r="C2" s="336" t="s">
        <v>110</v>
      </c>
      <c r="D2" s="337"/>
      <c r="E2" s="337"/>
      <c r="F2" s="337"/>
      <c r="G2" s="337"/>
      <c r="H2" s="337"/>
      <c r="I2" s="337"/>
      <c r="J2" s="337"/>
      <c r="K2" s="338"/>
      <c r="L2" s="335"/>
      <c r="M2" s="335"/>
    </row>
    <row r="3" spans="1:16" ht="15.95" customHeight="1">
      <c r="A3" s="344"/>
      <c r="B3" s="344"/>
      <c r="C3" s="339"/>
      <c r="D3" s="340"/>
      <c r="E3" s="340"/>
      <c r="F3" s="340"/>
      <c r="G3" s="340"/>
      <c r="H3" s="340"/>
      <c r="I3" s="340"/>
      <c r="J3" s="340"/>
      <c r="K3" s="341"/>
      <c r="L3" s="35" t="s">
        <v>111</v>
      </c>
      <c r="M3" s="35" t="s">
        <v>13</v>
      </c>
    </row>
    <row r="4" spans="1:16" ht="15.95" customHeight="1">
      <c r="A4" s="35" t="s">
        <v>14</v>
      </c>
      <c r="B4" s="35" t="s">
        <v>13</v>
      </c>
      <c r="C4" s="35">
        <v>1</v>
      </c>
      <c r="D4" s="35">
        <v>2</v>
      </c>
      <c r="E4" s="35">
        <v>3</v>
      </c>
      <c r="F4" s="35">
        <v>4</v>
      </c>
      <c r="G4" s="35">
        <v>5</v>
      </c>
      <c r="H4" s="35">
        <v>6</v>
      </c>
      <c r="I4" s="35">
        <v>7</v>
      </c>
      <c r="J4" s="35">
        <v>8</v>
      </c>
      <c r="K4" s="35">
        <v>9</v>
      </c>
      <c r="L4" s="39">
        <v>10</v>
      </c>
      <c r="M4" s="39">
        <v>10</v>
      </c>
    </row>
    <row r="5" spans="1:16" ht="15.95" customHeight="1">
      <c r="A5" s="40">
        <v>6</v>
      </c>
      <c r="B5" s="41">
        <f t="shared" ref="B5:B17" si="0">C5*7850*0.0001</f>
        <v>0.22184100000000004</v>
      </c>
      <c r="C5" s="41">
        <f>C4*A5*A5*0.01*3.14/4</f>
        <v>0.28260000000000002</v>
      </c>
      <c r="D5" s="42">
        <f>C5*D4</f>
        <v>0.56520000000000004</v>
      </c>
      <c r="E5" s="42">
        <f>C5*E4</f>
        <v>0.84780000000000011</v>
      </c>
      <c r="F5" s="42">
        <f>C5*F4</f>
        <v>1.1304000000000001</v>
      </c>
      <c r="G5" s="42">
        <f>C5*G4</f>
        <v>1.413</v>
      </c>
      <c r="H5" s="42">
        <f>C5*H4</f>
        <v>1.6956000000000002</v>
      </c>
      <c r="I5" s="42">
        <f>C5*I4</f>
        <v>1.9782000000000002</v>
      </c>
      <c r="J5" s="42">
        <f>C5*J4</f>
        <v>2.2608000000000001</v>
      </c>
      <c r="K5" s="42">
        <f>C5*K4</f>
        <v>2.5434000000000001</v>
      </c>
      <c r="L5" s="43">
        <f>C5*L4</f>
        <v>2.8260000000000001</v>
      </c>
      <c r="M5" s="43">
        <f>B5*M4</f>
        <v>2.2184100000000004</v>
      </c>
    </row>
    <row r="6" spans="1:16" ht="15.95" customHeight="1">
      <c r="A6" s="44">
        <v>8</v>
      </c>
      <c r="B6" s="45">
        <f t="shared" si="0"/>
        <v>0.39438400000000007</v>
      </c>
      <c r="C6" s="45">
        <f>C4*A6*A6*0.01*3.14/4</f>
        <v>0.50240000000000007</v>
      </c>
      <c r="D6" s="46">
        <f>C6*D4</f>
        <v>1.0048000000000001</v>
      </c>
      <c r="E6" s="46">
        <f>C6*E4</f>
        <v>1.5072000000000001</v>
      </c>
      <c r="F6" s="46">
        <f>C6*F4</f>
        <v>2.0096000000000003</v>
      </c>
      <c r="G6" s="46">
        <f>C6*G4</f>
        <v>2.5120000000000005</v>
      </c>
      <c r="H6" s="46">
        <f>C6*H4</f>
        <v>3.0144000000000002</v>
      </c>
      <c r="I6" s="46">
        <f>C6*I4</f>
        <v>3.5168000000000004</v>
      </c>
      <c r="J6" s="46">
        <f>C6*J4</f>
        <v>4.0192000000000005</v>
      </c>
      <c r="K6" s="46">
        <f>C6*K4</f>
        <v>4.5216000000000003</v>
      </c>
      <c r="L6" s="47">
        <f>C6*L4</f>
        <v>5.0240000000000009</v>
      </c>
      <c r="M6" s="47">
        <f>B6*M4</f>
        <v>3.9438400000000007</v>
      </c>
    </row>
    <row r="7" spans="1:16" ht="15.95" customHeight="1">
      <c r="A7" s="44">
        <v>10</v>
      </c>
      <c r="B7" s="45">
        <f t="shared" si="0"/>
        <v>0.61622500000000002</v>
      </c>
      <c r="C7" s="45">
        <f>C4*A7*A7*0.01*3.14/4</f>
        <v>0.78500000000000003</v>
      </c>
      <c r="D7" s="46">
        <f>C7*D4</f>
        <v>1.57</v>
      </c>
      <c r="E7" s="46">
        <f>C7*E5</f>
        <v>0.66552300000000009</v>
      </c>
      <c r="F7" s="46">
        <f>C7*F4</f>
        <v>3.14</v>
      </c>
      <c r="G7" s="46">
        <f>C7*G4</f>
        <v>3.9250000000000003</v>
      </c>
      <c r="H7" s="46">
        <f>C7*H4</f>
        <v>4.71</v>
      </c>
      <c r="I7" s="46">
        <f>C7*I4</f>
        <v>5.4950000000000001</v>
      </c>
      <c r="J7" s="46">
        <f>C7*J4</f>
        <v>6.28</v>
      </c>
      <c r="K7" s="46">
        <f>C7*K4</f>
        <v>7.0650000000000004</v>
      </c>
      <c r="L7" s="47">
        <f>C7*L4</f>
        <v>7.8500000000000005</v>
      </c>
      <c r="M7" s="47">
        <f>B7*M4</f>
        <v>6.1622500000000002</v>
      </c>
      <c r="P7" s="48"/>
    </row>
    <row r="8" spans="1:16" ht="15.95" customHeight="1">
      <c r="A8" s="44">
        <v>12</v>
      </c>
      <c r="B8" s="45">
        <f t="shared" si="0"/>
        <v>0.88736400000000015</v>
      </c>
      <c r="C8" s="45">
        <f>C4*A8*A8*0.01*3.14/4</f>
        <v>1.1304000000000001</v>
      </c>
      <c r="D8" s="46">
        <f>C8*D4</f>
        <v>2.2608000000000001</v>
      </c>
      <c r="E8" s="46">
        <f>C8*E4</f>
        <v>3.3912000000000004</v>
      </c>
      <c r="F8" s="46">
        <f>C8*F4</f>
        <v>4.5216000000000003</v>
      </c>
      <c r="G8" s="46">
        <f>C8*G4</f>
        <v>5.6520000000000001</v>
      </c>
      <c r="H8" s="46">
        <f>C8*H4</f>
        <v>6.7824000000000009</v>
      </c>
      <c r="I8" s="46">
        <f>C8*I4</f>
        <v>7.9128000000000007</v>
      </c>
      <c r="J8" s="46">
        <f>C8*J4</f>
        <v>9.0432000000000006</v>
      </c>
      <c r="K8" s="46">
        <f>C8*K4</f>
        <v>10.1736</v>
      </c>
      <c r="L8" s="47">
        <f>C8*L4</f>
        <v>11.304</v>
      </c>
      <c r="M8" s="47">
        <f>B8*M4</f>
        <v>8.8736400000000017</v>
      </c>
    </row>
    <row r="9" spans="1:16" ht="15.95" customHeight="1">
      <c r="A9" s="44">
        <v>14</v>
      </c>
      <c r="B9" s="45">
        <f t="shared" si="0"/>
        <v>1.2078010000000001</v>
      </c>
      <c r="C9" s="45">
        <f>C4*A9*A9*0.01*3.14/4</f>
        <v>1.5386</v>
      </c>
      <c r="D9" s="46">
        <f>C9*D4</f>
        <v>3.0771999999999999</v>
      </c>
      <c r="E9" s="46">
        <f>C9*E4</f>
        <v>4.6158000000000001</v>
      </c>
      <c r="F9" s="46">
        <f>C9*F4</f>
        <v>6.1543999999999999</v>
      </c>
      <c r="G9" s="46">
        <f>C9*G4</f>
        <v>7.6929999999999996</v>
      </c>
      <c r="H9" s="46">
        <f>C9*H4</f>
        <v>9.2316000000000003</v>
      </c>
      <c r="I9" s="46">
        <f>C9*I4</f>
        <v>10.770199999999999</v>
      </c>
      <c r="J9" s="46">
        <f>C9*J4</f>
        <v>12.3088</v>
      </c>
      <c r="K9" s="46">
        <f>C9*K4</f>
        <v>13.8474</v>
      </c>
      <c r="L9" s="47">
        <f>C9*L4</f>
        <v>15.385999999999999</v>
      </c>
      <c r="M9" s="47">
        <f>B9*M4</f>
        <v>12.078010000000001</v>
      </c>
    </row>
    <row r="10" spans="1:16" ht="15.95" customHeight="1">
      <c r="A10" s="44">
        <v>16</v>
      </c>
      <c r="B10" s="45">
        <f t="shared" si="0"/>
        <v>1.5775360000000003</v>
      </c>
      <c r="C10" s="45">
        <f>C4*A10*A10*0.01*3.14/4</f>
        <v>2.0096000000000003</v>
      </c>
      <c r="D10" s="46">
        <f>C10*D4</f>
        <v>4.0192000000000005</v>
      </c>
      <c r="E10" s="46">
        <f>C10*E4</f>
        <v>6.0288000000000004</v>
      </c>
      <c r="F10" s="46">
        <f>C10*F4</f>
        <v>8.0384000000000011</v>
      </c>
      <c r="G10" s="46">
        <f>C10*G4</f>
        <v>10.048000000000002</v>
      </c>
      <c r="H10" s="46">
        <f>C10*H4</f>
        <v>12.057600000000001</v>
      </c>
      <c r="I10" s="46">
        <f>C10*I4</f>
        <v>14.067200000000001</v>
      </c>
      <c r="J10" s="46">
        <f>C10*J4</f>
        <v>16.076800000000002</v>
      </c>
      <c r="K10" s="46">
        <f>C10*K4</f>
        <v>18.086400000000001</v>
      </c>
      <c r="L10" s="47">
        <f>C10*L4</f>
        <v>20.096000000000004</v>
      </c>
      <c r="M10" s="47">
        <f>B10*M4</f>
        <v>15.775360000000003</v>
      </c>
    </row>
    <row r="11" spans="1:16" ht="15.95" customHeight="1">
      <c r="A11" s="44">
        <v>18</v>
      </c>
      <c r="B11" s="45">
        <f t="shared" si="0"/>
        <v>1.9965690000000003</v>
      </c>
      <c r="C11" s="45">
        <f>C4*A11*A11*0.01*3.14/4</f>
        <v>2.5434000000000001</v>
      </c>
      <c r="D11" s="46">
        <f>C11*D4</f>
        <v>5.0868000000000002</v>
      </c>
      <c r="E11" s="46">
        <f>C11*E4</f>
        <v>7.6302000000000003</v>
      </c>
      <c r="F11" s="46">
        <f>C11*F4</f>
        <v>10.1736</v>
      </c>
      <c r="G11" s="46">
        <f>C11*G4</f>
        <v>12.717000000000001</v>
      </c>
      <c r="H11" s="46">
        <f>C11*H4</f>
        <v>15.260400000000001</v>
      </c>
      <c r="I11" s="46">
        <f>C11*I4</f>
        <v>17.803800000000003</v>
      </c>
      <c r="J11" s="46">
        <f>C11*J4</f>
        <v>20.347200000000001</v>
      </c>
      <c r="K11" s="46">
        <f>C11*K4</f>
        <v>22.890599999999999</v>
      </c>
      <c r="L11" s="47">
        <f>C11*L4</f>
        <v>25.434000000000001</v>
      </c>
      <c r="M11" s="47">
        <f>B11*M4</f>
        <v>19.965690000000002</v>
      </c>
    </row>
    <row r="12" spans="1:16" s="53" customFormat="1" ht="15.95" customHeight="1">
      <c r="A12" s="49">
        <v>20</v>
      </c>
      <c r="B12" s="50">
        <f t="shared" si="0"/>
        <v>2.4649000000000001</v>
      </c>
      <c r="C12" s="50">
        <f>C4*A12*A12*0.01*3.14/4</f>
        <v>3.14</v>
      </c>
      <c r="D12" s="51">
        <f>C12*D4</f>
        <v>6.28</v>
      </c>
      <c r="E12" s="51">
        <f>C12*E4</f>
        <v>9.42</v>
      </c>
      <c r="F12" s="51">
        <f>C12*F4</f>
        <v>12.56</v>
      </c>
      <c r="G12" s="51">
        <f>C12*G4</f>
        <v>15.700000000000001</v>
      </c>
      <c r="H12" s="51">
        <f>C12*H4</f>
        <v>18.84</v>
      </c>
      <c r="I12" s="51">
        <f>C12*I4</f>
        <v>21.98</v>
      </c>
      <c r="J12" s="51">
        <f>C12*J4</f>
        <v>25.12</v>
      </c>
      <c r="K12" s="51">
        <f>C12*K4</f>
        <v>28.26</v>
      </c>
      <c r="L12" s="52">
        <f>C12*L4</f>
        <v>31.400000000000002</v>
      </c>
      <c r="M12" s="52">
        <f>B12*M4</f>
        <v>24.649000000000001</v>
      </c>
      <c r="O12" s="38"/>
    </row>
    <row r="13" spans="1:16" ht="15.95" customHeight="1">
      <c r="A13" s="44">
        <v>22</v>
      </c>
      <c r="B13" s="45">
        <f t="shared" si="0"/>
        <v>2.9825290000000004</v>
      </c>
      <c r="C13" s="45">
        <f>C4*A13*A13*0.01*3.14/4</f>
        <v>3.7993999999999999</v>
      </c>
      <c r="D13" s="46">
        <f>C13*D4</f>
        <v>7.5987999999999998</v>
      </c>
      <c r="E13" s="46">
        <f>C13*E4</f>
        <v>11.398199999999999</v>
      </c>
      <c r="F13" s="46">
        <f>C13*F4</f>
        <v>15.1976</v>
      </c>
      <c r="G13" s="46">
        <f>C13*G4</f>
        <v>18.997</v>
      </c>
      <c r="H13" s="46">
        <f>C13*H4</f>
        <v>22.796399999999998</v>
      </c>
      <c r="I13" s="46">
        <f>C13*I4</f>
        <v>26.595800000000001</v>
      </c>
      <c r="J13" s="46">
        <f>C13*J4</f>
        <v>30.395199999999999</v>
      </c>
      <c r="K13" s="46">
        <f>C13*K4</f>
        <v>34.194600000000001</v>
      </c>
      <c r="L13" s="47">
        <f>C13*L4</f>
        <v>37.994</v>
      </c>
      <c r="M13" s="47">
        <f>B13*M4</f>
        <v>29.825290000000003</v>
      </c>
    </row>
    <row r="14" spans="1:16" ht="15.95" customHeight="1">
      <c r="A14" s="44">
        <v>25</v>
      </c>
      <c r="B14" s="45">
        <f t="shared" si="0"/>
        <v>3.8514062500000001</v>
      </c>
      <c r="C14" s="45">
        <f>C4*A14*A14*0.01*3.14/4</f>
        <v>4.90625</v>
      </c>
      <c r="D14" s="46">
        <f>C14*D4</f>
        <v>9.8125</v>
      </c>
      <c r="E14" s="46">
        <f>C14*E4</f>
        <v>14.71875</v>
      </c>
      <c r="F14" s="46">
        <f>C14*F4</f>
        <v>19.625</v>
      </c>
      <c r="G14" s="46">
        <f>C14*G4</f>
        <v>24.53125</v>
      </c>
      <c r="H14" s="46">
        <f>C14*H4</f>
        <v>29.4375</v>
      </c>
      <c r="I14" s="46">
        <f>C14*I4</f>
        <v>34.34375</v>
      </c>
      <c r="J14" s="46">
        <f>C14*J4</f>
        <v>39.25</v>
      </c>
      <c r="K14" s="46">
        <f>C14*K4</f>
        <v>44.15625</v>
      </c>
      <c r="L14" s="47">
        <f>C14*L4</f>
        <v>49.0625</v>
      </c>
      <c r="M14" s="47">
        <f>B14*M4</f>
        <v>38.514062500000001</v>
      </c>
    </row>
    <row r="15" spans="1:16" ht="15.95" customHeight="1">
      <c r="A15" s="44">
        <v>28</v>
      </c>
      <c r="B15" s="45">
        <f t="shared" si="0"/>
        <v>4.8312040000000005</v>
      </c>
      <c r="C15" s="45">
        <f>C4*A15*A15*0.01*3.14/4</f>
        <v>6.1543999999999999</v>
      </c>
      <c r="D15" s="46">
        <f>C15*D4</f>
        <v>12.3088</v>
      </c>
      <c r="E15" s="46">
        <f>C15*E4</f>
        <v>18.463200000000001</v>
      </c>
      <c r="F15" s="46">
        <f>C15*F4</f>
        <v>24.617599999999999</v>
      </c>
      <c r="G15" s="46">
        <f>C15*G4</f>
        <v>30.771999999999998</v>
      </c>
      <c r="H15" s="46">
        <f>C15*H4</f>
        <v>36.926400000000001</v>
      </c>
      <c r="I15" s="46">
        <f>C15*I4</f>
        <v>43.080799999999996</v>
      </c>
      <c r="J15" s="46">
        <f>C15*J4</f>
        <v>49.235199999999999</v>
      </c>
      <c r="K15" s="46">
        <f>C15*K4</f>
        <v>55.389600000000002</v>
      </c>
      <c r="L15" s="47">
        <f>C15*L4</f>
        <v>61.543999999999997</v>
      </c>
      <c r="M15" s="47">
        <f>B15*M4</f>
        <v>48.312040000000003</v>
      </c>
    </row>
    <row r="16" spans="1:16" ht="15.95" customHeight="1">
      <c r="A16" s="44">
        <v>30</v>
      </c>
      <c r="B16" s="45">
        <f t="shared" si="0"/>
        <v>5.5460250000000002</v>
      </c>
      <c r="C16" s="45">
        <f>C4*A16*A16*0.01*3.14/4</f>
        <v>7.0650000000000004</v>
      </c>
      <c r="D16" s="46">
        <f>C16*D4</f>
        <v>14.13</v>
      </c>
      <c r="E16" s="46">
        <f>C16*E4</f>
        <v>21.195</v>
      </c>
      <c r="F16" s="46">
        <f>C16*F4</f>
        <v>28.26</v>
      </c>
      <c r="G16" s="46">
        <f>C16*G4</f>
        <v>35.325000000000003</v>
      </c>
      <c r="H16" s="46">
        <f>C16*H4</f>
        <v>42.39</v>
      </c>
      <c r="I16" s="46">
        <f>C16*I4</f>
        <v>49.455000000000005</v>
      </c>
      <c r="J16" s="46">
        <f>C16*J4</f>
        <v>56.52</v>
      </c>
      <c r="K16" s="46">
        <f>C16*K4</f>
        <v>63.585000000000001</v>
      </c>
      <c r="L16" s="47">
        <f>C16*L4</f>
        <v>70.650000000000006</v>
      </c>
      <c r="M16" s="47">
        <f>B16*M4</f>
        <v>55.460250000000002</v>
      </c>
    </row>
    <row r="17" spans="1:18" ht="15.95" customHeight="1">
      <c r="A17" s="54">
        <v>32</v>
      </c>
      <c r="B17" s="55">
        <f t="shared" si="0"/>
        <v>6.3101440000000011</v>
      </c>
      <c r="C17" s="55">
        <f>C4*A17*A17*0.01*3.14/4</f>
        <v>8.0384000000000011</v>
      </c>
      <c r="D17" s="56">
        <f>C17*D4</f>
        <v>16.076800000000002</v>
      </c>
      <c r="E17" s="56">
        <f>C17*E4</f>
        <v>24.115200000000002</v>
      </c>
      <c r="F17" s="56">
        <f>C17*F4</f>
        <v>32.153600000000004</v>
      </c>
      <c r="G17" s="56">
        <f>C17*G4</f>
        <v>40.192000000000007</v>
      </c>
      <c r="H17" s="56">
        <f>C17*H4</f>
        <v>48.230400000000003</v>
      </c>
      <c r="I17" s="56">
        <f>C17*I4</f>
        <v>56.268800000000006</v>
      </c>
      <c r="J17" s="56">
        <f>C17*J4</f>
        <v>64.307200000000009</v>
      </c>
      <c r="K17" s="56">
        <f>C17*K4</f>
        <v>72.345600000000005</v>
      </c>
      <c r="L17" s="57">
        <f>C17*L4</f>
        <v>80.384000000000015</v>
      </c>
      <c r="M17" s="57">
        <f>B17*M4</f>
        <v>63.101440000000011</v>
      </c>
    </row>
    <row r="20" spans="1:18" s="58" customFormat="1" ht="15.95" customHeight="1">
      <c r="A20" s="331" t="s">
        <v>65</v>
      </c>
      <c r="B20" s="331"/>
      <c r="C20" s="331" t="s">
        <v>66</v>
      </c>
      <c r="D20" s="331"/>
      <c r="E20" s="331" t="s">
        <v>19</v>
      </c>
      <c r="F20" s="331"/>
      <c r="G20" s="331"/>
      <c r="H20" s="331" t="s">
        <v>20</v>
      </c>
      <c r="I20" s="331"/>
      <c r="J20" s="331"/>
      <c r="K20" s="331" t="s">
        <v>17</v>
      </c>
      <c r="L20" s="331" t="s">
        <v>56</v>
      </c>
      <c r="M20" s="331" t="s">
        <v>57</v>
      </c>
      <c r="N20" s="331" t="s">
        <v>58</v>
      </c>
      <c r="O20" s="332" t="s">
        <v>112</v>
      </c>
      <c r="P20" s="37"/>
      <c r="Q20" s="37"/>
      <c r="R20" s="37"/>
    </row>
    <row r="21" spans="1:18" ht="15.75" customHeight="1">
      <c r="A21" s="59" t="s">
        <v>63</v>
      </c>
      <c r="B21" s="59" t="s">
        <v>64</v>
      </c>
      <c r="C21" s="59" t="s">
        <v>63</v>
      </c>
      <c r="D21" s="59" t="s">
        <v>64</v>
      </c>
      <c r="E21" s="36" t="s">
        <v>61</v>
      </c>
      <c r="F21" s="36" t="s">
        <v>62</v>
      </c>
      <c r="G21" s="36" t="s">
        <v>15</v>
      </c>
      <c r="H21" s="36" t="s">
        <v>18</v>
      </c>
      <c r="I21" s="36" t="s">
        <v>16</v>
      </c>
      <c r="J21" s="36" t="s">
        <v>2</v>
      </c>
      <c r="K21" s="331"/>
      <c r="L21" s="331"/>
      <c r="M21" s="331"/>
      <c r="N21" s="331"/>
      <c r="O21" s="333"/>
    </row>
    <row r="22" spans="1:18" s="67" customFormat="1" ht="15.95" customHeight="1">
      <c r="A22" s="60" t="s">
        <v>27</v>
      </c>
      <c r="B22" s="60" t="str">
        <f>IF(H22&gt;=18,"A-III","A-II")</f>
        <v>A-III</v>
      </c>
      <c r="C22" s="60" t="e">
        <f t="shared" ref="C22:C28" si="1">HLOOKUP(A22,Betong,5,FALSE)*10^3</f>
        <v>#N/A</v>
      </c>
      <c r="D22" s="60" t="e">
        <f t="shared" ref="D22:D28" si="2">HLOOKUP(B22,Cotthep,4,FALSE)*10^3</f>
        <v>#N/A</v>
      </c>
      <c r="E22" s="61">
        <v>1.2</v>
      </c>
      <c r="F22" s="61">
        <v>1</v>
      </c>
      <c r="G22" s="62">
        <f t="shared" ref="G22:G28" si="3">E22*F22</f>
        <v>1.2</v>
      </c>
      <c r="H22" s="63">
        <v>25</v>
      </c>
      <c r="I22" s="63">
        <v>28</v>
      </c>
      <c r="J22" s="64">
        <f t="shared" ref="J22:J28" si="4">PI()*(H22/10)^2/4*I22</f>
        <v>137.44467859455347</v>
      </c>
      <c r="K22" s="61">
        <f t="shared" ref="K22:K28" si="5">J22/G22/100</f>
        <v>1.145372321621279</v>
      </c>
      <c r="L22" s="65" t="e">
        <f t="shared" ref="L22:L28" si="6">G22*C22</f>
        <v>#N/A</v>
      </c>
      <c r="M22" s="65" t="e">
        <f t="shared" ref="M22:M28" si="7">J22*D22/10^4</f>
        <v>#N/A</v>
      </c>
      <c r="N22" s="65" t="e">
        <f t="shared" ref="N22:N28" si="8">L22+M22</f>
        <v>#N/A</v>
      </c>
      <c r="O22" s="66" t="e">
        <f t="shared" ref="O22:O31" si="9">N22/1.2</f>
        <v>#N/A</v>
      </c>
    </row>
    <row r="23" spans="1:18" s="68" customFormat="1" ht="15.95" customHeight="1">
      <c r="A23" s="60" t="s">
        <v>27</v>
      </c>
      <c r="B23" s="60" t="str">
        <f t="shared" ref="B23:B72" si="10">IF(H23&gt;=18,"A-III","A-II")</f>
        <v>A-III</v>
      </c>
      <c r="C23" s="60" t="e">
        <f>HLOOKUP(A23,Betong,5,FALSE)*10^3</f>
        <v>#N/A</v>
      </c>
      <c r="D23" s="60" t="e">
        <f>HLOOKUP(B23,Cotthep,4,FALSE)*10^3</f>
        <v>#N/A</v>
      </c>
      <c r="E23" s="61">
        <v>1.2</v>
      </c>
      <c r="F23" s="61">
        <v>0.6</v>
      </c>
      <c r="G23" s="62">
        <f>E23*F23</f>
        <v>0.72</v>
      </c>
      <c r="H23" s="63">
        <v>20</v>
      </c>
      <c r="I23" s="63">
        <v>24</v>
      </c>
      <c r="J23" s="64">
        <f>PI()*(H23/10)^2/4*I23</f>
        <v>75.398223686155035</v>
      </c>
      <c r="K23" s="61">
        <f>J23/G23/100</f>
        <v>1.0471975511965979</v>
      </c>
      <c r="L23" s="65" t="e">
        <f>G23*C23</f>
        <v>#N/A</v>
      </c>
      <c r="M23" s="65" t="e">
        <f>J23*D23/10^4</f>
        <v>#N/A</v>
      </c>
      <c r="N23" s="65" t="e">
        <f>L23+M23</f>
        <v>#N/A</v>
      </c>
      <c r="O23" s="66" t="e">
        <f>N23/1.2</f>
        <v>#N/A</v>
      </c>
    </row>
    <row r="24" spans="1:18" s="67" customFormat="1" ht="15.95" customHeight="1">
      <c r="A24" s="60" t="s">
        <v>27</v>
      </c>
      <c r="B24" s="60" t="str">
        <f t="shared" si="10"/>
        <v>A-III</v>
      </c>
      <c r="C24" s="60" t="e">
        <f>HLOOKUP(A24,Betong,5,FALSE)*10^3</f>
        <v>#N/A</v>
      </c>
      <c r="D24" s="60" t="e">
        <f>HLOOKUP(B24,Cotthep,4,FALSE)*10^3</f>
        <v>#N/A</v>
      </c>
      <c r="E24" s="61">
        <v>1.1499999999999999</v>
      </c>
      <c r="F24" s="61">
        <v>0.8</v>
      </c>
      <c r="G24" s="62">
        <f>E24*F24</f>
        <v>0.91999999999999993</v>
      </c>
      <c r="H24" s="63">
        <v>25</v>
      </c>
      <c r="I24" s="63">
        <v>22</v>
      </c>
      <c r="J24" s="64">
        <f>PI()*(H24/10)^2/4*I24</f>
        <v>107.99224746714914</v>
      </c>
      <c r="K24" s="61">
        <f>J24/G24/100</f>
        <v>1.1738287768168387</v>
      </c>
      <c r="L24" s="65" t="e">
        <f>G24*C24</f>
        <v>#N/A</v>
      </c>
      <c r="M24" s="65" t="e">
        <f>J24*D24/10^4</f>
        <v>#N/A</v>
      </c>
      <c r="N24" s="65" t="e">
        <f>L24+M24</f>
        <v>#N/A</v>
      </c>
      <c r="O24" s="66" t="e">
        <f>N24/1.2</f>
        <v>#N/A</v>
      </c>
    </row>
    <row r="25" spans="1:18" s="68" customFormat="1" ht="15.95" customHeight="1">
      <c r="A25" s="60" t="s">
        <v>27</v>
      </c>
      <c r="B25" s="60" t="str">
        <f t="shared" si="10"/>
        <v>A-III</v>
      </c>
      <c r="C25" s="60" t="e">
        <f t="shared" si="1"/>
        <v>#N/A</v>
      </c>
      <c r="D25" s="60" t="e">
        <f t="shared" si="2"/>
        <v>#N/A</v>
      </c>
      <c r="E25" s="61">
        <v>1</v>
      </c>
      <c r="F25" s="61">
        <v>1</v>
      </c>
      <c r="G25" s="62">
        <f t="shared" si="3"/>
        <v>1</v>
      </c>
      <c r="H25" s="63">
        <v>25</v>
      </c>
      <c r="I25" s="63">
        <v>24</v>
      </c>
      <c r="J25" s="64">
        <f t="shared" si="4"/>
        <v>117.80972450961724</v>
      </c>
      <c r="K25" s="61">
        <f t="shared" si="5"/>
        <v>1.1780972450961724</v>
      </c>
      <c r="L25" s="65" t="e">
        <f t="shared" si="6"/>
        <v>#N/A</v>
      </c>
      <c r="M25" s="65" t="e">
        <f t="shared" si="7"/>
        <v>#N/A</v>
      </c>
      <c r="N25" s="65" t="e">
        <f t="shared" si="8"/>
        <v>#N/A</v>
      </c>
      <c r="O25" s="66" t="e">
        <f t="shared" si="9"/>
        <v>#N/A</v>
      </c>
    </row>
    <row r="26" spans="1:18" s="67" customFormat="1" ht="15.95" customHeight="1">
      <c r="A26" s="60" t="s">
        <v>27</v>
      </c>
      <c r="B26" s="60" t="str">
        <f t="shared" si="10"/>
        <v>A-III</v>
      </c>
      <c r="C26" s="60" t="e">
        <f t="shared" si="1"/>
        <v>#N/A</v>
      </c>
      <c r="D26" s="60" t="e">
        <f t="shared" si="2"/>
        <v>#N/A</v>
      </c>
      <c r="E26" s="61">
        <v>1</v>
      </c>
      <c r="F26" s="61">
        <v>0.6</v>
      </c>
      <c r="G26" s="62">
        <f t="shared" si="3"/>
        <v>0.6</v>
      </c>
      <c r="H26" s="63">
        <v>20</v>
      </c>
      <c r="I26" s="63">
        <v>20</v>
      </c>
      <c r="J26" s="64">
        <f t="shared" si="4"/>
        <v>62.831853071795862</v>
      </c>
      <c r="K26" s="61">
        <f t="shared" si="5"/>
        <v>1.0471975511965979</v>
      </c>
      <c r="L26" s="65" t="e">
        <f t="shared" si="6"/>
        <v>#N/A</v>
      </c>
      <c r="M26" s="65" t="e">
        <f t="shared" si="7"/>
        <v>#N/A</v>
      </c>
      <c r="N26" s="65" t="e">
        <f t="shared" si="8"/>
        <v>#N/A</v>
      </c>
      <c r="O26" s="66" t="e">
        <f t="shared" si="9"/>
        <v>#N/A</v>
      </c>
    </row>
    <row r="27" spans="1:18" s="68" customFormat="1" ht="15.95" customHeight="1">
      <c r="A27" s="60" t="s">
        <v>27</v>
      </c>
      <c r="B27" s="60" t="str">
        <f t="shared" si="10"/>
        <v>A-III</v>
      </c>
      <c r="C27" s="60" t="e">
        <f t="shared" si="1"/>
        <v>#N/A</v>
      </c>
      <c r="D27" s="60" t="e">
        <f t="shared" si="2"/>
        <v>#N/A</v>
      </c>
      <c r="E27" s="61">
        <v>1</v>
      </c>
      <c r="F27" s="61">
        <v>0.5</v>
      </c>
      <c r="G27" s="62">
        <f t="shared" si="3"/>
        <v>0.5</v>
      </c>
      <c r="H27" s="63">
        <v>20</v>
      </c>
      <c r="I27" s="63">
        <v>16</v>
      </c>
      <c r="J27" s="64">
        <f t="shared" si="4"/>
        <v>50.26548245743669</v>
      </c>
      <c r="K27" s="61">
        <f t="shared" si="5"/>
        <v>1.0053096491487339</v>
      </c>
      <c r="L27" s="65" t="e">
        <f t="shared" si="6"/>
        <v>#N/A</v>
      </c>
      <c r="M27" s="65" t="e">
        <f t="shared" si="7"/>
        <v>#N/A</v>
      </c>
      <c r="N27" s="65" t="e">
        <f t="shared" si="8"/>
        <v>#N/A</v>
      </c>
      <c r="O27" s="66" t="e">
        <f t="shared" si="9"/>
        <v>#N/A</v>
      </c>
    </row>
    <row r="28" spans="1:18" s="67" customFormat="1" ht="15.95" customHeight="1">
      <c r="A28" s="60" t="s">
        <v>27</v>
      </c>
      <c r="B28" s="60" t="str">
        <f t="shared" si="10"/>
        <v>A-III</v>
      </c>
      <c r="C28" s="60" t="e">
        <f t="shared" si="1"/>
        <v>#N/A</v>
      </c>
      <c r="D28" s="60" t="e">
        <f t="shared" si="2"/>
        <v>#N/A</v>
      </c>
      <c r="E28" s="61">
        <v>1.5</v>
      </c>
      <c r="F28" s="61">
        <v>0.3</v>
      </c>
      <c r="G28" s="62">
        <f t="shared" si="3"/>
        <v>0.44999999999999996</v>
      </c>
      <c r="H28" s="63">
        <v>18</v>
      </c>
      <c r="I28" s="63">
        <v>20</v>
      </c>
      <c r="J28" s="64">
        <f t="shared" si="4"/>
        <v>50.893800988154652</v>
      </c>
      <c r="K28" s="61">
        <f t="shared" si="5"/>
        <v>1.1309733552923256</v>
      </c>
      <c r="L28" s="65" t="e">
        <f t="shared" si="6"/>
        <v>#N/A</v>
      </c>
      <c r="M28" s="65" t="e">
        <f t="shared" si="7"/>
        <v>#N/A</v>
      </c>
      <c r="N28" s="65" t="e">
        <f t="shared" si="8"/>
        <v>#N/A</v>
      </c>
      <c r="O28" s="66" t="e">
        <f t="shared" si="9"/>
        <v>#N/A</v>
      </c>
    </row>
    <row r="29" spans="1:18" s="67" customFormat="1" ht="15.95" customHeight="1">
      <c r="A29" s="60" t="s">
        <v>27</v>
      </c>
      <c r="B29" s="60" t="str">
        <f t="shared" si="10"/>
        <v>A-III</v>
      </c>
      <c r="C29" s="60" t="e">
        <f>HLOOKUP(A29,Betong,5,FALSE)*10^3</f>
        <v>#N/A</v>
      </c>
      <c r="D29" s="60" t="e">
        <f>HLOOKUP(B29,Cotthep,4,FALSE)*10^3</f>
        <v>#N/A</v>
      </c>
      <c r="E29" s="61">
        <v>1.42</v>
      </c>
      <c r="F29" s="61">
        <v>0.35</v>
      </c>
      <c r="G29" s="62">
        <f>E29*F29</f>
        <v>0.49699999999999994</v>
      </c>
      <c r="H29" s="63">
        <v>18</v>
      </c>
      <c r="I29" s="63">
        <v>20</v>
      </c>
      <c r="J29" s="64">
        <f>PI()*(H29/10)^2/4*I29</f>
        <v>50.893800988154652</v>
      </c>
      <c r="K29" s="61">
        <f>J29/G29/100</f>
        <v>1.0240201406067335</v>
      </c>
      <c r="L29" s="65" t="e">
        <f>G29*C29</f>
        <v>#N/A</v>
      </c>
      <c r="M29" s="65" t="e">
        <f>J29*D29/10^4</f>
        <v>#N/A</v>
      </c>
      <c r="N29" s="65" t="e">
        <f>L29+M29</f>
        <v>#N/A</v>
      </c>
      <c r="O29" s="66" t="e">
        <f t="shared" si="9"/>
        <v>#N/A</v>
      </c>
    </row>
    <row r="30" spans="1:18" s="75" customFormat="1" ht="15.95" customHeight="1">
      <c r="A30" s="69"/>
      <c r="B30" s="60"/>
      <c r="C30" s="69"/>
      <c r="D30" s="69"/>
      <c r="E30" s="70"/>
      <c r="F30" s="70"/>
      <c r="G30" s="71"/>
      <c r="H30" s="49"/>
      <c r="I30" s="49"/>
      <c r="J30" s="72"/>
      <c r="K30" s="70"/>
      <c r="L30" s="73"/>
      <c r="M30" s="73"/>
      <c r="N30" s="73"/>
      <c r="O30" s="74"/>
    </row>
    <row r="31" spans="1:18" s="67" customFormat="1" ht="15.95" customHeight="1">
      <c r="A31" s="60" t="s">
        <v>27</v>
      </c>
      <c r="B31" s="60" t="str">
        <f t="shared" si="10"/>
        <v>A-III</v>
      </c>
      <c r="C31" s="60" t="e">
        <f>HLOOKUP(A31,Betong,5,FALSE)*10^3</f>
        <v>#N/A</v>
      </c>
      <c r="D31" s="60" t="e">
        <f>HLOOKUP(B31,Cotthep,4,FALSE)*10^3</f>
        <v>#N/A</v>
      </c>
      <c r="E31" s="61" t="s">
        <v>108</v>
      </c>
      <c r="F31" s="61">
        <v>0.3</v>
      </c>
      <c r="G31" s="62">
        <v>0.36</v>
      </c>
      <c r="H31" s="63">
        <v>18</v>
      </c>
      <c r="I31" s="63">
        <v>16</v>
      </c>
      <c r="J31" s="64">
        <f>PI()*(H31/10)^2/4*I31</f>
        <v>40.715040790523723</v>
      </c>
      <c r="K31" s="61">
        <f>J31/G31/100</f>
        <v>1.1309733552923256</v>
      </c>
      <c r="L31" s="65" t="e">
        <f>G31*C31</f>
        <v>#N/A</v>
      </c>
      <c r="M31" s="65" t="e">
        <f>J31*D31/10^4</f>
        <v>#N/A</v>
      </c>
      <c r="N31" s="65" t="e">
        <f>L31+M31</f>
        <v>#N/A</v>
      </c>
      <c r="O31" s="66" t="e">
        <f t="shared" si="9"/>
        <v>#N/A</v>
      </c>
    </row>
    <row r="32" spans="1:18" s="75" customFormat="1" ht="15.95" customHeight="1">
      <c r="A32" s="69"/>
      <c r="B32" s="60"/>
      <c r="C32" s="69"/>
      <c r="D32" s="69"/>
      <c r="E32" s="70"/>
      <c r="F32" s="70"/>
      <c r="G32" s="71"/>
      <c r="H32" s="49"/>
      <c r="I32" s="49"/>
      <c r="J32" s="72"/>
      <c r="K32" s="70"/>
      <c r="L32" s="73"/>
      <c r="M32" s="73"/>
      <c r="N32" s="73"/>
      <c r="O32" s="74"/>
    </row>
    <row r="33" spans="1:15" s="82" customFormat="1" ht="15.95" customHeight="1">
      <c r="A33" s="76" t="s">
        <v>29</v>
      </c>
      <c r="B33" s="60" t="str">
        <f t="shared" si="10"/>
        <v>A-III</v>
      </c>
      <c r="C33" s="76" t="e">
        <f t="shared" ref="C33:C58" si="11">HLOOKUP(A33,Betong,5,FALSE)*10^3</f>
        <v>#N/A</v>
      </c>
      <c r="D33" s="76" t="e">
        <f t="shared" ref="D33:D58" si="12">HLOOKUP(B33,Cotthep,4,FALSE)*10^3</f>
        <v>#N/A</v>
      </c>
      <c r="E33" s="77">
        <v>0.8</v>
      </c>
      <c r="F33" s="77">
        <v>0.6</v>
      </c>
      <c r="G33" s="78">
        <f>F33*E33</f>
        <v>0.48</v>
      </c>
      <c r="H33" s="79">
        <v>22</v>
      </c>
      <c r="I33" s="79">
        <v>14</v>
      </c>
      <c r="J33" s="80">
        <f t="shared" ref="J33:J58" si="13">PI()*(H33/10)^2/4*I33</f>
        <v>53.218579551811104</v>
      </c>
      <c r="K33" s="77">
        <f t="shared" ref="K33:K58" si="14">J33/G33/100</f>
        <v>1.1087204073293981</v>
      </c>
      <c r="L33" s="81" t="e">
        <f t="shared" ref="L33:L58" si="15">G33*C33</f>
        <v>#N/A</v>
      </c>
      <c r="M33" s="81" t="e">
        <f t="shared" ref="M33:M58" si="16">J33*D33/10^4</f>
        <v>#N/A</v>
      </c>
      <c r="N33" s="81" t="e">
        <f t="shared" ref="N33:N58" si="17">L33+M33</f>
        <v>#N/A</v>
      </c>
      <c r="O33" s="66" t="e">
        <f t="shared" ref="O33:O58" si="18">N33/1.2</f>
        <v>#N/A</v>
      </c>
    </row>
    <row r="34" spans="1:15" s="90" customFormat="1" ht="15.95" customHeight="1">
      <c r="A34" s="83" t="s">
        <v>29</v>
      </c>
      <c r="B34" s="60" t="str">
        <f t="shared" si="10"/>
        <v>A-III</v>
      </c>
      <c r="C34" s="83" t="e">
        <f t="shared" si="11"/>
        <v>#N/A</v>
      </c>
      <c r="D34" s="83" t="e">
        <f t="shared" si="12"/>
        <v>#N/A</v>
      </c>
      <c r="E34" s="84">
        <f>E33</f>
        <v>0.8</v>
      </c>
      <c r="F34" s="84">
        <f>F33</f>
        <v>0.6</v>
      </c>
      <c r="G34" s="85">
        <f>G33</f>
        <v>0.48</v>
      </c>
      <c r="H34" s="86">
        <v>25</v>
      </c>
      <c r="I34" s="86">
        <v>10</v>
      </c>
      <c r="J34" s="87">
        <f t="shared" si="13"/>
        <v>49.087385212340521</v>
      </c>
      <c r="K34" s="84">
        <f t="shared" si="14"/>
        <v>1.0226538585904275</v>
      </c>
      <c r="L34" s="88" t="e">
        <f t="shared" si="15"/>
        <v>#N/A</v>
      </c>
      <c r="M34" s="88" t="e">
        <f t="shared" si="16"/>
        <v>#N/A</v>
      </c>
      <c r="N34" s="88" t="e">
        <f t="shared" si="17"/>
        <v>#N/A</v>
      </c>
      <c r="O34" s="89" t="e">
        <f t="shared" si="18"/>
        <v>#N/A</v>
      </c>
    </row>
    <row r="35" spans="1:15" s="82" customFormat="1" ht="15.95" customHeight="1">
      <c r="A35" s="76" t="s">
        <v>29</v>
      </c>
      <c r="B35" s="60" t="str">
        <f t="shared" si="10"/>
        <v>A-III</v>
      </c>
      <c r="C35" s="76" t="e">
        <f>HLOOKUP(A35,Betong,5,FALSE)*10^3</f>
        <v>#N/A</v>
      </c>
      <c r="D35" s="76" t="e">
        <f>HLOOKUP(B35,Cotthep,4,FALSE)*10^3</f>
        <v>#N/A</v>
      </c>
      <c r="E35" s="77">
        <v>2.4</v>
      </c>
      <c r="F35" s="77">
        <v>0.35</v>
      </c>
      <c r="G35" s="78">
        <f>F35*E35</f>
        <v>0.84</v>
      </c>
      <c r="H35" s="79">
        <v>20</v>
      </c>
      <c r="I35" s="79">
        <v>26</v>
      </c>
      <c r="J35" s="80">
        <f>PI()*(H35/10)^2/4*I35</f>
        <v>81.681408993334628</v>
      </c>
      <c r="K35" s="77">
        <f>J35/G35/100</f>
        <v>0.97239772611112651</v>
      </c>
      <c r="L35" s="81" t="e">
        <f>G35*C35</f>
        <v>#N/A</v>
      </c>
      <c r="M35" s="81" t="e">
        <f>J35*D35/10^4</f>
        <v>#N/A</v>
      </c>
      <c r="N35" s="81" t="e">
        <f>L35+M35</f>
        <v>#N/A</v>
      </c>
      <c r="O35" s="66" t="e">
        <f t="shared" si="18"/>
        <v>#N/A</v>
      </c>
    </row>
    <row r="36" spans="1:15" s="90" customFormat="1" ht="15.95" customHeight="1">
      <c r="A36" s="83" t="s">
        <v>29</v>
      </c>
      <c r="B36" s="60" t="str">
        <f t="shared" si="10"/>
        <v>A-III</v>
      </c>
      <c r="C36" s="83" t="e">
        <f>HLOOKUP(A36,Betong,5,FALSE)*10^3</f>
        <v>#N/A</v>
      </c>
      <c r="D36" s="83" t="e">
        <f>HLOOKUP(B36,Cotthep,4,FALSE)*10^3</f>
        <v>#N/A</v>
      </c>
      <c r="E36" s="84">
        <f>E35</f>
        <v>2.4</v>
      </c>
      <c r="F36" s="84">
        <f>F35</f>
        <v>0.35</v>
      </c>
      <c r="G36" s="85">
        <f>G35</f>
        <v>0.84</v>
      </c>
      <c r="H36" s="86">
        <v>25</v>
      </c>
      <c r="I36" s="86">
        <v>18</v>
      </c>
      <c r="J36" s="87">
        <f>PI()*(H36/10)^2/4*I36</f>
        <v>88.35729338221293</v>
      </c>
      <c r="K36" s="84">
        <f>J36/G36/100</f>
        <v>1.0518725402644398</v>
      </c>
      <c r="L36" s="88" t="e">
        <f>G36*C36</f>
        <v>#N/A</v>
      </c>
      <c r="M36" s="88" t="e">
        <f>J36*D36/10^4</f>
        <v>#N/A</v>
      </c>
      <c r="N36" s="88" t="e">
        <f>L36+M36</f>
        <v>#N/A</v>
      </c>
      <c r="O36" s="89" t="e">
        <f t="shared" si="18"/>
        <v>#N/A</v>
      </c>
    </row>
    <row r="37" spans="1:15" s="82" customFormat="1" ht="15.95" customHeight="1">
      <c r="A37" s="76" t="s">
        <v>29</v>
      </c>
      <c r="B37" s="60" t="str">
        <f t="shared" si="10"/>
        <v>A-III</v>
      </c>
      <c r="C37" s="76" t="e">
        <f>HLOOKUP(A37,Betong,5,FALSE)*10^3</f>
        <v>#N/A</v>
      </c>
      <c r="D37" s="76" t="e">
        <f>HLOOKUP(B37,Cotthep,4,FALSE)*10^3</f>
        <v>#N/A</v>
      </c>
      <c r="E37" s="77">
        <v>2</v>
      </c>
      <c r="F37" s="77">
        <v>0.3</v>
      </c>
      <c r="G37" s="78">
        <f>F37*E37</f>
        <v>0.6</v>
      </c>
      <c r="H37" s="79">
        <v>20</v>
      </c>
      <c r="I37" s="79">
        <v>22</v>
      </c>
      <c r="J37" s="80">
        <f>PI()*(H37/10)^2/4*I37</f>
        <v>69.115038378975441</v>
      </c>
      <c r="K37" s="77">
        <f>J37/G37/100</f>
        <v>1.1519173063162575</v>
      </c>
      <c r="L37" s="81" t="e">
        <f>G37*C37</f>
        <v>#N/A</v>
      </c>
      <c r="M37" s="81" t="e">
        <f>J37*D37/10^4</f>
        <v>#N/A</v>
      </c>
      <c r="N37" s="81" t="e">
        <f>L37+M37</f>
        <v>#N/A</v>
      </c>
      <c r="O37" s="66" t="e">
        <f t="shared" si="18"/>
        <v>#N/A</v>
      </c>
    </row>
    <row r="38" spans="1:15" s="90" customFormat="1" ht="15.95" customHeight="1">
      <c r="A38" s="83" t="s">
        <v>29</v>
      </c>
      <c r="B38" s="60" t="str">
        <f t="shared" si="10"/>
        <v>A-III</v>
      </c>
      <c r="C38" s="83" t="e">
        <f>HLOOKUP(A38,Betong,5,FALSE)*10^3</f>
        <v>#N/A</v>
      </c>
      <c r="D38" s="83" t="e">
        <f>HLOOKUP(B38,Cotthep,4,FALSE)*10^3</f>
        <v>#N/A</v>
      </c>
      <c r="E38" s="84">
        <f>E37</f>
        <v>2</v>
      </c>
      <c r="F38" s="84">
        <f>F37</f>
        <v>0.3</v>
      </c>
      <c r="G38" s="85">
        <f>G37</f>
        <v>0.6</v>
      </c>
      <c r="H38" s="86">
        <v>25</v>
      </c>
      <c r="I38" s="86">
        <v>14</v>
      </c>
      <c r="J38" s="87">
        <f>PI()*(H38/10)^2/4*I38</f>
        <v>68.722339297276733</v>
      </c>
      <c r="K38" s="84">
        <f>J38/G38/100</f>
        <v>1.145372321621279</v>
      </c>
      <c r="L38" s="88" t="e">
        <f>G38*C38</f>
        <v>#N/A</v>
      </c>
      <c r="M38" s="88" t="e">
        <f>J38*D38/10^4</f>
        <v>#N/A</v>
      </c>
      <c r="N38" s="88" t="e">
        <f>L38+M38</f>
        <v>#N/A</v>
      </c>
      <c r="O38" s="89" t="e">
        <f t="shared" si="18"/>
        <v>#N/A</v>
      </c>
    </row>
    <row r="39" spans="1:15" s="82" customFormat="1" ht="15.95" customHeight="1">
      <c r="A39" s="76" t="s">
        <v>29</v>
      </c>
      <c r="B39" s="60" t="str">
        <f t="shared" si="10"/>
        <v>A-III</v>
      </c>
      <c r="C39" s="76" t="e">
        <f t="shared" si="11"/>
        <v>#N/A</v>
      </c>
      <c r="D39" s="76" t="e">
        <f t="shared" si="12"/>
        <v>#N/A</v>
      </c>
      <c r="E39" s="77">
        <v>1</v>
      </c>
      <c r="F39" s="77">
        <v>0.4</v>
      </c>
      <c r="G39" s="78">
        <f>F39*E39</f>
        <v>0.4</v>
      </c>
      <c r="H39" s="79">
        <v>20</v>
      </c>
      <c r="I39" s="79">
        <v>14</v>
      </c>
      <c r="J39" s="80">
        <f t="shared" si="13"/>
        <v>43.982297150257104</v>
      </c>
      <c r="K39" s="77">
        <f t="shared" si="14"/>
        <v>1.0995574287564276</v>
      </c>
      <c r="L39" s="81" t="e">
        <f t="shared" si="15"/>
        <v>#N/A</v>
      </c>
      <c r="M39" s="81" t="e">
        <f t="shared" si="16"/>
        <v>#N/A</v>
      </c>
      <c r="N39" s="81" t="e">
        <f t="shared" si="17"/>
        <v>#N/A</v>
      </c>
      <c r="O39" s="66" t="e">
        <f t="shared" si="18"/>
        <v>#N/A</v>
      </c>
    </row>
    <row r="40" spans="1:15" s="90" customFormat="1" ht="15.95" customHeight="1">
      <c r="A40" s="83" t="s">
        <v>29</v>
      </c>
      <c r="B40" s="60" t="str">
        <f t="shared" si="10"/>
        <v>A-III</v>
      </c>
      <c r="C40" s="83" t="e">
        <f t="shared" si="11"/>
        <v>#N/A</v>
      </c>
      <c r="D40" s="83" t="e">
        <f t="shared" si="12"/>
        <v>#N/A</v>
      </c>
      <c r="E40" s="84">
        <f>E39</f>
        <v>1</v>
      </c>
      <c r="F40" s="84">
        <f>F39</f>
        <v>0.4</v>
      </c>
      <c r="G40" s="85">
        <f>G39</f>
        <v>0.4</v>
      </c>
      <c r="H40" s="86">
        <v>25</v>
      </c>
      <c r="I40" s="86">
        <v>10</v>
      </c>
      <c r="J40" s="87">
        <f t="shared" si="13"/>
        <v>49.087385212340521</v>
      </c>
      <c r="K40" s="84">
        <f t="shared" si="14"/>
        <v>1.227184630308513</v>
      </c>
      <c r="L40" s="88" t="e">
        <f t="shared" si="15"/>
        <v>#N/A</v>
      </c>
      <c r="M40" s="88" t="e">
        <f t="shared" si="16"/>
        <v>#N/A</v>
      </c>
      <c r="N40" s="88" t="e">
        <f t="shared" si="17"/>
        <v>#N/A</v>
      </c>
      <c r="O40" s="89" t="e">
        <f t="shared" si="18"/>
        <v>#N/A</v>
      </c>
    </row>
    <row r="41" spans="1:15" s="82" customFormat="1" ht="15.95" customHeight="1">
      <c r="A41" s="76" t="s">
        <v>29</v>
      </c>
      <c r="B41" s="60" t="str">
        <f t="shared" si="10"/>
        <v>A-III</v>
      </c>
      <c r="C41" s="76" t="e">
        <f>HLOOKUP(A41,Betong,5,FALSE)*10^3</f>
        <v>#N/A</v>
      </c>
      <c r="D41" s="76" t="e">
        <f>HLOOKUP(B41,Cotthep,4,FALSE)*10^3</f>
        <v>#N/A</v>
      </c>
      <c r="E41" s="77">
        <v>1</v>
      </c>
      <c r="F41" s="77">
        <v>0.4</v>
      </c>
      <c r="G41" s="78">
        <f>F41*E41</f>
        <v>0.4</v>
      </c>
      <c r="H41" s="79">
        <v>20</v>
      </c>
      <c r="I41" s="79">
        <v>14</v>
      </c>
      <c r="J41" s="80">
        <f>PI()*(H41/10)^2/4*I41</f>
        <v>43.982297150257104</v>
      </c>
      <c r="K41" s="77">
        <f>J41/G41/100</f>
        <v>1.0995574287564276</v>
      </c>
      <c r="L41" s="81" t="e">
        <f>G41*C41</f>
        <v>#N/A</v>
      </c>
      <c r="M41" s="81" t="e">
        <f>J41*D41/10^4</f>
        <v>#N/A</v>
      </c>
      <c r="N41" s="81" t="e">
        <f>L41+M41</f>
        <v>#N/A</v>
      </c>
      <c r="O41" s="66" t="e">
        <f t="shared" si="18"/>
        <v>#N/A</v>
      </c>
    </row>
    <row r="42" spans="1:15" s="90" customFormat="1" ht="15.95" customHeight="1">
      <c r="A42" s="83" t="s">
        <v>29</v>
      </c>
      <c r="B42" s="60" t="str">
        <f t="shared" si="10"/>
        <v>A-III</v>
      </c>
      <c r="C42" s="83" t="e">
        <f>HLOOKUP(A42,Betong,5,FALSE)*10^3</f>
        <v>#N/A</v>
      </c>
      <c r="D42" s="83" t="e">
        <f>HLOOKUP(B42,Cotthep,4,FALSE)*10^3</f>
        <v>#N/A</v>
      </c>
      <c r="E42" s="84">
        <f>E41</f>
        <v>1</v>
      </c>
      <c r="F42" s="84">
        <f>F41</f>
        <v>0.4</v>
      </c>
      <c r="G42" s="85">
        <f>G41</f>
        <v>0.4</v>
      </c>
      <c r="H42" s="86">
        <v>25</v>
      </c>
      <c r="I42" s="86">
        <v>10</v>
      </c>
      <c r="J42" s="87">
        <f>PI()*(H42/10)^2/4*I42</f>
        <v>49.087385212340521</v>
      </c>
      <c r="K42" s="84">
        <f>J42/G42/100</f>
        <v>1.227184630308513</v>
      </c>
      <c r="L42" s="88" t="e">
        <f>G42*C42</f>
        <v>#N/A</v>
      </c>
      <c r="M42" s="88" t="e">
        <f>J42*D42/10^4</f>
        <v>#N/A</v>
      </c>
      <c r="N42" s="88" t="e">
        <f>L42+M42</f>
        <v>#N/A</v>
      </c>
      <c r="O42" s="89" t="e">
        <f t="shared" si="18"/>
        <v>#N/A</v>
      </c>
    </row>
    <row r="43" spans="1:15" s="82" customFormat="1" ht="15.95" customHeight="1">
      <c r="A43" s="76" t="s">
        <v>29</v>
      </c>
      <c r="B43" s="60" t="str">
        <f t="shared" si="10"/>
        <v>A-II</v>
      </c>
      <c r="C43" s="76" t="e">
        <f>HLOOKUP(A43,Betong,5,FALSE)*10^3</f>
        <v>#N/A</v>
      </c>
      <c r="D43" s="76" t="e">
        <f>HLOOKUP(B43,Cotthep,4,FALSE)*10^3</f>
        <v>#N/A</v>
      </c>
      <c r="E43" s="77">
        <v>0.5</v>
      </c>
      <c r="F43" s="77">
        <v>0.4</v>
      </c>
      <c r="G43" s="78">
        <f>F43*E43</f>
        <v>0.2</v>
      </c>
      <c r="H43" s="79">
        <v>16</v>
      </c>
      <c r="I43" s="79">
        <v>10</v>
      </c>
      <c r="J43" s="80">
        <f>PI()*(H43/10)^2/4*I43</f>
        <v>20.106192982974676</v>
      </c>
      <c r="K43" s="77">
        <f>J43/G43/100</f>
        <v>1.0053096491487339</v>
      </c>
      <c r="L43" s="81" t="e">
        <f>G43*C43</f>
        <v>#N/A</v>
      </c>
      <c r="M43" s="81" t="e">
        <f>J43*D43/10^4</f>
        <v>#N/A</v>
      </c>
      <c r="N43" s="81" t="e">
        <f>L43+M43</f>
        <v>#N/A</v>
      </c>
      <c r="O43" s="66" t="e">
        <f t="shared" si="18"/>
        <v>#N/A</v>
      </c>
    </row>
    <row r="44" spans="1:15" s="90" customFormat="1" ht="15.95" customHeight="1">
      <c r="A44" s="83" t="s">
        <v>29</v>
      </c>
      <c r="B44" s="60" t="str">
        <f t="shared" si="10"/>
        <v>A-III</v>
      </c>
      <c r="C44" s="83" t="e">
        <f>HLOOKUP(A44,Betong,5,FALSE)*10^3</f>
        <v>#N/A</v>
      </c>
      <c r="D44" s="83" t="e">
        <f>HLOOKUP(B44,Cotthep,4,FALSE)*10^3</f>
        <v>#N/A</v>
      </c>
      <c r="E44" s="84">
        <v>0.5</v>
      </c>
      <c r="F44" s="84">
        <f>F43</f>
        <v>0.4</v>
      </c>
      <c r="G44" s="85">
        <f>G43</f>
        <v>0.2</v>
      </c>
      <c r="H44" s="86">
        <v>25</v>
      </c>
      <c r="I44" s="86">
        <v>6</v>
      </c>
      <c r="J44" s="87">
        <f>PI()*(H44/10)^2/4*I44</f>
        <v>29.45243112740431</v>
      </c>
      <c r="K44" s="84">
        <f>J44/G44/100</f>
        <v>1.4726215563702154</v>
      </c>
      <c r="L44" s="88" t="e">
        <f>G44*C44</f>
        <v>#N/A</v>
      </c>
      <c r="M44" s="88" t="e">
        <f>J44*D44/10^4</f>
        <v>#N/A</v>
      </c>
      <c r="N44" s="88" t="e">
        <f>L44+M44</f>
        <v>#N/A</v>
      </c>
      <c r="O44" s="89" t="e">
        <f t="shared" si="18"/>
        <v>#N/A</v>
      </c>
    </row>
    <row r="45" spans="1:15" s="82" customFormat="1" ht="15.95" customHeight="1">
      <c r="A45" s="76" t="s">
        <v>29</v>
      </c>
      <c r="B45" s="60" t="str">
        <f t="shared" si="10"/>
        <v>A-III</v>
      </c>
      <c r="C45" s="76" t="e">
        <f t="shared" si="11"/>
        <v>#N/A</v>
      </c>
      <c r="D45" s="76" t="e">
        <f t="shared" si="12"/>
        <v>#N/A</v>
      </c>
      <c r="E45" s="77">
        <v>2</v>
      </c>
      <c r="F45" s="77">
        <v>0.3</v>
      </c>
      <c r="G45" s="78">
        <f>F45*E45</f>
        <v>0.6</v>
      </c>
      <c r="H45" s="79">
        <v>18</v>
      </c>
      <c r="I45" s="79">
        <v>26</v>
      </c>
      <c r="J45" s="80">
        <f t="shared" si="13"/>
        <v>66.161941284601056</v>
      </c>
      <c r="K45" s="77">
        <f t="shared" si="14"/>
        <v>1.1026990214100176</v>
      </c>
      <c r="L45" s="81" t="e">
        <f t="shared" si="15"/>
        <v>#N/A</v>
      </c>
      <c r="M45" s="81" t="e">
        <f t="shared" si="16"/>
        <v>#N/A</v>
      </c>
      <c r="N45" s="81" t="e">
        <f t="shared" si="17"/>
        <v>#N/A</v>
      </c>
      <c r="O45" s="66" t="e">
        <f t="shared" si="18"/>
        <v>#N/A</v>
      </c>
    </row>
    <row r="46" spans="1:15" s="90" customFormat="1" ht="15.95" customHeight="1">
      <c r="A46" s="83" t="s">
        <v>29</v>
      </c>
      <c r="B46" s="60" t="str">
        <f t="shared" si="10"/>
        <v>A-III</v>
      </c>
      <c r="C46" s="83" t="e">
        <f t="shared" si="11"/>
        <v>#N/A</v>
      </c>
      <c r="D46" s="83" t="e">
        <f t="shared" si="12"/>
        <v>#N/A</v>
      </c>
      <c r="E46" s="84">
        <f>E45</f>
        <v>2</v>
      </c>
      <c r="F46" s="84">
        <f>F45</f>
        <v>0.3</v>
      </c>
      <c r="G46" s="85">
        <f>G45</f>
        <v>0.6</v>
      </c>
      <c r="H46" s="86">
        <v>25</v>
      </c>
      <c r="I46" s="86">
        <v>14</v>
      </c>
      <c r="J46" s="87">
        <f t="shared" si="13"/>
        <v>68.722339297276733</v>
      </c>
      <c r="K46" s="84">
        <f t="shared" si="14"/>
        <v>1.145372321621279</v>
      </c>
      <c r="L46" s="88" t="e">
        <f t="shared" si="15"/>
        <v>#N/A</v>
      </c>
      <c r="M46" s="88" t="e">
        <f t="shared" si="16"/>
        <v>#N/A</v>
      </c>
      <c r="N46" s="88" t="e">
        <f t="shared" si="17"/>
        <v>#N/A</v>
      </c>
      <c r="O46" s="89" t="e">
        <f t="shared" si="18"/>
        <v>#N/A</v>
      </c>
    </row>
    <row r="47" spans="1:15" s="82" customFormat="1" ht="15.95" customHeight="1">
      <c r="A47" s="76" t="s">
        <v>29</v>
      </c>
      <c r="B47" s="60" t="str">
        <f t="shared" si="10"/>
        <v>A-III</v>
      </c>
      <c r="C47" s="76" t="e">
        <f t="shared" si="11"/>
        <v>#N/A</v>
      </c>
      <c r="D47" s="76" t="e">
        <f t="shared" si="12"/>
        <v>#N/A</v>
      </c>
      <c r="E47" s="77">
        <v>1.84</v>
      </c>
      <c r="F47" s="77">
        <v>0.3</v>
      </c>
      <c r="G47" s="78">
        <f>F47*E47</f>
        <v>0.55200000000000005</v>
      </c>
      <c r="H47" s="79">
        <v>18</v>
      </c>
      <c r="I47" s="79">
        <v>22</v>
      </c>
      <c r="J47" s="80">
        <f t="shared" si="13"/>
        <v>55.98318108697012</v>
      </c>
      <c r="K47" s="77">
        <f t="shared" si="14"/>
        <v>1.0141880631697484</v>
      </c>
      <c r="L47" s="81" t="e">
        <f t="shared" si="15"/>
        <v>#N/A</v>
      </c>
      <c r="M47" s="81" t="e">
        <f t="shared" si="16"/>
        <v>#N/A</v>
      </c>
      <c r="N47" s="81" t="e">
        <f t="shared" si="17"/>
        <v>#N/A</v>
      </c>
      <c r="O47" s="66" t="e">
        <f t="shared" si="18"/>
        <v>#N/A</v>
      </c>
    </row>
    <row r="48" spans="1:15" s="90" customFormat="1" ht="15.95" customHeight="1">
      <c r="A48" s="83" t="s">
        <v>29</v>
      </c>
      <c r="B48" s="60" t="str">
        <f t="shared" si="10"/>
        <v>A-III</v>
      </c>
      <c r="C48" s="83" t="e">
        <f t="shared" si="11"/>
        <v>#N/A</v>
      </c>
      <c r="D48" s="83" t="e">
        <f t="shared" si="12"/>
        <v>#N/A</v>
      </c>
      <c r="E48" s="84">
        <f>E47</f>
        <v>1.84</v>
      </c>
      <c r="F48" s="84">
        <f>F47</f>
        <v>0.3</v>
      </c>
      <c r="G48" s="85">
        <f>G47</f>
        <v>0.55200000000000005</v>
      </c>
      <c r="H48" s="86">
        <v>25</v>
      </c>
      <c r="I48" s="86">
        <v>12</v>
      </c>
      <c r="J48" s="87">
        <f t="shared" si="13"/>
        <v>58.90486225480862</v>
      </c>
      <c r="K48" s="84">
        <f t="shared" si="14"/>
        <v>1.0671170698334895</v>
      </c>
      <c r="L48" s="88" t="e">
        <f t="shared" si="15"/>
        <v>#N/A</v>
      </c>
      <c r="M48" s="88" t="e">
        <f t="shared" si="16"/>
        <v>#N/A</v>
      </c>
      <c r="N48" s="88" t="e">
        <f t="shared" si="17"/>
        <v>#N/A</v>
      </c>
      <c r="O48" s="89" t="e">
        <f t="shared" si="18"/>
        <v>#N/A</v>
      </c>
    </row>
    <row r="49" spans="1:15" s="82" customFormat="1" ht="15.95" customHeight="1">
      <c r="A49" s="76" t="s">
        <v>29</v>
      </c>
      <c r="B49" s="60" t="str">
        <f t="shared" si="10"/>
        <v>A-III</v>
      </c>
      <c r="C49" s="76" t="e">
        <f t="shared" si="11"/>
        <v>#N/A</v>
      </c>
      <c r="D49" s="76" t="e">
        <f t="shared" si="12"/>
        <v>#N/A</v>
      </c>
      <c r="E49" s="77">
        <v>1.5</v>
      </c>
      <c r="F49" s="77">
        <v>0.3</v>
      </c>
      <c r="G49" s="78">
        <f>F49*E49</f>
        <v>0.44999999999999996</v>
      </c>
      <c r="H49" s="79">
        <v>18</v>
      </c>
      <c r="I49" s="79">
        <v>18</v>
      </c>
      <c r="J49" s="80">
        <f t="shared" si="13"/>
        <v>45.804420889339191</v>
      </c>
      <c r="K49" s="77">
        <f t="shared" si="14"/>
        <v>1.0178760197630932</v>
      </c>
      <c r="L49" s="81" t="e">
        <f t="shared" si="15"/>
        <v>#N/A</v>
      </c>
      <c r="M49" s="81" t="e">
        <f t="shared" si="16"/>
        <v>#N/A</v>
      </c>
      <c r="N49" s="81" t="e">
        <f t="shared" si="17"/>
        <v>#N/A</v>
      </c>
      <c r="O49" s="66" t="e">
        <f t="shared" si="18"/>
        <v>#N/A</v>
      </c>
    </row>
    <row r="50" spans="1:15" s="90" customFormat="1" ht="15.95" customHeight="1">
      <c r="A50" s="83" t="s">
        <v>29</v>
      </c>
      <c r="B50" s="60" t="str">
        <f t="shared" si="10"/>
        <v>A-III</v>
      </c>
      <c r="C50" s="83" t="e">
        <f t="shared" si="11"/>
        <v>#N/A</v>
      </c>
      <c r="D50" s="83" t="e">
        <f t="shared" si="12"/>
        <v>#N/A</v>
      </c>
      <c r="E50" s="84">
        <f>E49</f>
        <v>1.5</v>
      </c>
      <c r="F50" s="84">
        <f>F49</f>
        <v>0.3</v>
      </c>
      <c r="G50" s="85">
        <f>G49</f>
        <v>0.44999999999999996</v>
      </c>
      <c r="H50" s="86">
        <v>25</v>
      </c>
      <c r="I50" s="86">
        <v>10</v>
      </c>
      <c r="J50" s="87">
        <f t="shared" si="13"/>
        <v>49.087385212340521</v>
      </c>
      <c r="K50" s="84">
        <f t="shared" si="14"/>
        <v>1.090830782496456</v>
      </c>
      <c r="L50" s="88" t="e">
        <f t="shared" si="15"/>
        <v>#N/A</v>
      </c>
      <c r="M50" s="88" t="e">
        <f t="shared" si="16"/>
        <v>#N/A</v>
      </c>
      <c r="N50" s="88" t="e">
        <f t="shared" si="17"/>
        <v>#N/A</v>
      </c>
      <c r="O50" s="89" t="e">
        <f t="shared" si="18"/>
        <v>#N/A</v>
      </c>
    </row>
    <row r="51" spans="1:15" s="82" customFormat="1" ht="15.95" customHeight="1">
      <c r="A51" s="76" t="s">
        <v>29</v>
      </c>
      <c r="B51" s="60" t="str">
        <f t="shared" si="10"/>
        <v>A-III</v>
      </c>
      <c r="C51" s="76" t="e">
        <f t="shared" si="11"/>
        <v>#N/A</v>
      </c>
      <c r="D51" s="76" t="e">
        <f t="shared" si="12"/>
        <v>#N/A</v>
      </c>
      <c r="E51" s="77">
        <v>1.44</v>
      </c>
      <c r="F51" s="77">
        <v>0.3</v>
      </c>
      <c r="G51" s="78">
        <f>F51*E51</f>
        <v>0.432</v>
      </c>
      <c r="H51" s="79">
        <v>18</v>
      </c>
      <c r="I51" s="79">
        <v>18</v>
      </c>
      <c r="J51" s="80">
        <f t="shared" si="13"/>
        <v>45.804420889339191</v>
      </c>
      <c r="K51" s="77">
        <f t="shared" si="14"/>
        <v>1.0602875205865554</v>
      </c>
      <c r="L51" s="81" t="e">
        <f t="shared" si="15"/>
        <v>#N/A</v>
      </c>
      <c r="M51" s="81" t="e">
        <f t="shared" si="16"/>
        <v>#N/A</v>
      </c>
      <c r="N51" s="81" t="e">
        <f t="shared" si="17"/>
        <v>#N/A</v>
      </c>
      <c r="O51" s="66" t="e">
        <f t="shared" si="18"/>
        <v>#N/A</v>
      </c>
    </row>
    <row r="52" spans="1:15" s="90" customFormat="1" ht="15.95" customHeight="1">
      <c r="A52" s="83" t="s">
        <v>29</v>
      </c>
      <c r="B52" s="60" t="str">
        <f t="shared" si="10"/>
        <v>A-III</v>
      </c>
      <c r="C52" s="83" t="e">
        <f t="shared" si="11"/>
        <v>#N/A</v>
      </c>
      <c r="D52" s="83" t="e">
        <f t="shared" si="12"/>
        <v>#N/A</v>
      </c>
      <c r="E52" s="84">
        <f>E51</f>
        <v>1.44</v>
      </c>
      <c r="F52" s="84">
        <f>F51</f>
        <v>0.3</v>
      </c>
      <c r="G52" s="85">
        <f>G51</f>
        <v>0.432</v>
      </c>
      <c r="H52" s="86">
        <v>25</v>
      </c>
      <c r="I52" s="86">
        <v>10</v>
      </c>
      <c r="J52" s="87">
        <f t="shared" si="13"/>
        <v>49.087385212340521</v>
      </c>
      <c r="K52" s="84">
        <f t="shared" si="14"/>
        <v>1.136282065100475</v>
      </c>
      <c r="L52" s="88" t="e">
        <f t="shared" si="15"/>
        <v>#N/A</v>
      </c>
      <c r="M52" s="88" t="e">
        <f t="shared" si="16"/>
        <v>#N/A</v>
      </c>
      <c r="N52" s="88" t="e">
        <f t="shared" si="17"/>
        <v>#N/A</v>
      </c>
      <c r="O52" s="89" t="e">
        <f t="shared" si="18"/>
        <v>#N/A</v>
      </c>
    </row>
    <row r="53" spans="1:15" s="82" customFormat="1" ht="15.95" customHeight="1">
      <c r="A53" s="76" t="s">
        <v>29</v>
      </c>
      <c r="B53" s="60" t="str">
        <f t="shared" si="10"/>
        <v>A-II</v>
      </c>
      <c r="C53" s="76" t="e">
        <f>HLOOKUP(A53,Betong,5,FALSE)*10^3</f>
        <v>#N/A</v>
      </c>
      <c r="D53" s="76" t="e">
        <f>HLOOKUP(B53,Cotthep,4,FALSE)*10^3</f>
        <v>#N/A</v>
      </c>
      <c r="E53" s="77">
        <v>1.4</v>
      </c>
      <c r="F53" s="77">
        <v>0.24</v>
      </c>
      <c r="G53" s="78">
        <f>F53*E53</f>
        <v>0.33599999999999997</v>
      </c>
      <c r="H53" s="79">
        <v>16</v>
      </c>
      <c r="I53" s="79">
        <v>18</v>
      </c>
      <c r="J53" s="80">
        <f>PI()*(H53/10)^2/4*I53</f>
        <v>36.191147369354418</v>
      </c>
      <c r="K53" s="77">
        <f>J53/G53/100</f>
        <v>1.0771174812307864</v>
      </c>
      <c r="L53" s="81" t="e">
        <f>G53*C53</f>
        <v>#N/A</v>
      </c>
      <c r="M53" s="81" t="e">
        <f>J53*D53/10^4</f>
        <v>#N/A</v>
      </c>
      <c r="N53" s="81" t="e">
        <f>L53+M53</f>
        <v>#N/A</v>
      </c>
      <c r="O53" s="66" t="e">
        <f t="shared" si="18"/>
        <v>#N/A</v>
      </c>
    </row>
    <row r="54" spans="1:15" s="90" customFormat="1" ht="15.95" customHeight="1">
      <c r="A54" s="83" t="s">
        <v>29</v>
      </c>
      <c r="B54" s="60" t="str">
        <f t="shared" si="10"/>
        <v>A-III</v>
      </c>
      <c r="C54" s="83" t="e">
        <f>HLOOKUP(A54,Betong,5,FALSE)*10^3</f>
        <v>#N/A</v>
      </c>
      <c r="D54" s="83" t="e">
        <f>HLOOKUP(B54,Cotthep,4,FALSE)*10^3</f>
        <v>#N/A</v>
      </c>
      <c r="E54" s="84">
        <f>E53</f>
        <v>1.4</v>
      </c>
      <c r="F54" s="84">
        <f>F53</f>
        <v>0.24</v>
      </c>
      <c r="G54" s="85">
        <f>G53</f>
        <v>0.33599999999999997</v>
      </c>
      <c r="H54" s="86">
        <v>25</v>
      </c>
      <c r="I54" s="86">
        <v>7</v>
      </c>
      <c r="J54" s="87">
        <f>PI()*(H54/10)^2/4*I54</f>
        <v>34.361169648638366</v>
      </c>
      <c r="K54" s="84">
        <f>J54/G54/100</f>
        <v>1.0226538585904277</v>
      </c>
      <c r="L54" s="88" t="e">
        <f>G54*C54</f>
        <v>#N/A</v>
      </c>
      <c r="M54" s="88" t="e">
        <f>J54*D54/10^4</f>
        <v>#N/A</v>
      </c>
      <c r="N54" s="88" t="e">
        <f>L54+M54</f>
        <v>#N/A</v>
      </c>
      <c r="O54" s="89" t="e">
        <f t="shared" si="18"/>
        <v>#N/A</v>
      </c>
    </row>
    <row r="55" spans="1:15" s="82" customFormat="1" ht="15.95" customHeight="1">
      <c r="A55" s="76" t="s">
        <v>29</v>
      </c>
      <c r="B55" s="60" t="str">
        <f t="shared" si="10"/>
        <v>A-II</v>
      </c>
      <c r="C55" s="76" t="e">
        <f t="shared" si="11"/>
        <v>#N/A</v>
      </c>
      <c r="D55" s="76" t="e">
        <f t="shared" si="12"/>
        <v>#N/A</v>
      </c>
      <c r="E55" s="77">
        <v>1.2</v>
      </c>
      <c r="F55" s="77">
        <v>0.24</v>
      </c>
      <c r="G55" s="78">
        <f>F55*E55</f>
        <v>0.28799999999999998</v>
      </c>
      <c r="H55" s="79">
        <v>16</v>
      </c>
      <c r="I55" s="79">
        <v>16</v>
      </c>
      <c r="J55" s="80">
        <f t="shared" si="13"/>
        <v>32.169908772759484</v>
      </c>
      <c r="K55" s="77">
        <f t="shared" si="14"/>
        <v>1.1170107212763711</v>
      </c>
      <c r="L55" s="81" t="e">
        <f t="shared" si="15"/>
        <v>#N/A</v>
      </c>
      <c r="M55" s="81" t="e">
        <f t="shared" si="16"/>
        <v>#N/A</v>
      </c>
      <c r="N55" s="81" t="e">
        <f t="shared" si="17"/>
        <v>#N/A</v>
      </c>
      <c r="O55" s="66" t="e">
        <f t="shared" si="18"/>
        <v>#N/A</v>
      </c>
    </row>
    <row r="56" spans="1:15" s="90" customFormat="1" ht="15.95" customHeight="1">
      <c r="A56" s="83" t="s">
        <v>29</v>
      </c>
      <c r="B56" s="60" t="str">
        <f t="shared" si="10"/>
        <v>A-III</v>
      </c>
      <c r="C56" s="83" t="e">
        <f t="shared" si="11"/>
        <v>#N/A</v>
      </c>
      <c r="D56" s="83" t="e">
        <f t="shared" si="12"/>
        <v>#N/A</v>
      </c>
      <c r="E56" s="84">
        <f>E55</f>
        <v>1.2</v>
      </c>
      <c r="F56" s="84">
        <f>F55</f>
        <v>0.24</v>
      </c>
      <c r="G56" s="85">
        <f>G55</f>
        <v>0.28799999999999998</v>
      </c>
      <c r="H56" s="86">
        <v>25</v>
      </c>
      <c r="I56" s="86">
        <v>6</v>
      </c>
      <c r="J56" s="87">
        <f t="shared" si="13"/>
        <v>29.45243112740431</v>
      </c>
      <c r="K56" s="84">
        <f t="shared" si="14"/>
        <v>1.0226538585904275</v>
      </c>
      <c r="L56" s="88" t="e">
        <f t="shared" si="15"/>
        <v>#N/A</v>
      </c>
      <c r="M56" s="88" t="e">
        <f t="shared" si="16"/>
        <v>#N/A</v>
      </c>
      <c r="N56" s="88" t="e">
        <f t="shared" si="17"/>
        <v>#N/A</v>
      </c>
      <c r="O56" s="89" t="e">
        <f t="shared" si="18"/>
        <v>#N/A</v>
      </c>
    </row>
    <row r="57" spans="1:15" s="82" customFormat="1" ht="15.95" customHeight="1">
      <c r="A57" s="76" t="s">
        <v>29</v>
      </c>
      <c r="B57" s="60" t="str">
        <f t="shared" si="10"/>
        <v>A-II</v>
      </c>
      <c r="C57" s="76" t="e">
        <f t="shared" si="11"/>
        <v>#N/A</v>
      </c>
      <c r="D57" s="76" t="e">
        <f t="shared" si="12"/>
        <v>#N/A</v>
      </c>
      <c r="E57" s="77">
        <v>0.64</v>
      </c>
      <c r="F57" s="77">
        <v>0.24</v>
      </c>
      <c r="G57" s="78">
        <f>F57*E57</f>
        <v>0.15359999999999999</v>
      </c>
      <c r="H57" s="79">
        <v>16</v>
      </c>
      <c r="I57" s="79">
        <v>8</v>
      </c>
      <c r="J57" s="80">
        <f t="shared" si="13"/>
        <v>16.084954386379742</v>
      </c>
      <c r="K57" s="77">
        <f t="shared" si="14"/>
        <v>1.0471975511965979</v>
      </c>
      <c r="L57" s="81" t="e">
        <f t="shared" si="15"/>
        <v>#N/A</v>
      </c>
      <c r="M57" s="81" t="e">
        <f t="shared" si="16"/>
        <v>#N/A</v>
      </c>
      <c r="N57" s="81" t="e">
        <f t="shared" si="17"/>
        <v>#N/A</v>
      </c>
      <c r="O57" s="66" t="e">
        <f t="shared" si="18"/>
        <v>#N/A</v>
      </c>
    </row>
    <row r="58" spans="1:15" s="90" customFormat="1" ht="15.95" customHeight="1">
      <c r="A58" s="83" t="s">
        <v>29</v>
      </c>
      <c r="B58" s="60" t="str">
        <f t="shared" si="10"/>
        <v>A-III</v>
      </c>
      <c r="C58" s="83" t="e">
        <f t="shared" si="11"/>
        <v>#N/A</v>
      </c>
      <c r="D58" s="83" t="e">
        <f t="shared" si="12"/>
        <v>#N/A</v>
      </c>
      <c r="E58" s="84">
        <f>E57</f>
        <v>0.64</v>
      </c>
      <c r="F58" s="84">
        <f>F57</f>
        <v>0.24</v>
      </c>
      <c r="G58" s="85">
        <f>G57</f>
        <v>0.15359999999999999</v>
      </c>
      <c r="H58" s="86">
        <v>25</v>
      </c>
      <c r="I58" s="86">
        <v>4</v>
      </c>
      <c r="J58" s="87">
        <f t="shared" si="13"/>
        <v>19.634954084936208</v>
      </c>
      <c r="K58" s="84">
        <f t="shared" si="14"/>
        <v>1.2783173232380345</v>
      </c>
      <c r="L58" s="88" t="e">
        <f t="shared" si="15"/>
        <v>#N/A</v>
      </c>
      <c r="M58" s="88" t="e">
        <f t="shared" si="16"/>
        <v>#N/A</v>
      </c>
      <c r="N58" s="88" t="e">
        <f t="shared" si="17"/>
        <v>#N/A</v>
      </c>
      <c r="O58" s="89" t="e">
        <f t="shared" si="18"/>
        <v>#N/A</v>
      </c>
    </row>
    <row r="59" spans="1:15" ht="15.95" customHeight="1">
      <c r="B59" s="60"/>
    </row>
    <row r="60" spans="1:15" s="82" customFormat="1" ht="15.95" customHeight="1">
      <c r="A60" s="76" t="s">
        <v>29</v>
      </c>
      <c r="B60" s="60" t="str">
        <f t="shared" si="10"/>
        <v>A-II</v>
      </c>
      <c r="C60" s="76" t="e">
        <f>HLOOKUP(A60,Betong,5,FALSE)*10^3</f>
        <v>#N/A</v>
      </c>
      <c r="D60" s="76" t="e">
        <f>HLOOKUP(B60,Cotthep,4,FALSE)*10^3</f>
        <v>#N/A</v>
      </c>
      <c r="E60" s="77" t="s">
        <v>113</v>
      </c>
      <c r="F60" s="77">
        <v>0.24</v>
      </c>
      <c r="G60" s="78">
        <v>0.27839999999999998</v>
      </c>
      <c r="H60" s="79">
        <v>16</v>
      </c>
      <c r="I60" s="79">
        <v>14</v>
      </c>
      <c r="J60" s="80">
        <f>PI()*(H60/10)^2/4*I60</f>
        <v>28.148670176164551</v>
      </c>
      <c r="K60" s="77">
        <f>J60/G60/100</f>
        <v>1.0110872908105084</v>
      </c>
      <c r="L60" s="81" t="e">
        <f>G60*C60</f>
        <v>#N/A</v>
      </c>
      <c r="M60" s="81" t="e">
        <f>J60*D60/10^4</f>
        <v>#N/A</v>
      </c>
      <c r="N60" s="81" t="e">
        <f>L60+M60</f>
        <v>#N/A</v>
      </c>
      <c r="O60" s="66" t="e">
        <f t="shared" ref="O60:O67" si="19">N60/1.2</f>
        <v>#N/A</v>
      </c>
    </row>
    <row r="61" spans="1:15" s="90" customFormat="1" ht="15.95" customHeight="1">
      <c r="A61" s="83" t="s">
        <v>29</v>
      </c>
      <c r="B61" s="60" t="str">
        <f t="shared" si="10"/>
        <v>A-III</v>
      </c>
      <c r="C61" s="83" t="e">
        <f>HLOOKUP(A61,Betong,5,FALSE)*10^3</f>
        <v>#N/A</v>
      </c>
      <c r="D61" s="83" t="e">
        <f>HLOOKUP(B61,Cotthep,4,FALSE)*10^3</f>
        <v>#N/A</v>
      </c>
      <c r="E61" s="84" t="str">
        <f>E60</f>
        <v>0.6x0.8</v>
      </c>
      <c r="F61" s="84">
        <f>F60</f>
        <v>0.24</v>
      </c>
      <c r="G61" s="85">
        <f>G60</f>
        <v>0.27839999999999998</v>
      </c>
      <c r="H61" s="86">
        <v>25</v>
      </c>
      <c r="I61" s="86">
        <v>6</v>
      </c>
      <c r="J61" s="87">
        <f>PI()*(H61/10)^2/4*I61</f>
        <v>29.45243112740431</v>
      </c>
      <c r="K61" s="84">
        <f>J61/G61/100</f>
        <v>1.057917784748718</v>
      </c>
      <c r="L61" s="88" t="e">
        <f>G61*C61</f>
        <v>#N/A</v>
      </c>
      <c r="M61" s="88" t="e">
        <f>J61*D61/10^4</f>
        <v>#N/A</v>
      </c>
      <c r="N61" s="88" t="e">
        <f>L61+M61</f>
        <v>#N/A</v>
      </c>
      <c r="O61" s="89" t="e">
        <f t="shared" si="19"/>
        <v>#N/A</v>
      </c>
    </row>
    <row r="62" spans="1:15" s="82" customFormat="1" ht="15.95" customHeight="1">
      <c r="A62" s="76" t="s">
        <v>29</v>
      </c>
      <c r="B62" s="60" t="str">
        <f t="shared" si="10"/>
        <v>A-II</v>
      </c>
      <c r="C62" s="76" t="e">
        <f t="shared" ref="C62:C67" si="20">HLOOKUP(A62,Betong,5,FALSE)*10^3</f>
        <v>#N/A</v>
      </c>
      <c r="D62" s="76" t="e">
        <f t="shared" ref="D62:D67" si="21">HLOOKUP(B62,Cotthep,4,FALSE)*10^3</f>
        <v>#N/A</v>
      </c>
      <c r="E62" s="77" t="s">
        <v>109</v>
      </c>
      <c r="F62" s="77">
        <v>0.24</v>
      </c>
      <c r="G62" s="78">
        <v>0.3024</v>
      </c>
      <c r="H62" s="79">
        <v>16</v>
      </c>
      <c r="I62" s="79">
        <v>16</v>
      </c>
      <c r="J62" s="80">
        <f t="shared" ref="J62:J67" si="22">PI()*(H62/10)^2/4*I62</f>
        <v>32.169908772759484</v>
      </c>
      <c r="K62" s="77">
        <f t="shared" ref="K62:K67" si="23">J62/G62/100</f>
        <v>1.0638197345489246</v>
      </c>
      <c r="L62" s="81" t="e">
        <f t="shared" ref="L62:L67" si="24">G62*C62</f>
        <v>#N/A</v>
      </c>
      <c r="M62" s="81" t="e">
        <f t="shared" ref="M62:M67" si="25">J62*D62/10^4</f>
        <v>#N/A</v>
      </c>
      <c r="N62" s="81" t="e">
        <f t="shared" ref="N62:N67" si="26">L62+M62</f>
        <v>#N/A</v>
      </c>
      <c r="O62" s="66" t="e">
        <f t="shared" si="19"/>
        <v>#N/A</v>
      </c>
    </row>
    <row r="63" spans="1:15" s="90" customFormat="1" ht="15.95" customHeight="1">
      <c r="A63" s="83" t="s">
        <v>29</v>
      </c>
      <c r="B63" s="60" t="str">
        <f t="shared" si="10"/>
        <v>A-III</v>
      </c>
      <c r="C63" s="83" t="e">
        <f t="shared" si="20"/>
        <v>#N/A</v>
      </c>
      <c r="D63" s="83" t="e">
        <f t="shared" si="21"/>
        <v>#N/A</v>
      </c>
      <c r="E63" s="84" t="str">
        <f>E62</f>
        <v>0.6x0.9</v>
      </c>
      <c r="F63" s="84">
        <f>F62</f>
        <v>0.24</v>
      </c>
      <c r="G63" s="85">
        <f>G62</f>
        <v>0.3024</v>
      </c>
      <c r="H63" s="86">
        <v>25</v>
      </c>
      <c r="I63" s="86">
        <v>7</v>
      </c>
      <c r="J63" s="87">
        <f t="shared" si="22"/>
        <v>34.361169648638366</v>
      </c>
      <c r="K63" s="84">
        <f t="shared" si="23"/>
        <v>1.136282065100475</v>
      </c>
      <c r="L63" s="88" t="e">
        <f t="shared" si="24"/>
        <v>#N/A</v>
      </c>
      <c r="M63" s="88" t="e">
        <f t="shared" si="25"/>
        <v>#N/A</v>
      </c>
      <c r="N63" s="88" t="e">
        <f t="shared" si="26"/>
        <v>#N/A</v>
      </c>
      <c r="O63" s="89" t="e">
        <f t="shared" si="19"/>
        <v>#N/A</v>
      </c>
    </row>
    <row r="64" spans="1:15" s="82" customFormat="1" ht="15.95" customHeight="1">
      <c r="A64" s="76" t="s">
        <v>29</v>
      </c>
      <c r="B64" s="60" t="str">
        <f t="shared" si="10"/>
        <v>A-II</v>
      </c>
      <c r="C64" s="76" t="e">
        <f t="shared" si="20"/>
        <v>#N/A</v>
      </c>
      <c r="D64" s="76" t="e">
        <f t="shared" si="21"/>
        <v>#N/A</v>
      </c>
      <c r="E64" s="77" t="s">
        <v>109</v>
      </c>
      <c r="F64" s="77">
        <v>0.24</v>
      </c>
      <c r="G64" s="78">
        <v>0.34217999999999998</v>
      </c>
      <c r="H64" s="79">
        <v>16</v>
      </c>
      <c r="I64" s="79">
        <v>19</v>
      </c>
      <c r="J64" s="80">
        <f t="shared" si="22"/>
        <v>38.201766667651889</v>
      </c>
      <c r="K64" s="77">
        <f t="shared" si="23"/>
        <v>1.1164231301552368</v>
      </c>
      <c r="L64" s="81" t="e">
        <f t="shared" si="24"/>
        <v>#N/A</v>
      </c>
      <c r="M64" s="81" t="e">
        <f t="shared" si="25"/>
        <v>#N/A</v>
      </c>
      <c r="N64" s="81" t="e">
        <f t="shared" si="26"/>
        <v>#N/A</v>
      </c>
      <c r="O64" s="66" t="e">
        <f t="shared" si="19"/>
        <v>#N/A</v>
      </c>
    </row>
    <row r="65" spans="1:15" s="90" customFormat="1" ht="15.95" customHeight="1">
      <c r="A65" s="83" t="s">
        <v>29</v>
      </c>
      <c r="B65" s="60" t="str">
        <f t="shared" si="10"/>
        <v>A-III</v>
      </c>
      <c r="C65" s="83" t="e">
        <f t="shared" si="20"/>
        <v>#N/A</v>
      </c>
      <c r="D65" s="83" t="e">
        <f t="shared" si="21"/>
        <v>#N/A</v>
      </c>
      <c r="E65" s="84" t="str">
        <f>E64</f>
        <v>0.6x0.9</v>
      </c>
      <c r="F65" s="84">
        <f>F64</f>
        <v>0.24</v>
      </c>
      <c r="G65" s="85">
        <f>G64</f>
        <v>0.34217999999999998</v>
      </c>
      <c r="H65" s="86">
        <v>25</v>
      </c>
      <c r="I65" s="86">
        <v>8</v>
      </c>
      <c r="J65" s="87">
        <f t="shared" si="22"/>
        <v>39.269908169872416</v>
      </c>
      <c r="K65" s="84">
        <f t="shared" si="23"/>
        <v>1.1476389084654981</v>
      </c>
      <c r="L65" s="88" t="e">
        <f t="shared" si="24"/>
        <v>#N/A</v>
      </c>
      <c r="M65" s="88" t="e">
        <f t="shared" si="25"/>
        <v>#N/A</v>
      </c>
      <c r="N65" s="88" t="e">
        <f t="shared" si="26"/>
        <v>#N/A</v>
      </c>
      <c r="O65" s="89" t="e">
        <f t="shared" si="19"/>
        <v>#N/A</v>
      </c>
    </row>
    <row r="66" spans="1:15" s="82" customFormat="1" ht="15.95" customHeight="1">
      <c r="A66" s="76" t="s">
        <v>29</v>
      </c>
      <c r="B66" s="60" t="str">
        <f t="shared" si="10"/>
        <v>A-III</v>
      </c>
      <c r="C66" s="76" t="e">
        <f t="shared" si="20"/>
        <v>#N/A</v>
      </c>
      <c r="D66" s="76" t="e">
        <f t="shared" si="21"/>
        <v>#N/A</v>
      </c>
      <c r="E66" s="77" t="s">
        <v>109</v>
      </c>
      <c r="F66" s="77">
        <v>0.24</v>
      </c>
      <c r="G66" s="78">
        <v>0.47715999999999997</v>
      </c>
      <c r="H66" s="79">
        <v>18</v>
      </c>
      <c r="I66" s="79">
        <v>20</v>
      </c>
      <c r="J66" s="80">
        <f t="shared" si="22"/>
        <v>50.893800988154652</v>
      </c>
      <c r="K66" s="77">
        <f t="shared" si="23"/>
        <v>1.0665982267615612</v>
      </c>
      <c r="L66" s="81" t="e">
        <f t="shared" si="24"/>
        <v>#N/A</v>
      </c>
      <c r="M66" s="81" t="e">
        <f t="shared" si="25"/>
        <v>#N/A</v>
      </c>
      <c r="N66" s="81" t="e">
        <f t="shared" si="26"/>
        <v>#N/A</v>
      </c>
      <c r="O66" s="66" t="e">
        <f t="shared" si="19"/>
        <v>#N/A</v>
      </c>
    </row>
    <row r="67" spans="1:15" s="90" customFormat="1" ht="15.95" customHeight="1">
      <c r="A67" s="83" t="s">
        <v>29</v>
      </c>
      <c r="B67" s="60" t="str">
        <f t="shared" si="10"/>
        <v>A-III</v>
      </c>
      <c r="C67" s="83" t="e">
        <f t="shared" si="20"/>
        <v>#N/A</v>
      </c>
      <c r="D67" s="83" t="e">
        <f t="shared" si="21"/>
        <v>#N/A</v>
      </c>
      <c r="E67" s="84" t="str">
        <f>E66</f>
        <v>0.6x0.9</v>
      </c>
      <c r="F67" s="84">
        <f>F66</f>
        <v>0.24</v>
      </c>
      <c r="G67" s="85">
        <f>G66</f>
        <v>0.47715999999999997</v>
      </c>
      <c r="H67" s="86">
        <v>25</v>
      </c>
      <c r="I67" s="86">
        <v>11</v>
      </c>
      <c r="J67" s="87">
        <f t="shared" si="22"/>
        <v>53.996123733574571</v>
      </c>
      <c r="K67" s="84">
        <f t="shared" si="23"/>
        <v>1.1316146310163169</v>
      </c>
      <c r="L67" s="88" t="e">
        <f t="shared" si="24"/>
        <v>#N/A</v>
      </c>
      <c r="M67" s="88" t="e">
        <f t="shared" si="25"/>
        <v>#N/A</v>
      </c>
      <c r="N67" s="88" t="e">
        <f t="shared" si="26"/>
        <v>#N/A</v>
      </c>
      <c r="O67" s="89" t="e">
        <f t="shared" si="19"/>
        <v>#N/A</v>
      </c>
    </row>
    <row r="68" spans="1:15" ht="15.95" customHeight="1">
      <c r="B68" s="60"/>
    </row>
    <row r="69" spans="1:15" s="82" customFormat="1" ht="15.95" customHeight="1">
      <c r="A69" s="76" t="s">
        <v>29</v>
      </c>
      <c r="B69" s="60" t="str">
        <f t="shared" si="10"/>
        <v>A-II</v>
      </c>
      <c r="C69" s="76" t="e">
        <f>HLOOKUP(A69,Betong,5,FALSE)*10^3</f>
        <v>#N/A</v>
      </c>
      <c r="D69" s="76" t="e">
        <f>HLOOKUP(B69,Cotthep,4,FALSE)*10^3</f>
        <v>#N/A</v>
      </c>
      <c r="E69" s="77" t="s">
        <v>67</v>
      </c>
      <c r="F69" s="77">
        <v>0.24</v>
      </c>
      <c r="G69" s="78">
        <v>0.23039999999999999</v>
      </c>
      <c r="H69" s="79">
        <v>16</v>
      </c>
      <c r="I69" s="79">
        <v>16</v>
      </c>
      <c r="J69" s="80">
        <f>PI()*(H69/10)^2/4*I69</f>
        <v>32.169908772759484</v>
      </c>
      <c r="K69" s="77">
        <f>J69/G69/100</f>
        <v>1.3962634015954638</v>
      </c>
      <c r="L69" s="81" t="e">
        <f>G69*C69</f>
        <v>#N/A</v>
      </c>
      <c r="M69" s="81" t="e">
        <f>J69*D69/10^4</f>
        <v>#N/A</v>
      </c>
      <c r="N69" s="81" t="e">
        <f>L69+M69</f>
        <v>#N/A</v>
      </c>
      <c r="O69" s="66" t="e">
        <f>N69/1.2</f>
        <v>#N/A</v>
      </c>
    </row>
    <row r="70" spans="1:15" s="90" customFormat="1" ht="15.95" customHeight="1">
      <c r="A70" s="83" t="s">
        <v>29</v>
      </c>
      <c r="B70" s="60" t="str">
        <f t="shared" si="10"/>
        <v>A-III</v>
      </c>
      <c r="C70" s="83" t="e">
        <f>HLOOKUP(A70,Betong,5,FALSE)*10^3</f>
        <v>#N/A</v>
      </c>
      <c r="D70" s="83" t="e">
        <f>HLOOKUP(B70,Cotthep,4,FALSE)*10^3</f>
        <v>#N/A</v>
      </c>
      <c r="E70" s="84" t="str">
        <f>E69</f>
        <v>0.6x0.6</v>
      </c>
      <c r="F70" s="84">
        <f>F69</f>
        <v>0.24</v>
      </c>
      <c r="G70" s="85">
        <f>G69</f>
        <v>0.23039999999999999</v>
      </c>
      <c r="H70" s="86">
        <v>25</v>
      </c>
      <c r="I70" s="86">
        <v>7</v>
      </c>
      <c r="J70" s="87">
        <f>PI()*(H70/10)^2/4*I70</f>
        <v>34.361169648638366</v>
      </c>
      <c r="K70" s="84">
        <f>J70/G70/100</f>
        <v>1.4913702104443736</v>
      </c>
      <c r="L70" s="88" t="e">
        <f>G70*C70</f>
        <v>#N/A</v>
      </c>
      <c r="M70" s="88" t="e">
        <f>J70*D70/10^4</f>
        <v>#N/A</v>
      </c>
      <c r="N70" s="88" t="e">
        <f>L70+M70</f>
        <v>#N/A</v>
      </c>
      <c r="O70" s="89" t="e">
        <f>N70/1.2</f>
        <v>#N/A</v>
      </c>
    </row>
    <row r="71" spans="1:15" s="82" customFormat="1" ht="15.95" customHeight="1">
      <c r="A71" s="76" t="s">
        <v>29</v>
      </c>
      <c r="B71" s="60" t="str">
        <f t="shared" si="10"/>
        <v>A-II</v>
      </c>
      <c r="C71" s="76" t="e">
        <f>HLOOKUP(A71,Betong,5,FALSE)*10^3</f>
        <v>#N/A</v>
      </c>
      <c r="D71" s="76" t="e">
        <f>HLOOKUP(B71,Cotthep,4,FALSE)*10^3</f>
        <v>#N/A</v>
      </c>
      <c r="E71" s="77" t="s">
        <v>67</v>
      </c>
      <c r="F71" s="77">
        <v>0.3</v>
      </c>
      <c r="G71" s="78">
        <v>0.252</v>
      </c>
      <c r="H71" s="79">
        <v>16</v>
      </c>
      <c r="I71" s="79">
        <v>18</v>
      </c>
      <c r="J71" s="80">
        <f>PI()*(H71/10)^2/4*I71</f>
        <v>36.191147369354418</v>
      </c>
      <c r="K71" s="77">
        <f>J71/G71/100</f>
        <v>1.4361566416410483</v>
      </c>
      <c r="L71" s="81" t="e">
        <f>G71*C71</f>
        <v>#N/A</v>
      </c>
      <c r="M71" s="81" t="e">
        <f>J71*D71/10^4</f>
        <v>#N/A</v>
      </c>
      <c r="N71" s="81" t="e">
        <f>L71+M71</f>
        <v>#N/A</v>
      </c>
      <c r="O71" s="66" t="e">
        <f>N71/1.2</f>
        <v>#N/A</v>
      </c>
    </row>
    <row r="72" spans="1:15" s="90" customFormat="1" ht="15.95" customHeight="1">
      <c r="A72" s="83" t="s">
        <v>29</v>
      </c>
      <c r="B72" s="60" t="str">
        <f t="shared" si="10"/>
        <v>A-III</v>
      </c>
      <c r="C72" s="83" t="e">
        <f>HLOOKUP(A72,Betong,5,FALSE)*10^3</f>
        <v>#N/A</v>
      </c>
      <c r="D72" s="83" t="e">
        <f>HLOOKUP(B72,Cotthep,4,FALSE)*10^3</f>
        <v>#N/A</v>
      </c>
      <c r="E72" s="84" t="str">
        <f>E71</f>
        <v>0.6x0.6</v>
      </c>
      <c r="F72" s="84">
        <f>F71</f>
        <v>0.3</v>
      </c>
      <c r="G72" s="85">
        <f>G71</f>
        <v>0.252</v>
      </c>
      <c r="H72" s="86">
        <v>25</v>
      </c>
      <c r="I72" s="86">
        <v>8</v>
      </c>
      <c r="J72" s="87">
        <f>PI()*(H72/10)^2/4*I72</f>
        <v>39.269908169872416</v>
      </c>
      <c r="K72" s="84">
        <f>J72/G72/100</f>
        <v>1.5583296892806513</v>
      </c>
      <c r="L72" s="88" t="e">
        <f>G72*C72</f>
        <v>#N/A</v>
      </c>
      <c r="M72" s="88" t="e">
        <f>J72*D72/10^4</f>
        <v>#N/A</v>
      </c>
      <c r="N72" s="88" t="e">
        <f>L72+M72</f>
        <v>#N/A</v>
      </c>
      <c r="O72" s="89" t="e">
        <f>N72/1.2</f>
        <v>#N/A</v>
      </c>
    </row>
    <row r="137" spans="10:10" ht="15.95" customHeight="1">
      <c r="J137" s="37" t="s">
        <v>60</v>
      </c>
    </row>
  </sheetData>
  <mergeCells count="15">
    <mergeCell ref="M1:M2"/>
    <mergeCell ref="C2:K3"/>
    <mergeCell ref="A1:K1"/>
    <mergeCell ref="B2:B3"/>
    <mergeCell ref="A2:A3"/>
    <mergeCell ref="L1:L2"/>
    <mergeCell ref="A20:B20"/>
    <mergeCell ref="C20:D20"/>
    <mergeCell ref="E20:G20"/>
    <mergeCell ref="H20:J20"/>
    <mergeCell ref="O20:O21"/>
    <mergeCell ref="N20:N21"/>
    <mergeCell ref="K20:K21"/>
    <mergeCell ref="L20:L21"/>
    <mergeCell ref="M20:M21"/>
  </mergeCells>
  <phoneticPr fontId="33" type="noConversion"/>
  <dataValidations disablePrompts="1" count="1">
    <dataValidation type="list" allowBlank="1" showInputMessage="1" showErrorMessage="1" sqref="A60:A67 A69:A72 A22:A58">
      <formula1>"M200,M250,M300,M350,M400,M450,M500,M600"</formula1>
    </dataValidation>
  </dataValidations>
  <printOptions horizontalCentered="1"/>
  <pageMargins left="0.47" right="0.24" top="0.61" bottom="1" header="0.5" footer="0.5"/>
  <pageSetup paperSize="9" orientation="landscape" horizontalDpi="4294967292"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59999389629810485"/>
  </sheetPr>
  <dimension ref="A1:J38"/>
  <sheetViews>
    <sheetView view="pageBreakPreview" zoomScale="85" zoomScaleNormal="100" zoomScaleSheetLayoutView="85" workbookViewId="0">
      <selection activeCell="E33" sqref="E33"/>
    </sheetView>
  </sheetViews>
  <sheetFormatPr defaultColWidth="7.77734375" defaultRowHeight="15.95" customHeight="1"/>
  <cols>
    <col min="1" max="1" width="3.109375" style="3" customWidth="1"/>
    <col min="2" max="2" width="10.5546875" style="3" customWidth="1"/>
    <col min="3" max="3" width="9.88671875" style="3" customWidth="1"/>
    <col min="4" max="4" width="9" style="3" customWidth="1"/>
    <col min="5" max="5" width="12.44140625" style="3" customWidth="1"/>
    <col min="6" max="6" width="9.5546875" style="3" customWidth="1"/>
    <col min="7" max="7" width="8.77734375" style="3" customWidth="1"/>
    <col min="8" max="8" width="8.88671875" style="3" customWidth="1"/>
    <col min="9" max="16384" width="7.77734375" style="3"/>
  </cols>
  <sheetData>
    <row r="1" spans="1:10" s="2" customFormat="1" ht="39.950000000000003" customHeight="1">
      <c r="A1" s="347"/>
      <c r="B1" s="348"/>
      <c r="C1" s="356" t="s">
        <v>386</v>
      </c>
      <c r="D1" s="357"/>
      <c r="E1" s="357"/>
      <c r="F1" s="358"/>
      <c r="G1" s="345" t="s">
        <v>374</v>
      </c>
      <c r="H1" s="346"/>
      <c r="I1" s="190"/>
    </row>
    <row r="2" spans="1:10" s="2" customFormat="1" ht="21.95" customHeight="1">
      <c r="A2" s="349"/>
      <c r="B2" s="350"/>
      <c r="C2" s="217" t="s">
        <v>358</v>
      </c>
      <c r="D2" s="353" t="s">
        <v>360</v>
      </c>
      <c r="E2" s="354"/>
      <c r="F2" s="355"/>
      <c r="G2" s="188" t="s">
        <v>362</v>
      </c>
      <c r="H2" s="188" t="s">
        <v>363</v>
      </c>
      <c r="I2" s="190"/>
    </row>
    <row r="3" spans="1:10" s="2" customFormat="1" ht="21.95" customHeight="1">
      <c r="A3" s="351"/>
      <c r="B3" s="352"/>
      <c r="C3" s="217" t="s">
        <v>359</v>
      </c>
      <c r="D3" s="353" t="s">
        <v>361</v>
      </c>
      <c r="E3" s="354"/>
      <c r="F3" s="355"/>
      <c r="G3" s="189" t="s">
        <v>68</v>
      </c>
      <c r="H3" s="189" t="s">
        <v>68</v>
      </c>
      <c r="I3" s="190"/>
    </row>
    <row r="4" spans="1:10" ht="15.95" customHeight="1">
      <c r="A4" s="190"/>
      <c r="B4" s="190"/>
      <c r="C4" s="190"/>
      <c r="D4" s="190"/>
      <c r="E4" s="190"/>
      <c r="F4" s="190"/>
      <c r="G4" s="190"/>
      <c r="H4" s="190"/>
      <c r="I4" s="190"/>
    </row>
    <row r="5" spans="1:10" ht="20.100000000000001" customHeight="1">
      <c r="A5" s="191" t="str">
        <f>IF(Lang.="V","1. Sức chịu tải của cọc theo vật liệu ","1. Pile's bearing capacity based on material")</f>
        <v xml:space="preserve">1. Sức chịu tải của cọc theo vật liệu </v>
      </c>
      <c r="B5" s="192"/>
      <c r="C5" s="192"/>
      <c r="D5" s="192"/>
      <c r="E5" s="192"/>
      <c r="F5" s="192"/>
      <c r="G5" s="193"/>
      <c r="H5" s="194"/>
      <c r="I5" s="161"/>
      <c r="J5" s="4"/>
    </row>
    <row r="6" spans="1:10" ht="20.100000000000001" customHeight="1">
      <c r="A6" s="195"/>
      <c r="B6" s="195" t="str">
        <f>IF(Lang.="V","Sức chịu tải cực hạn của cọc :","Ultimate bearing capacity of pile:")</f>
        <v>Sức chịu tải cực hạn của cọc :</v>
      </c>
      <c r="C6" s="195"/>
      <c r="D6" s="195"/>
      <c r="E6" s="195"/>
      <c r="F6" s="196" t="e">
        <f>IF(Language="v","Loại:","Type:")</f>
        <v>#REF!</v>
      </c>
      <c r="G6" s="216" t="s">
        <v>310</v>
      </c>
      <c r="H6" s="195"/>
      <c r="I6" s="160"/>
    </row>
    <row r="7" spans="1:10" ht="20.100000000000001" customHeight="1">
      <c r="A7" s="195"/>
      <c r="B7" s="195"/>
      <c r="C7" s="197" t="s">
        <v>365</v>
      </c>
      <c r="D7" s="195"/>
      <c r="E7" s="195"/>
      <c r="F7" s="195"/>
      <c r="G7" s="195"/>
      <c r="H7" s="195"/>
      <c r="I7" s="160"/>
    </row>
    <row r="8" spans="1:10" ht="20.100000000000001" customHeight="1">
      <c r="A8" s="195"/>
      <c r="B8" s="196" t="str">
        <f>IF(Lang.="V","Trong đó :","Where:")</f>
        <v>Trong đó :</v>
      </c>
      <c r="C8" s="195"/>
      <c r="D8" s="195"/>
      <c r="E8" s="195"/>
      <c r="F8" s="195"/>
      <c r="G8" s="195"/>
      <c r="H8" s="195"/>
      <c r="I8" s="160"/>
    </row>
    <row r="9" spans="1:10" ht="20.100000000000001" customHeight="1">
      <c r="A9" s="195"/>
      <c r="B9" s="215" t="s">
        <v>366</v>
      </c>
      <c r="C9" s="198" t="e">
        <f>IF(Language="v",":  Cường độ chịu nén của bêtông",":  Design compressive strength of concrete")</f>
        <v>#REF!</v>
      </c>
      <c r="D9" s="195"/>
      <c r="E9" s="195"/>
      <c r="F9" s="195"/>
      <c r="G9" s="199" t="s">
        <v>116</v>
      </c>
      <c r="H9" s="195"/>
      <c r="I9" s="160"/>
    </row>
    <row r="10" spans="1:10" ht="20.100000000000001" customHeight="1">
      <c r="A10" s="195"/>
      <c r="B10" s="215" t="s">
        <v>367</v>
      </c>
      <c r="C10" s="198" t="e">
        <f>IF(Language="v",":  Ứng suất do kéo cáp",":  Stress at centriod of section due to prestress")</f>
        <v>#REF!</v>
      </c>
      <c r="D10" s="195"/>
      <c r="E10" s="195"/>
      <c r="F10" s="195"/>
      <c r="G10" s="199" t="s">
        <v>116</v>
      </c>
      <c r="H10" s="195"/>
      <c r="I10" s="160"/>
    </row>
    <row r="11" spans="1:10" ht="20.100000000000001" customHeight="1">
      <c r="A11" s="195"/>
      <c r="B11" s="215" t="s">
        <v>368</v>
      </c>
      <c r="C11" s="198" t="e">
        <f>IF(Language="v",":  Diện tích tiết diện bêtông",":  The area of concrete cross section")</f>
        <v>#REF!</v>
      </c>
      <c r="D11" s="195"/>
      <c r="E11" s="195"/>
      <c r="F11" s="195"/>
      <c r="G11" s="200" t="s">
        <v>369</v>
      </c>
      <c r="H11" s="195"/>
      <c r="I11" s="160"/>
    </row>
    <row r="12" spans="1:10" ht="20.100000000000001" customHeight="1">
      <c r="A12" s="195"/>
      <c r="B12" s="215" t="s">
        <v>370</v>
      </c>
      <c r="C12" s="198" t="e">
        <f>IF(Language="v",":  Diện tích tiết diện thép",":  The area of steel")</f>
        <v>#REF!</v>
      </c>
      <c r="D12" s="195"/>
      <c r="E12" s="195"/>
      <c r="F12" s="195"/>
      <c r="G12" s="200" t="s">
        <v>369</v>
      </c>
      <c r="H12" s="195"/>
      <c r="I12" s="160"/>
    </row>
    <row r="13" spans="1:10" ht="20.100000000000001" customHeight="1">
      <c r="A13" s="195"/>
      <c r="B13" s="201"/>
      <c r="C13" s="198"/>
      <c r="D13" s="195"/>
      <c r="E13" s="195"/>
      <c r="F13" s="195"/>
      <c r="G13" s="195"/>
      <c r="H13" s="202"/>
      <c r="I13" s="160"/>
    </row>
    <row r="14" spans="1:10" ht="20.100000000000001" customHeight="1">
      <c r="A14" s="196" t="str">
        <f>IF(Lang.="V","2. Chi tiết cấu tạo cọc","2. Details of piles")</f>
        <v>2. Chi tiết cấu tạo cọc</v>
      </c>
      <c r="B14" s="195"/>
      <c r="C14" s="195"/>
      <c r="D14" s="195"/>
      <c r="E14" s="195"/>
      <c r="F14" s="195"/>
      <c r="G14" s="203"/>
      <c r="H14" s="195"/>
      <c r="I14" s="160"/>
    </row>
    <row r="15" spans="1:10" ht="20.100000000000001" customHeight="1">
      <c r="A15" s="196" t="str">
        <f>IF(Lang.="V","a.Vật liệu cọc:","Material of pile:")</f>
        <v>a.Vật liệu cọc:</v>
      </c>
      <c r="B15" s="196"/>
      <c r="C15" s="196"/>
      <c r="D15" s="195"/>
      <c r="E15" s="195"/>
      <c r="F15" s="195"/>
      <c r="G15" s="195"/>
      <c r="H15" s="195"/>
      <c r="I15" s="160"/>
    </row>
    <row r="16" spans="1:10" ht="20.100000000000001" customHeight="1">
      <c r="A16" s="195"/>
      <c r="B16" s="198" t="str">
        <f>IF(Lang.="v","Mác bêtông cọc ( mẫu lập phương 15x15x15)","Grade of concrete ( Cubic 15x15x15)")</f>
        <v>Mác bêtông cọc ( mẫu lập phương 15x15x15)</v>
      </c>
      <c r="C16" s="195"/>
      <c r="D16" s="195"/>
      <c r="E16" s="195"/>
      <c r="F16" s="231"/>
      <c r="G16" s="232" t="s">
        <v>41</v>
      </c>
      <c r="H16" s="220" t="str">
        <f>HLOOKUP($G$16,Betong,2,FALSE)</f>
        <v>M350</v>
      </c>
      <c r="I16" s="160"/>
    </row>
    <row r="17" spans="1:9" ht="20.100000000000001" customHeight="1">
      <c r="A17" s="195"/>
      <c r="B17" s="198" t="str">
        <f>IF(Lang.="v","Cường độ đặc trưng bêtông quy đổi ra mẫu trụ","Specified compressive strength of cocrete (Cylinder)")</f>
        <v>Cường độ đặc trưng bêtông quy đổi ra mẫu trụ</v>
      </c>
      <c r="C17" s="195"/>
      <c r="D17" s="195"/>
      <c r="E17" s="195"/>
      <c r="F17" s="231" t="s">
        <v>381</v>
      </c>
      <c r="G17" s="233">
        <f>RIGHT(H16,3)*0.8*0.7786/10</f>
        <v>21.800799999999999</v>
      </c>
      <c r="H17" s="199" t="s">
        <v>116</v>
      </c>
      <c r="I17" s="160"/>
    </row>
    <row r="18" spans="1:9" ht="20.100000000000001" customHeight="1">
      <c r="A18" s="195"/>
      <c r="B18" s="198" t="str">
        <f>IF(Lang.="v","Mô đun đàn hồi của bê tông","Elastic modulus of concrete")</f>
        <v>Mô đun đàn hồi của bê tông</v>
      </c>
      <c r="C18" s="195"/>
      <c r="D18" s="195"/>
      <c r="E18" s="195"/>
      <c r="F18" s="234" t="s">
        <v>382</v>
      </c>
      <c r="G18" s="205">
        <f>HLOOKUP($G$16,Betong,7,FALSE)</f>
        <v>30000</v>
      </c>
      <c r="H18" s="199" t="s">
        <v>116</v>
      </c>
      <c r="I18" s="160"/>
    </row>
    <row r="19" spans="1:9" ht="20.100000000000001" customHeight="1">
      <c r="A19" s="195"/>
      <c r="B19" s="195" t="str">
        <f>IF(Lang.="v","Nhóm cốt thép ","Type of reinforcement")</f>
        <v xml:space="preserve">Nhóm cốt thép </v>
      </c>
      <c r="C19" s="195"/>
      <c r="D19" s="195"/>
      <c r="E19" s="195"/>
      <c r="F19" s="231"/>
      <c r="G19" s="235" t="s">
        <v>355</v>
      </c>
      <c r="H19" s="200"/>
      <c r="I19" s="160"/>
    </row>
    <row r="20" spans="1:9" ht="20.100000000000001" customHeight="1">
      <c r="A20" s="195"/>
      <c r="B20" s="198" t="str">
        <f>IF(Lang.="v","Giới hạn chảy của cốt thép","Yield strength of reinforcement")</f>
        <v>Giới hạn chảy của cốt thép</v>
      </c>
      <c r="C20" s="195"/>
      <c r="D20" s="195"/>
      <c r="E20" s="195"/>
      <c r="F20" s="234" t="s">
        <v>383</v>
      </c>
      <c r="G20" s="205">
        <f>HLOOKUP($G$19,Cotthep,4,FALSE)</f>
        <v>280</v>
      </c>
      <c r="H20" s="199" t="s">
        <v>116</v>
      </c>
      <c r="I20" s="160"/>
    </row>
    <row r="21" spans="1:9" ht="20.100000000000001" customHeight="1">
      <c r="A21" s="195"/>
      <c r="B21" s="198" t="str">
        <f>IF(Lang.="v","Mô đun đàn hồi của thép","Elastic modulus of reinforcement")</f>
        <v>Mô đun đàn hồi của thép</v>
      </c>
      <c r="C21" s="195"/>
      <c r="D21" s="195"/>
      <c r="E21" s="195"/>
      <c r="F21" s="234" t="s">
        <v>384</v>
      </c>
      <c r="G21" s="205">
        <f>HLOOKUP($G$19,Cotthep,9,FALSE)</f>
        <v>210000</v>
      </c>
      <c r="H21" s="199" t="s">
        <v>116</v>
      </c>
      <c r="I21" s="160"/>
    </row>
    <row r="22" spans="1:9" ht="20.100000000000001" customHeight="1">
      <c r="A22" s="206"/>
      <c r="B22" s="206"/>
      <c r="C22" s="207"/>
      <c r="D22" s="206"/>
      <c r="E22" s="206"/>
      <c r="F22" s="206"/>
      <c r="G22" s="206"/>
      <c r="H22" s="206"/>
      <c r="I22" s="155"/>
    </row>
    <row r="23" spans="1:9" ht="20.100000000000001" customHeight="1">
      <c r="A23" s="196" t="str">
        <f>IF(Lang.="V","b.Cấu tạo cọc:","Composition of pile:")</f>
        <v>b.Cấu tạo cọc:</v>
      </c>
      <c r="B23" s="196"/>
      <c r="C23" s="196"/>
      <c r="D23" s="195"/>
      <c r="E23" s="195"/>
      <c r="F23" s="195"/>
      <c r="G23" s="195"/>
      <c r="H23" s="195"/>
      <c r="I23" s="160"/>
    </row>
    <row r="24" spans="1:9" ht="20.100000000000001" customHeight="1">
      <c r="A24" s="206"/>
      <c r="B24" s="198" t="str">
        <f>IF(Lang.="v","1. Cạnh (đường kính) cọc","1. Edge or diameter")</f>
        <v>1. Cạnh (đường kính) cọc</v>
      </c>
      <c r="C24" s="201"/>
      <c r="D24" s="195"/>
      <c r="E24" s="195"/>
      <c r="F24" s="221" t="s">
        <v>73</v>
      </c>
      <c r="G24" s="222">
        <v>1</v>
      </c>
      <c r="H24" s="200" t="s">
        <v>0</v>
      </c>
      <c r="I24" s="160"/>
    </row>
    <row r="25" spans="1:9" ht="20.100000000000001" customHeight="1">
      <c r="A25" s="206"/>
      <c r="B25" s="198" t="str">
        <f>IF(Lang.="v","2. Đường kính thép chủ","2. Diameter of main steel")</f>
        <v>2. Đường kính thép chủ</v>
      </c>
      <c r="C25" s="195"/>
      <c r="D25" s="195"/>
      <c r="E25" s="195"/>
      <c r="F25" s="223" t="s">
        <v>74</v>
      </c>
      <c r="G25" s="224">
        <v>20</v>
      </c>
      <c r="H25" s="200" t="s">
        <v>72</v>
      </c>
      <c r="I25" s="160"/>
    </row>
    <row r="26" spans="1:9" ht="20.100000000000001" customHeight="1">
      <c r="A26" s="206"/>
      <c r="B26" s="198" t="str">
        <f>IF(Lang.="v","3. Số lượng thép chủ","3. Number of main steel")</f>
        <v>3. Số lượng thép chủ</v>
      </c>
      <c r="C26" s="195"/>
      <c r="D26" s="195"/>
      <c r="E26" s="195"/>
      <c r="F26" s="223" t="s">
        <v>375</v>
      </c>
      <c r="G26" s="224">
        <v>18</v>
      </c>
      <c r="H26" s="200"/>
      <c r="I26" s="160"/>
    </row>
    <row r="27" spans="1:9" ht="20.100000000000001" customHeight="1">
      <c r="A27" s="206"/>
      <c r="B27" s="198" t="str">
        <f>IF(Lang.="v","4. Diện tích thép chủ","4. Area of main steel")</f>
        <v>4. Diện tích thép chủ</v>
      </c>
      <c r="C27" s="195"/>
      <c r="D27" s="195"/>
      <c r="E27" s="195"/>
      <c r="F27" s="223" t="s">
        <v>376</v>
      </c>
      <c r="G27" s="225">
        <f>G26*PI()*(G25/1000)^2/4*10^4</f>
        <v>56.548667764616283</v>
      </c>
      <c r="H27" s="200" t="s">
        <v>371</v>
      </c>
      <c r="I27" s="160"/>
    </row>
    <row r="28" spans="1:9" ht="20.100000000000001" customHeight="1">
      <c r="A28" s="206"/>
      <c r="B28" s="198" t="str">
        <f>IF(Lang.="v","5. Số cáp dự ứng lực trong cọc","5. Number of strand in pile")</f>
        <v>5. Số cáp dự ứng lực trong cọc</v>
      </c>
      <c r="C28" s="195"/>
      <c r="D28" s="195"/>
      <c r="E28" s="195"/>
      <c r="F28" s="223" t="s">
        <v>377</v>
      </c>
      <c r="G28" s="224">
        <v>0</v>
      </c>
      <c r="H28" s="195"/>
      <c r="I28" s="160"/>
    </row>
    <row r="29" spans="1:9" ht="20.100000000000001" customHeight="1">
      <c r="A29" s="206"/>
      <c r="B29" s="198" t="str">
        <f>IF(Lang.="v","    Loại cáp dự ứng lực","    Type of strand")</f>
        <v xml:space="preserve">    Loại cáp dự ứng lực</v>
      </c>
      <c r="C29" s="195"/>
      <c r="D29" s="195"/>
      <c r="E29" s="195"/>
      <c r="F29" s="223" t="s">
        <v>71</v>
      </c>
      <c r="G29" s="224">
        <v>0</v>
      </c>
      <c r="H29" s="208">
        <f>IF(G29=12.7,99,IF(G29=7,38.5,19.3))</f>
        <v>19.3</v>
      </c>
      <c r="I29" s="160"/>
    </row>
    <row r="30" spans="1:9" ht="20.100000000000001" customHeight="1">
      <c r="A30" s="206"/>
      <c r="B30" s="198" t="str">
        <f>IF(Lang.="v","6. Lực kéo cáp ( tính cho 01 cáp dự ứng lực)","6. Tension force (for 1 precast cable)")</f>
        <v>6. Lực kéo cáp ( tính cho 01 cáp dự ứng lực)</v>
      </c>
      <c r="C30" s="195"/>
      <c r="D30" s="195"/>
      <c r="E30" s="195"/>
      <c r="F30" s="223" t="s">
        <v>378</v>
      </c>
      <c r="G30" s="226">
        <f>IF(G29=5,22,IF(G29=7,44,IF(G29=10.7,90,IF(G29=12.7,144,0))))</f>
        <v>0</v>
      </c>
      <c r="H30" s="195" t="s">
        <v>115</v>
      </c>
      <c r="I30" s="160"/>
    </row>
    <row r="31" spans="1:9" ht="20.100000000000001" customHeight="1">
      <c r="A31" s="206"/>
      <c r="B31" s="198" t="str">
        <f>IF(Lang.="v","7. Ứng suất do kéo cáp","7. Stress due to prestress")</f>
        <v>7. Ứng suất do kéo cáp</v>
      </c>
      <c r="C31" s="195"/>
      <c r="D31" s="195"/>
      <c r="E31" s="195"/>
      <c r="F31" s="223" t="s">
        <v>379</v>
      </c>
      <c r="G31" s="227">
        <f>(G28*G30/G33)/10^3*(100-G32)/100</f>
        <v>0</v>
      </c>
      <c r="H31" s="199" t="s">
        <v>116</v>
      </c>
      <c r="I31" s="160"/>
    </row>
    <row r="32" spans="1:9" ht="20.100000000000001" customHeight="1">
      <c r="A32" s="206"/>
      <c r="B32" s="198" t="str">
        <f>IF(Lang.="v","8. Mất mát ứng suất trong quá trình kéo cáp","8. % losing stress due to prestress")</f>
        <v>8. Mất mát ứng suất trong quá trình kéo cáp</v>
      </c>
      <c r="C32" s="195"/>
      <c r="D32" s="195"/>
      <c r="E32" s="195"/>
      <c r="F32" s="223" t="s">
        <v>76</v>
      </c>
      <c r="G32" s="225">
        <f>IF(G28=0,0,20)</f>
        <v>0</v>
      </c>
      <c r="H32" s="200" t="s">
        <v>75</v>
      </c>
      <c r="I32" s="160"/>
    </row>
    <row r="33" spans="1:10" ht="20.100000000000001" customHeight="1">
      <c r="A33" s="206"/>
      <c r="B33" s="198" t="str">
        <f>IF(Lang.="v","9. Diện tích tiết diện bêtông quy đổi","9. Area of converted concrete section")</f>
        <v>9. Diện tích tiết diện bêtông quy đổi</v>
      </c>
      <c r="C33" s="195"/>
      <c r="D33" s="195"/>
      <c r="E33" s="195"/>
      <c r="F33" s="228" t="s">
        <v>380</v>
      </c>
      <c r="G33" s="229">
        <f>IF(RIGHT($G$6,1)=".",G24^2,3.14*G24^2/4)+($G$21/$G$18-1)*G27/10^4</f>
        <v>1.0339292006587697</v>
      </c>
      <c r="H33" s="200" t="s">
        <v>372</v>
      </c>
      <c r="I33" s="160"/>
    </row>
    <row r="34" spans="1:10" ht="20.100000000000001" customHeight="1">
      <c r="A34" s="209" t="str">
        <f>IF(Lang.="v","c.Sức chịu tải cực hạn theo vật liệu của cọc","Ultimate Capacity of pile material")</f>
        <v>c.Sức chịu tải cực hạn theo vật liệu của cọc</v>
      </c>
      <c r="B34" s="209"/>
      <c r="C34" s="195"/>
      <c r="D34" s="195"/>
      <c r="E34" s="195"/>
      <c r="F34" s="230" t="s">
        <v>99</v>
      </c>
      <c r="G34" s="210">
        <f>(0.85*$G$17-0.6*G31)*G33*10^3</f>
        <v>19159.41116006345</v>
      </c>
      <c r="H34" s="195" t="s">
        <v>59</v>
      </c>
      <c r="I34" s="160"/>
    </row>
    <row r="35" spans="1:10" ht="20.100000000000001" customHeight="1">
      <c r="A35" s="206"/>
      <c r="B35" s="209" t="str">
        <f>IF(Lang.="v","Hệ số an toàn","Safety factor")</f>
        <v>Hệ số an toàn</v>
      </c>
      <c r="C35" s="211"/>
      <c r="D35" s="195"/>
      <c r="E35" s="195"/>
      <c r="F35" s="223" t="s">
        <v>364</v>
      </c>
      <c r="G35" s="212">
        <v>2</v>
      </c>
      <c r="H35" s="195"/>
      <c r="I35" s="160"/>
    </row>
    <row r="36" spans="1:10" ht="20.100000000000001" customHeight="1">
      <c r="A36" s="206"/>
      <c r="B36" s="209" t="str">
        <f>IF(Lang.="v","Tải trọng làm việc theo vật liệu của cọc","Capacity of pile material")</f>
        <v>Tải trọng làm việc theo vật liệu của cọc</v>
      </c>
      <c r="C36" s="211"/>
      <c r="D36" s="204"/>
      <c r="E36" s="213"/>
      <c r="F36" s="228" t="s">
        <v>100</v>
      </c>
      <c r="G36" s="214">
        <f>G34/G35</f>
        <v>9579.7055800317248</v>
      </c>
      <c r="H36" s="195" t="s">
        <v>59</v>
      </c>
      <c r="I36" s="160"/>
    </row>
    <row r="37" spans="1:10" ht="15.95" customHeight="1">
      <c r="A37" s="155"/>
      <c r="B37" s="156"/>
      <c r="C37" s="157"/>
      <c r="D37" s="155"/>
      <c r="E37" s="155"/>
      <c r="F37" s="155"/>
      <c r="G37" s="155"/>
      <c r="H37" s="155"/>
      <c r="I37" s="155"/>
    </row>
    <row r="38" spans="1:10" ht="15.95" customHeight="1">
      <c r="B38" s="5"/>
      <c r="C38" s="6"/>
      <c r="D38" s="7"/>
      <c r="E38" s="8"/>
      <c r="F38" s="8"/>
      <c r="G38" s="9"/>
      <c r="H38" s="5"/>
      <c r="I38" s="7"/>
      <c r="J38" s="8"/>
    </row>
  </sheetData>
  <protectedRanges>
    <protectedRange sqref="I2:I3 H2 E1:G3" name="Range1_1_1_1"/>
    <protectedRange sqref="H3" name="Range1_1_1"/>
  </protectedRanges>
  <mergeCells count="5">
    <mergeCell ref="G1:H1"/>
    <mergeCell ref="A1:B3"/>
    <mergeCell ref="D2:F2"/>
    <mergeCell ref="D3:F3"/>
    <mergeCell ref="C1:F1"/>
  </mergeCells>
  <phoneticPr fontId="11" type="noConversion"/>
  <dataValidations disablePrompts="1" count="5">
    <dataValidation type="list" allowBlank="1" showInputMessage="1" showErrorMessage="1" sqref="G29">
      <formula1>"0,5,7,10,7,12,7"</formula1>
    </dataValidation>
    <dataValidation allowBlank="1" showInputMessage="1" sqref="G17"/>
    <dataValidation type="list" allowBlank="1" showInputMessage="1" showErrorMessage="1" errorTitle="Error" sqref="G6">
      <formula1>"Vuông,,Tròn,Rec,,Circle"</formula1>
    </dataValidation>
    <dataValidation type="list" allowBlank="1" showInputMessage="1" showErrorMessage="1" sqref="G16">
      <formula1>"B3,5,B5,B7,5,B10,B12,5,B15,B20,B22,5,B25,B30,B35,B40,B45,B50,B55,B60"</formula1>
    </dataValidation>
    <dataValidation type="list" allowBlank="1" showInputMessage="1" showErrorMessage="1" sqref="G19">
      <formula1>"CB240-T,CB300-V,CB400-V,CB500-V"</formula1>
    </dataValidation>
  </dataValidations>
  <printOptions horizontalCentered="1"/>
  <pageMargins left="1" right="0.5" top="0.5" bottom="0.5" header="0.25" footer="0.2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59999389629810485"/>
  </sheetPr>
  <dimension ref="A1:J38"/>
  <sheetViews>
    <sheetView view="pageBreakPreview" topLeftCell="A14" zoomScale="85" zoomScaleNormal="100" zoomScaleSheetLayoutView="85" workbookViewId="0">
      <selection activeCell="G36" sqref="G36"/>
    </sheetView>
  </sheetViews>
  <sheetFormatPr defaultColWidth="7.77734375" defaultRowHeight="15.95" customHeight="1"/>
  <cols>
    <col min="1" max="1" width="3.109375" style="3" customWidth="1"/>
    <col min="2" max="2" width="10.5546875" style="3" customWidth="1"/>
    <col min="3" max="3" width="9.88671875" style="3" customWidth="1"/>
    <col min="4" max="4" width="9" style="3" customWidth="1"/>
    <col min="5" max="5" width="12.44140625" style="3" customWidth="1"/>
    <col min="6" max="6" width="9.5546875" style="3" customWidth="1"/>
    <col min="7" max="7" width="8.77734375" style="3" customWidth="1"/>
    <col min="8" max="8" width="8.88671875" style="3" customWidth="1"/>
    <col min="9" max="16384" width="7.77734375" style="3"/>
  </cols>
  <sheetData>
    <row r="1" spans="1:10" s="2" customFormat="1" ht="39.950000000000003" customHeight="1">
      <c r="A1" s="347"/>
      <c r="B1" s="348"/>
      <c r="C1" s="356" t="s">
        <v>387</v>
      </c>
      <c r="D1" s="357"/>
      <c r="E1" s="357"/>
      <c r="F1" s="358"/>
      <c r="G1" s="345" t="s">
        <v>373</v>
      </c>
      <c r="H1" s="346"/>
      <c r="I1" s="190"/>
    </row>
    <row r="2" spans="1:10" s="2" customFormat="1" ht="21.95" customHeight="1">
      <c r="A2" s="349"/>
      <c r="B2" s="350"/>
      <c r="C2" s="217" t="s">
        <v>358</v>
      </c>
      <c r="D2" s="353" t="s">
        <v>360</v>
      </c>
      <c r="E2" s="354"/>
      <c r="F2" s="355"/>
      <c r="G2" s="188" t="s">
        <v>362</v>
      </c>
      <c r="H2" s="188" t="s">
        <v>363</v>
      </c>
      <c r="I2" s="190"/>
    </row>
    <row r="3" spans="1:10" s="2" customFormat="1" ht="21.95" customHeight="1">
      <c r="A3" s="351"/>
      <c r="B3" s="352"/>
      <c r="C3" s="217" t="s">
        <v>359</v>
      </c>
      <c r="D3" s="353" t="s">
        <v>361</v>
      </c>
      <c r="E3" s="354"/>
      <c r="F3" s="355"/>
      <c r="G3" s="189" t="s">
        <v>68</v>
      </c>
      <c r="H3" s="189" t="s">
        <v>68</v>
      </c>
      <c r="I3" s="190"/>
    </row>
    <row r="4" spans="1:10" ht="15.95" customHeight="1">
      <c r="A4" s="190"/>
      <c r="B4" s="190"/>
      <c r="C4" s="190"/>
      <c r="D4" s="190"/>
      <c r="E4" s="190"/>
      <c r="F4" s="190"/>
      <c r="G4" s="190"/>
      <c r="H4" s="190"/>
      <c r="I4" s="190"/>
    </row>
    <row r="5" spans="1:10" ht="20.100000000000001" customHeight="1">
      <c r="A5" s="191" t="str">
        <f>IF(Lang.="V","1. Sức chịu tải của cọc theo vật liệu ","1. Pile's bearing capacity based on material")</f>
        <v xml:space="preserve">1. Sức chịu tải của cọc theo vật liệu </v>
      </c>
      <c r="B5" s="192"/>
      <c r="C5" s="192"/>
      <c r="D5" s="192"/>
      <c r="E5" s="192"/>
      <c r="F5" s="192"/>
      <c r="G5" s="193"/>
      <c r="H5" s="194"/>
      <c r="I5" s="161"/>
      <c r="J5" s="4"/>
    </row>
    <row r="6" spans="1:10" ht="20.100000000000001" customHeight="1">
      <c r="A6" s="195"/>
      <c r="B6" s="195" t="str">
        <f>IF(Lang.="V","Sức chịu tải cực hạn của cọc :","Ultimate bearing capacity of pile:")</f>
        <v>Sức chịu tải cực hạn của cọc :</v>
      </c>
      <c r="C6" s="195"/>
      <c r="D6" s="195"/>
      <c r="E6" s="195"/>
      <c r="F6" s="196" t="e">
        <f>IF(Language="v","Loại:","Type:")</f>
        <v>#REF!</v>
      </c>
      <c r="G6" s="216" t="s">
        <v>114</v>
      </c>
      <c r="H6" s="195"/>
      <c r="I6" s="160"/>
    </row>
    <row r="7" spans="1:10" ht="20.100000000000001" customHeight="1">
      <c r="A7" s="195"/>
      <c r="B7" s="195"/>
      <c r="C7" s="197" t="s">
        <v>365</v>
      </c>
      <c r="D7" s="195"/>
      <c r="E7" s="195"/>
      <c r="F7" s="195"/>
      <c r="G7" s="195"/>
      <c r="H7" s="195"/>
      <c r="I7" s="160"/>
    </row>
    <row r="8" spans="1:10" ht="20.100000000000001" customHeight="1">
      <c r="A8" s="195"/>
      <c r="B8" s="196" t="str">
        <f>IF(Lang.="V","Trong đó :","Where:")</f>
        <v>Trong đó :</v>
      </c>
      <c r="C8" s="195"/>
      <c r="D8" s="195"/>
      <c r="E8" s="195"/>
      <c r="F8" s="195"/>
      <c r="G8" s="195"/>
      <c r="H8" s="195"/>
      <c r="I8" s="160"/>
    </row>
    <row r="9" spans="1:10" ht="20.100000000000001" customHeight="1">
      <c r="A9" s="195"/>
      <c r="B9" s="215" t="s">
        <v>366</v>
      </c>
      <c r="C9" s="198" t="e">
        <f>IF(Language="v",":  Cường độ chịu nén của bêtông",":  Design compressive strength of concrete")</f>
        <v>#REF!</v>
      </c>
      <c r="D9" s="195"/>
      <c r="E9" s="195"/>
      <c r="F9" s="195"/>
      <c r="G9" s="199" t="s">
        <v>116</v>
      </c>
      <c r="H9" s="195"/>
      <c r="I9" s="160"/>
    </row>
    <row r="10" spans="1:10" ht="20.100000000000001" customHeight="1">
      <c r="A10" s="195"/>
      <c r="B10" s="215" t="s">
        <v>367</v>
      </c>
      <c r="C10" s="198" t="e">
        <f>IF(Language="v",":  Ứng suất do kéo cáp",":  Stress at centriod of section due to prestress")</f>
        <v>#REF!</v>
      </c>
      <c r="D10" s="195"/>
      <c r="E10" s="195"/>
      <c r="F10" s="195"/>
      <c r="G10" s="199" t="s">
        <v>116</v>
      </c>
      <c r="H10" s="195"/>
      <c r="I10" s="160"/>
    </row>
    <row r="11" spans="1:10" ht="20.100000000000001" customHeight="1">
      <c r="A11" s="195"/>
      <c r="B11" s="215" t="s">
        <v>368</v>
      </c>
      <c r="C11" s="198" t="e">
        <f>IF(Language="v",":  Diện tích tiết diện bêtông",":  The area of concrete cross section")</f>
        <v>#REF!</v>
      </c>
      <c r="D11" s="195"/>
      <c r="E11" s="195"/>
      <c r="F11" s="195"/>
      <c r="G11" s="200" t="s">
        <v>369</v>
      </c>
      <c r="H11" s="195"/>
      <c r="I11" s="160"/>
    </row>
    <row r="12" spans="1:10" ht="20.100000000000001" customHeight="1">
      <c r="A12" s="195"/>
      <c r="B12" s="215" t="s">
        <v>370</v>
      </c>
      <c r="C12" s="198" t="e">
        <f>IF(Language="v",":  Diện tích tiết diện thép",":  The area of steel")</f>
        <v>#REF!</v>
      </c>
      <c r="D12" s="195"/>
      <c r="E12" s="195"/>
      <c r="F12" s="195"/>
      <c r="G12" s="200" t="s">
        <v>369</v>
      </c>
      <c r="H12" s="195"/>
      <c r="I12" s="160"/>
    </row>
    <row r="13" spans="1:10" ht="20.100000000000001" customHeight="1">
      <c r="A13" s="195"/>
      <c r="B13" s="201"/>
      <c r="C13" s="198"/>
      <c r="D13" s="195"/>
      <c r="E13" s="195"/>
      <c r="F13" s="195"/>
      <c r="G13" s="195"/>
      <c r="H13" s="202"/>
      <c r="I13" s="160"/>
    </row>
    <row r="14" spans="1:10" ht="20.100000000000001" customHeight="1">
      <c r="A14" s="196" t="str">
        <f>IF(Lang.="V","2. Chi tiết cấu tạo cọc","2. Details of piles")</f>
        <v>2. Chi tiết cấu tạo cọc</v>
      </c>
      <c r="B14" s="195"/>
      <c r="C14" s="195"/>
      <c r="D14" s="195"/>
      <c r="E14" s="195"/>
      <c r="F14" s="195"/>
      <c r="G14" s="203"/>
      <c r="H14" s="195"/>
      <c r="I14" s="160"/>
    </row>
    <row r="15" spans="1:10" ht="20.100000000000001" customHeight="1">
      <c r="A15" s="196" t="str">
        <f>IF(Lang.="V","a.Vật liệu cọc:","Material of pile:")</f>
        <v>a.Vật liệu cọc:</v>
      </c>
      <c r="B15" s="196"/>
      <c r="C15" s="196"/>
      <c r="D15" s="195"/>
      <c r="E15" s="195"/>
      <c r="F15" s="195"/>
      <c r="G15" s="195"/>
      <c r="H15" s="195"/>
      <c r="I15" s="160"/>
    </row>
    <row r="16" spans="1:10" ht="20.100000000000001" customHeight="1">
      <c r="A16" s="195"/>
      <c r="B16" s="198" t="str">
        <f>IF(Lang.="v","Mác bêtông cọc ( mẫu lập phương 15x15x15)","Grade of concrete ( Cubic 15x15x15)")</f>
        <v>Mác bêtông cọc ( mẫu lập phương 15x15x15)</v>
      </c>
      <c r="C16" s="195"/>
      <c r="D16" s="195"/>
      <c r="E16" s="195"/>
      <c r="F16" s="231"/>
      <c r="G16" s="232" t="s">
        <v>41</v>
      </c>
      <c r="H16" s="220" t="str">
        <f>HLOOKUP($G$16,Betong,2,FALSE)</f>
        <v>M350</v>
      </c>
      <c r="I16" s="160"/>
    </row>
    <row r="17" spans="1:9" ht="20.100000000000001" customHeight="1">
      <c r="A17" s="195"/>
      <c r="B17" s="198" t="str">
        <f>IF(Lang.="v","Cường độ đặc trưng bêtông quy đổi ra mẫu trụ","Specified compressive strength of cocrete (Cylinder)")</f>
        <v>Cường độ đặc trưng bêtông quy đổi ra mẫu trụ</v>
      </c>
      <c r="C17" s="195"/>
      <c r="D17" s="195"/>
      <c r="E17" s="195"/>
      <c r="F17" s="231" t="s">
        <v>381</v>
      </c>
      <c r="G17" s="233">
        <f>RIGHT(H16,3)*0.8*0.7786/10</f>
        <v>21.800799999999999</v>
      </c>
      <c r="H17" s="199" t="s">
        <v>116</v>
      </c>
      <c r="I17" s="160"/>
    </row>
    <row r="18" spans="1:9" ht="20.100000000000001" customHeight="1">
      <c r="A18" s="195"/>
      <c r="B18" s="198" t="str">
        <f>IF(Lang.="v","Mô đun đàn hồi của bê tông","Elastic modulus of concrete")</f>
        <v>Mô đun đàn hồi của bê tông</v>
      </c>
      <c r="C18" s="195"/>
      <c r="D18" s="195"/>
      <c r="E18" s="195"/>
      <c r="F18" s="234" t="s">
        <v>382</v>
      </c>
      <c r="G18" s="205">
        <f>HLOOKUP($G$16,Betong,7,FALSE)</f>
        <v>30000</v>
      </c>
      <c r="H18" s="199" t="s">
        <v>116</v>
      </c>
      <c r="I18" s="160"/>
    </row>
    <row r="19" spans="1:9" ht="20.100000000000001" customHeight="1">
      <c r="A19" s="195"/>
      <c r="B19" s="195" t="str">
        <f>IF(Lang.="v","Nhóm cốt thép ","Type of reinforcement")</f>
        <v xml:space="preserve">Nhóm cốt thép </v>
      </c>
      <c r="C19" s="195"/>
      <c r="D19" s="195"/>
      <c r="E19" s="195"/>
      <c r="F19" s="231"/>
      <c r="G19" s="235" t="s">
        <v>355</v>
      </c>
      <c r="H19" s="200"/>
      <c r="I19" s="160"/>
    </row>
    <row r="20" spans="1:9" ht="20.100000000000001" customHeight="1">
      <c r="A20" s="195"/>
      <c r="B20" s="198" t="str">
        <f>IF(Lang.="v","Giới hạn chảy của cốt thép","Yield strength of reinforcement")</f>
        <v>Giới hạn chảy của cốt thép</v>
      </c>
      <c r="C20" s="195"/>
      <c r="D20" s="195"/>
      <c r="E20" s="195"/>
      <c r="F20" s="234" t="s">
        <v>383</v>
      </c>
      <c r="G20" s="205">
        <f>HLOOKUP($G$19,Cotthep,4,FALSE)</f>
        <v>280</v>
      </c>
      <c r="H20" s="199" t="s">
        <v>116</v>
      </c>
      <c r="I20" s="160"/>
    </row>
    <row r="21" spans="1:9" ht="20.100000000000001" customHeight="1">
      <c r="A21" s="195"/>
      <c r="B21" s="198" t="str">
        <f>IF(Lang.="v","Mô đun đàn hồi của thép","Elastic modulus of reinforcement")</f>
        <v>Mô đun đàn hồi của thép</v>
      </c>
      <c r="C21" s="195"/>
      <c r="D21" s="195"/>
      <c r="E21" s="195"/>
      <c r="F21" s="234" t="s">
        <v>384</v>
      </c>
      <c r="G21" s="205">
        <f>HLOOKUP($G$19,Cotthep,9,FALSE)</f>
        <v>210000</v>
      </c>
      <c r="H21" s="199" t="s">
        <v>116</v>
      </c>
      <c r="I21" s="160"/>
    </row>
    <row r="22" spans="1:9" ht="20.100000000000001" customHeight="1">
      <c r="A22" s="196" t="str">
        <f>IF(Lang.="V","b.Cấu tạo cọc:","Composition of pile:")</f>
        <v>b.Cấu tạo cọc:</v>
      </c>
      <c r="B22" s="196"/>
      <c r="C22" s="196"/>
      <c r="D22" s="195"/>
      <c r="E22" s="195"/>
      <c r="F22" s="195"/>
      <c r="G22" s="195"/>
      <c r="H22" s="195"/>
      <c r="I22" s="160"/>
    </row>
    <row r="23" spans="1:9" ht="20.100000000000001" customHeight="1">
      <c r="A23" s="206"/>
      <c r="B23" s="198" t="str">
        <f>IF(Lang.="v","1. Đường kính cọc","1. Edge or diameter")</f>
        <v>1. Đường kính cọc</v>
      </c>
      <c r="C23" s="201"/>
      <c r="D23" s="195"/>
      <c r="E23" s="195"/>
      <c r="F23" s="221" t="s">
        <v>311</v>
      </c>
      <c r="G23" s="236">
        <v>0.4</v>
      </c>
      <c r="H23" s="200" t="s">
        <v>0</v>
      </c>
      <c r="I23" s="160"/>
    </row>
    <row r="24" spans="1:9" ht="20.100000000000001" customHeight="1">
      <c r="A24" s="206"/>
      <c r="B24" s="198" t="str">
        <f>IF(Lang.="v","- Đường kính trong cọc","1. Edge or diameter")</f>
        <v>- Đường kính trong cọc</v>
      </c>
      <c r="C24" s="201"/>
      <c r="D24" s="195"/>
      <c r="E24" s="195"/>
      <c r="F24" s="230" t="s">
        <v>74</v>
      </c>
      <c r="G24" s="237">
        <v>0.3</v>
      </c>
      <c r="H24" s="200"/>
      <c r="I24" s="160"/>
    </row>
    <row r="25" spans="1:9" ht="20.100000000000001" customHeight="1">
      <c r="A25" s="206"/>
      <c r="B25" s="198" t="str">
        <f>IF(Lang.="v","2. Đường kính thép chủ","2. Diameter of main steel")</f>
        <v>2. Đường kính thép chủ</v>
      </c>
      <c r="C25" s="195"/>
      <c r="D25" s="195"/>
      <c r="E25" s="195"/>
      <c r="F25" s="223" t="s">
        <v>385</v>
      </c>
      <c r="G25" s="158">
        <v>20</v>
      </c>
      <c r="H25" s="200" t="s">
        <v>72</v>
      </c>
      <c r="I25" s="160"/>
    </row>
    <row r="26" spans="1:9" ht="20.100000000000001" customHeight="1">
      <c r="A26" s="206"/>
      <c r="B26" s="198" t="str">
        <f>IF(Lang.="v","3. Số lượng thép chủ","3. Number of main steel")</f>
        <v>3. Số lượng thép chủ</v>
      </c>
      <c r="C26" s="195"/>
      <c r="D26" s="195"/>
      <c r="E26" s="195"/>
      <c r="F26" s="223" t="s">
        <v>375</v>
      </c>
      <c r="G26" s="158">
        <v>18</v>
      </c>
      <c r="H26" s="200"/>
      <c r="I26" s="160"/>
    </row>
    <row r="27" spans="1:9" ht="20.100000000000001" customHeight="1">
      <c r="A27" s="206"/>
      <c r="B27" s="198" t="str">
        <f>IF(Lang.="v","4. Diện tích thép chủ","4. Area of main steel")</f>
        <v>4. Diện tích thép chủ</v>
      </c>
      <c r="C27" s="195"/>
      <c r="D27" s="195"/>
      <c r="E27" s="195"/>
      <c r="F27" s="223" t="s">
        <v>376</v>
      </c>
      <c r="G27" s="238">
        <f>G26*PI()*(G25/1000)^2/4*10^4</f>
        <v>56.548667764616283</v>
      </c>
      <c r="H27" s="200" t="s">
        <v>371</v>
      </c>
      <c r="I27" s="160"/>
    </row>
    <row r="28" spans="1:9" ht="20.100000000000001" customHeight="1">
      <c r="A28" s="206"/>
      <c r="B28" s="198" t="str">
        <f>IF(Lang.="v","5. Số cáp dự ứng lực trong cọc","5. Number of strand in pile")</f>
        <v>5. Số cáp dự ứng lực trong cọc</v>
      </c>
      <c r="C28" s="195"/>
      <c r="D28" s="195"/>
      <c r="E28" s="195"/>
      <c r="F28" s="223" t="s">
        <v>377</v>
      </c>
      <c r="G28" s="158">
        <v>0</v>
      </c>
      <c r="H28" s="195"/>
      <c r="I28" s="160"/>
    </row>
    <row r="29" spans="1:9" ht="20.100000000000001" customHeight="1">
      <c r="A29" s="206"/>
      <c r="B29" s="198" t="str">
        <f>IF(Lang.="v","    Loại cáp dự ứng lực","    Type of strand")</f>
        <v xml:space="preserve">    Loại cáp dự ứng lực</v>
      </c>
      <c r="C29" s="195"/>
      <c r="D29" s="195"/>
      <c r="E29" s="195"/>
      <c r="F29" s="223" t="s">
        <v>71</v>
      </c>
      <c r="G29" s="158">
        <v>12.7</v>
      </c>
      <c r="H29" s="208">
        <f>IF(G29=12.7,99,IF(G29=7,38.5,19.3))</f>
        <v>99</v>
      </c>
      <c r="I29" s="160"/>
    </row>
    <row r="30" spans="1:9" ht="20.100000000000001" customHeight="1">
      <c r="A30" s="206"/>
      <c r="B30" s="198" t="str">
        <f>IF(Lang.="v","6. Lực kéo cáp ( tính cho 01 cáp dự ứng lực)","6. Tension force (for 1 precast cable)")</f>
        <v>6. Lực kéo cáp ( tính cho 01 cáp dự ứng lực)</v>
      </c>
      <c r="C30" s="195"/>
      <c r="D30" s="195"/>
      <c r="E30" s="195"/>
      <c r="F30" s="223" t="s">
        <v>378</v>
      </c>
      <c r="G30" s="158">
        <f>IF(G29=5,22,IF(G29=7,44,IF(G29=10.7,90,IF(G29=12.7,144,0))))</f>
        <v>144</v>
      </c>
      <c r="H30" s="195" t="s">
        <v>115</v>
      </c>
      <c r="I30" s="160"/>
    </row>
    <row r="31" spans="1:9" ht="20.100000000000001" customHeight="1">
      <c r="A31" s="206"/>
      <c r="B31" s="198" t="str">
        <f>IF(Lang.="v","7. Ứng suất do kéo cáp","7. Stress due to prestress")</f>
        <v>7. Ứng suất do kéo cáp</v>
      </c>
      <c r="C31" s="195"/>
      <c r="D31" s="195"/>
      <c r="E31" s="195"/>
      <c r="F31" s="223" t="s">
        <v>379</v>
      </c>
      <c r="G31" s="239">
        <f>(G28*G30/G33)/10^3*(100-G32)/100</f>
        <v>0</v>
      </c>
      <c r="H31" s="199" t="s">
        <v>116</v>
      </c>
      <c r="I31" s="160"/>
    </row>
    <row r="32" spans="1:9" ht="20.100000000000001" customHeight="1">
      <c r="A32" s="206"/>
      <c r="B32" s="198" t="str">
        <f>IF(Lang.="v","8. Mất mát ứng suất trong quá trình kéo cáp","8. % losing stress due to prestress")</f>
        <v>8. Mất mát ứng suất trong quá trình kéo cáp</v>
      </c>
      <c r="C32" s="195"/>
      <c r="D32" s="195"/>
      <c r="E32" s="195"/>
      <c r="F32" s="223" t="s">
        <v>76</v>
      </c>
      <c r="G32" s="238">
        <f>IF(G28=0,0,20)</f>
        <v>0</v>
      </c>
      <c r="H32" s="200" t="s">
        <v>75</v>
      </c>
      <c r="I32" s="160"/>
    </row>
    <row r="33" spans="1:10" ht="20.100000000000001" customHeight="1">
      <c r="A33" s="206"/>
      <c r="B33" s="198" t="str">
        <f>IF(Lang.="v","9. Diện tích tiết diện bêtông quy đổi","9. Area of converted concrete section")</f>
        <v>9. Diện tích tiết diện bêtông quy đổi</v>
      </c>
      <c r="C33" s="195"/>
      <c r="D33" s="195"/>
      <c r="E33" s="195"/>
      <c r="F33" s="228" t="s">
        <v>380</v>
      </c>
      <c r="G33" s="240">
        <f>IF(RIGHT($G$6,1)=".",G23^2-G24^2*PI()/4,3.14*G23^2/4-PI()*G24^2/4)+($G$21/$G$18-1)*G27/10^4</f>
        <v>8.8843365952999437E-2</v>
      </c>
      <c r="H33" s="200" t="s">
        <v>372</v>
      </c>
      <c r="I33" s="160"/>
    </row>
    <row r="34" spans="1:10" ht="20.100000000000001" customHeight="1">
      <c r="A34" s="209" t="str">
        <f>IF(Lang.="v","c.Sức chịu tải cực hạn theo vật liệu của cọc","Ultimate Capacity of pile material")</f>
        <v>c.Sức chịu tải cực hạn theo vật liệu của cọc</v>
      </c>
      <c r="B34" s="209"/>
      <c r="C34" s="195"/>
      <c r="D34" s="195"/>
      <c r="E34" s="195"/>
      <c r="F34" s="230" t="s">
        <v>99</v>
      </c>
      <c r="G34" s="241">
        <f>(0.85*$G$17-0.6*G31)*G33*10^3</f>
        <v>1646.3279845979278</v>
      </c>
      <c r="H34" s="195" t="s">
        <v>59</v>
      </c>
      <c r="I34" s="160"/>
    </row>
    <row r="35" spans="1:10" ht="20.100000000000001" customHeight="1">
      <c r="A35" s="206"/>
      <c r="B35" s="209" t="str">
        <f>IF(Lang.="v","Hệ số an toàn","Safety factor")</f>
        <v>Hệ số an toàn</v>
      </c>
      <c r="C35" s="211"/>
      <c r="D35" s="195"/>
      <c r="E35" s="195"/>
      <c r="F35" s="223" t="s">
        <v>364</v>
      </c>
      <c r="G35" s="242">
        <v>2</v>
      </c>
      <c r="H35" s="195"/>
      <c r="I35" s="160"/>
    </row>
    <row r="36" spans="1:10" ht="20.100000000000001" customHeight="1">
      <c r="A36" s="206"/>
      <c r="B36" s="209" t="str">
        <f>IF(Lang.="v","Tải trọng làm việc theo vật liệu của cọc","Capacity of pile material")</f>
        <v>Tải trọng làm việc theo vật liệu của cọc</v>
      </c>
      <c r="C36" s="211"/>
      <c r="D36" s="204"/>
      <c r="E36" s="213"/>
      <c r="F36" s="228" t="s">
        <v>100</v>
      </c>
      <c r="G36" s="159">
        <f>G34/G35</f>
        <v>823.16399229896388</v>
      </c>
      <c r="H36" s="195" t="s">
        <v>59</v>
      </c>
      <c r="I36" s="160"/>
    </row>
    <row r="37" spans="1:10" ht="15.95" customHeight="1">
      <c r="A37" s="155"/>
      <c r="B37" s="156"/>
      <c r="C37" s="157"/>
      <c r="D37" s="155"/>
      <c r="E37" s="155"/>
      <c r="F37" s="155"/>
      <c r="G37" s="155"/>
      <c r="H37" s="155"/>
      <c r="I37" s="155"/>
    </row>
    <row r="38" spans="1:10" ht="15.95" customHeight="1">
      <c r="B38" s="5"/>
      <c r="C38" s="6"/>
      <c r="D38" s="7"/>
      <c r="E38" s="8"/>
      <c r="F38" s="8"/>
      <c r="G38" s="9"/>
      <c r="H38" s="5"/>
      <c r="I38" s="7"/>
      <c r="J38" s="8"/>
    </row>
  </sheetData>
  <protectedRanges>
    <protectedRange sqref="I2:I3 H2 E1:G3" name="Range1_1_1_1"/>
    <protectedRange sqref="H3" name="Range1_1_1"/>
  </protectedRanges>
  <mergeCells count="5">
    <mergeCell ref="A1:B3"/>
    <mergeCell ref="C1:F1"/>
    <mergeCell ref="G1:H1"/>
    <mergeCell ref="D2:F2"/>
    <mergeCell ref="D3:F3"/>
  </mergeCells>
  <phoneticPr fontId="94" type="noConversion"/>
  <dataValidations disablePrompts="1" count="5">
    <dataValidation type="list" allowBlank="1" showInputMessage="1" showErrorMessage="1" sqref="G29">
      <formula1>"0,5,7,10.7,12.7"</formula1>
    </dataValidation>
    <dataValidation type="list" allowBlank="1" showInputMessage="1" showErrorMessage="1" sqref="G19">
      <formula1>"CB240-T,CB300-V,CB400-V,CB500-V"</formula1>
    </dataValidation>
    <dataValidation type="list" allowBlank="1" showInputMessage="1" showErrorMessage="1" sqref="G16">
      <formula1>"B3,5,B5,B7,5,B10,B12,5,B15,B20,B22,5,B25,B30,B35,B40,B45,B50,B55,B60"</formula1>
    </dataValidation>
    <dataValidation type="list" allowBlank="1" showInputMessage="1" showErrorMessage="1" errorTitle="Error" sqref="G6">
      <formula1>"Vuông,,Tròn,Rec,,Circle"</formula1>
    </dataValidation>
    <dataValidation allowBlank="1" showInputMessage="1" sqref="G17"/>
  </dataValidations>
  <printOptions horizontalCentered="1"/>
  <pageMargins left="1" right="0.5" top="0.5" bottom="0.5" header="0.25" footer="0.25"/>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FFFF00"/>
  </sheetPr>
  <dimension ref="A1:X42"/>
  <sheetViews>
    <sheetView tabSelected="1" view="pageBreakPreview" zoomScale="115" zoomScaleNormal="100" zoomScaleSheetLayoutView="115" workbookViewId="0">
      <selection activeCell="V40" sqref="V40"/>
    </sheetView>
  </sheetViews>
  <sheetFormatPr defaultColWidth="8.77734375" defaultRowHeight="15.95" customHeight="1"/>
  <cols>
    <col min="1" max="1" width="3" style="149" customWidth="1"/>
    <col min="2" max="2" width="15.5546875" style="149" customWidth="1"/>
    <col min="3" max="4" width="4.33203125" style="149" customWidth="1"/>
    <col min="5" max="5" width="5.109375" style="149" customWidth="1"/>
    <col min="6" max="6" width="4.33203125" style="149" customWidth="1"/>
    <col min="7" max="7" width="4.44140625" style="149" customWidth="1"/>
    <col min="8" max="8" width="5.44140625" style="149" customWidth="1"/>
    <col min="9" max="9" width="5.6640625" style="149" customWidth="1"/>
    <col min="10" max="10" width="6.5546875" style="149" customWidth="1"/>
    <col min="11" max="12" width="6.33203125" style="149" customWidth="1"/>
    <col min="13" max="13" width="6.44140625" style="149" hidden="1" customWidth="1"/>
    <col min="14" max="18" width="5.77734375" style="150" hidden="1" customWidth="1"/>
    <col min="19" max="19" width="5.77734375" style="149" hidden="1" customWidth="1"/>
    <col min="20" max="20" width="8.77734375" style="149"/>
    <col min="21" max="21" width="11.21875" style="149" bestFit="1" customWidth="1"/>
    <col min="22" max="22" width="11.5546875" style="149" customWidth="1"/>
    <col min="23" max="16384" width="8.77734375" style="149"/>
  </cols>
  <sheetData>
    <row r="1" spans="1:19" s="148" customFormat="1" ht="20.100000000000001" customHeight="1">
      <c r="A1" s="361" t="s">
        <v>439</v>
      </c>
      <c r="B1" s="361"/>
      <c r="C1" s="361"/>
      <c r="D1" s="361"/>
      <c r="E1" s="361"/>
      <c r="F1" s="361"/>
      <c r="G1" s="361"/>
      <c r="H1" s="361"/>
      <c r="I1" s="361"/>
      <c r="J1" s="361"/>
      <c r="K1" s="361"/>
      <c r="L1" s="361"/>
      <c r="M1" s="277"/>
      <c r="N1" s="277"/>
      <c r="O1" s="277"/>
      <c r="P1" s="277"/>
      <c r="Q1" s="277"/>
      <c r="R1" s="277"/>
      <c r="S1" s="277"/>
    </row>
    <row r="2" spans="1:19" s="279" customFormat="1" ht="18" customHeight="1">
      <c r="A2" s="278"/>
      <c r="B2" s="278"/>
      <c r="C2" s="360"/>
      <c r="D2" s="360"/>
      <c r="E2" s="280" t="s">
        <v>420</v>
      </c>
      <c r="F2" s="280"/>
      <c r="G2" s="278"/>
      <c r="H2" s="281" t="s">
        <v>488</v>
      </c>
      <c r="I2" s="278"/>
      <c r="J2" s="278"/>
      <c r="K2" s="289" t="s">
        <v>434</v>
      </c>
      <c r="L2" s="288" t="s">
        <v>487</v>
      </c>
      <c r="M2" s="278"/>
      <c r="N2" s="278"/>
      <c r="O2" s="278"/>
      <c r="P2" s="278"/>
      <c r="Q2" s="278"/>
      <c r="R2" s="278"/>
      <c r="S2" s="278"/>
    </row>
    <row r="3" spans="1:19" ht="9.9499999999999993" customHeight="1">
      <c r="A3" s="248"/>
      <c r="B3" s="248"/>
      <c r="C3" s="248"/>
      <c r="D3" s="248"/>
      <c r="E3" s="248"/>
      <c r="F3" s="248"/>
      <c r="G3" s="248"/>
      <c r="H3" s="248"/>
      <c r="I3" s="248"/>
      <c r="J3" s="248"/>
      <c r="K3" s="248"/>
      <c r="L3" s="248"/>
      <c r="M3" s="248"/>
      <c r="N3" s="249"/>
      <c r="O3" s="249"/>
      <c r="P3" s="249"/>
      <c r="Q3" s="249"/>
      <c r="R3" s="249"/>
      <c r="S3" s="248"/>
    </row>
    <row r="4" spans="1:19" ht="15.95" customHeight="1">
      <c r="A4" s="250" t="s">
        <v>436</v>
      </c>
      <c r="B4" s="250"/>
      <c r="C4" s="248"/>
      <c r="D4" s="248"/>
      <c r="E4" s="248"/>
      <c r="F4" s="248"/>
      <c r="G4" s="248"/>
      <c r="H4" s="248"/>
      <c r="I4" s="248"/>
      <c r="J4" s="248"/>
      <c r="K4" s="248"/>
      <c r="L4" s="248"/>
      <c r="M4" s="248"/>
      <c r="N4" s="249"/>
      <c r="O4" s="249"/>
      <c r="P4" s="249"/>
      <c r="Q4" s="249"/>
      <c r="R4" s="249"/>
      <c r="S4" s="248"/>
    </row>
    <row r="5" spans="1:19" ht="15.95" customHeight="1">
      <c r="A5" s="250"/>
      <c r="B5" s="255" t="s">
        <v>437</v>
      </c>
      <c r="C5" s="248"/>
      <c r="D5" s="248"/>
      <c r="E5" s="248"/>
      <c r="F5" s="248"/>
      <c r="G5" s="248"/>
      <c r="H5" s="248"/>
      <c r="I5" s="248"/>
      <c r="J5" s="248"/>
      <c r="K5" s="248"/>
      <c r="L5" s="248"/>
      <c r="M5" s="248"/>
      <c r="N5" s="249"/>
      <c r="O5" s="249"/>
      <c r="P5" s="249"/>
      <c r="Q5" s="249"/>
      <c r="R5" s="249"/>
      <c r="S5" s="248"/>
    </row>
    <row r="6" spans="1:19" ht="20.100000000000001" customHeight="1">
      <c r="A6" s="248"/>
      <c r="B6" s="294" t="s">
        <v>475</v>
      </c>
      <c r="C6" s="250"/>
      <c r="D6" s="248"/>
      <c r="E6" s="248"/>
      <c r="F6" s="248"/>
      <c r="G6" s="248"/>
      <c r="H6" s="248"/>
      <c r="I6" s="248"/>
      <c r="J6" s="248"/>
      <c r="K6" s="248"/>
      <c r="L6" s="251"/>
      <c r="M6" s="248"/>
      <c r="N6" s="249"/>
      <c r="O6" s="249"/>
      <c r="P6" s="249"/>
      <c r="Q6" s="249"/>
      <c r="R6" s="249"/>
      <c r="S6" s="248"/>
    </row>
    <row r="7" spans="1:19" ht="15.95" customHeight="1">
      <c r="A7" s="248"/>
      <c r="B7" s="309" t="str">
        <f>IF(Lang.="V","Trong đó :","Where:")</f>
        <v>Trong đó :</v>
      </c>
      <c r="C7" s="297"/>
      <c r="D7" s="297"/>
      <c r="E7" s="297"/>
      <c r="F7" s="297"/>
      <c r="G7" s="297"/>
      <c r="H7" s="297"/>
      <c r="I7" s="297"/>
      <c r="J7" s="297"/>
      <c r="K7" s="297"/>
      <c r="L7" s="297"/>
      <c r="M7" s="248"/>
      <c r="N7" s="249"/>
      <c r="O7" s="249"/>
      <c r="P7" s="249"/>
      <c r="Q7" s="249"/>
      <c r="R7" s="249"/>
      <c r="S7" s="248"/>
    </row>
    <row r="8" spans="1:19" ht="15.95" customHeight="1">
      <c r="A8" s="248"/>
      <c r="B8" s="295" t="s">
        <v>438</v>
      </c>
      <c r="C8" s="297"/>
      <c r="D8" s="297"/>
      <c r="E8" s="297"/>
      <c r="F8" s="297"/>
      <c r="G8" s="297"/>
      <c r="H8" s="297"/>
      <c r="I8" s="297"/>
      <c r="J8" s="297"/>
      <c r="K8" s="297"/>
      <c r="L8" s="297"/>
      <c r="M8" s="248"/>
      <c r="N8" s="249"/>
      <c r="O8" s="249"/>
      <c r="P8" s="249"/>
      <c r="Q8" s="249"/>
      <c r="R8" s="249"/>
      <c r="S8" s="248"/>
    </row>
    <row r="9" spans="1:19" ht="15.95" customHeight="1">
      <c r="A9" s="248"/>
      <c r="B9" s="295" t="s">
        <v>449</v>
      </c>
      <c r="C9" s="296"/>
      <c r="D9" s="297"/>
      <c r="E9" s="297"/>
      <c r="F9" s="297"/>
      <c r="G9" s="297"/>
      <c r="H9" s="297"/>
      <c r="I9" s="298"/>
      <c r="J9" s="301"/>
      <c r="K9" s="295"/>
      <c r="L9" s="297"/>
      <c r="M9" s="248"/>
      <c r="N9" s="254"/>
      <c r="O9" s="254"/>
      <c r="P9" s="254"/>
      <c r="Q9" s="254"/>
      <c r="R9" s="254"/>
      <c r="S9" s="252"/>
    </row>
    <row r="10" spans="1:19" ht="15.95" customHeight="1">
      <c r="A10" s="248"/>
      <c r="B10" s="295" t="s">
        <v>421</v>
      </c>
      <c r="C10" s="296"/>
      <c r="D10" s="297"/>
      <c r="E10" s="297"/>
      <c r="F10" s="297"/>
      <c r="G10" s="297"/>
      <c r="H10" s="297"/>
      <c r="I10" s="297"/>
      <c r="J10" s="297"/>
      <c r="K10" s="297"/>
      <c r="L10" s="297"/>
      <c r="M10" s="248"/>
      <c r="N10" s="249"/>
      <c r="O10" s="249"/>
      <c r="P10" s="249"/>
      <c r="Q10" s="249"/>
      <c r="R10" s="249"/>
      <c r="S10" s="248"/>
    </row>
    <row r="11" spans="1:19" ht="15.95" customHeight="1">
      <c r="A11" s="291" t="s">
        <v>446</v>
      </c>
      <c r="B11" s="295" t="s">
        <v>440</v>
      </c>
      <c r="C11" s="296"/>
      <c r="D11" s="297"/>
      <c r="E11" s="297"/>
      <c r="F11" s="297"/>
      <c r="G11" s="297"/>
      <c r="H11" s="297"/>
      <c r="I11" s="298"/>
      <c r="J11" s="299"/>
      <c r="K11" s="295"/>
      <c r="L11" s="297"/>
      <c r="M11" s="248"/>
      <c r="N11" s="249"/>
      <c r="O11" s="249"/>
      <c r="P11" s="249"/>
      <c r="Q11" s="249"/>
      <c r="R11" s="249"/>
      <c r="S11" s="248"/>
    </row>
    <row r="12" spans="1:19" ht="15.95" customHeight="1">
      <c r="A12" s="248"/>
      <c r="B12" s="295" t="s">
        <v>441</v>
      </c>
      <c r="C12" s="296"/>
      <c r="D12" s="297"/>
      <c r="E12" s="297"/>
      <c r="F12" s="297"/>
      <c r="G12" s="297"/>
      <c r="H12" s="297"/>
      <c r="I12" s="298"/>
      <c r="J12" s="299"/>
      <c r="K12" s="295"/>
      <c r="L12" s="297"/>
      <c r="M12" s="248"/>
      <c r="N12" s="249"/>
      <c r="O12" s="249"/>
      <c r="P12" s="249"/>
      <c r="Q12" s="249"/>
      <c r="R12" s="249"/>
      <c r="S12" s="248"/>
    </row>
    <row r="13" spans="1:19" ht="20.100000000000001" customHeight="1">
      <c r="A13" s="248"/>
      <c r="B13" s="310" t="s">
        <v>478</v>
      </c>
      <c r="C13" s="296"/>
      <c r="D13" s="297"/>
      <c r="E13" s="297"/>
      <c r="F13" s="297"/>
      <c r="G13" s="297"/>
      <c r="H13" s="297"/>
      <c r="I13" s="298"/>
      <c r="J13" s="299"/>
      <c r="K13" s="295"/>
      <c r="L13" s="297"/>
      <c r="M13" s="248"/>
      <c r="N13" s="249"/>
      <c r="O13" s="249"/>
      <c r="P13" s="249"/>
      <c r="Q13" s="249"/>
      <c r="R13" s="249"/>
      <c r="S13" s="248"/>
    </row>
    <row r="14" spans="1:19" ht="15.95" customHeight="1">
      <c r="A14" s="248"/>
      <c r="B14" s="309" t="str">
        <f>IF(Lang.="V","Trong đó :","Where:")</f>
        <v>Trong đó :</v>
      </c>
      <c r="C14" s="296"/>
      <c r="D14" s="297"/>
      <c r="E14" s="297"/>
      <c r="F14" s="297"/>
      <c r="G14" s="297"/>
      <c r="H14" s="297"/>
      <c r="I14" s="298"/>
      <c r="J14" s="299"/>
      <c r="K14" s="295"/>
      <c r="L14" s="297"/>
      <c r="M14" s="248"/>
      <c r="N14" s="249"/>
      <c r="O14" s="249"/>
      <c r="P14" s="249"/>
      <c r="Q14" s="249"/>
      <c r="R14" s="249"/>
      <c r="S14" s="248"/>
    </row>
    <row r="15" spans="1:19" ht="15.95" customHeight="1">
      <c r="A15" s="248"/>
      <c r="B15" s="362" t="s">
        <v>447</v>
      </c>
      <c r="C15" s="362"/>
      <c r="D15" s="362"/>
      <c r="E15" s="362"/>
      <c r="F15" s="362"/>
      <c r="G15" s="362"/>
      <c r="H15" s="362"/>
      <c r="I15" s="362"/>
      <c r="J15" s="362"/>
      <c r="K15" s="362"/>
      <c r="L15" s="362"/>
      <c r="M15" s="248"/>
      <c r="N15" s="249"/>
      <c r="O15" s="249"/>
      <c r="P15" s="249"/>
      <c r="Q15" s="249"/>
      <c r="R15" s="249"/>
      <c r="S15" s="248"/>
    </row>
    <row r="16" spans="1:19" ht="15.95" customHeight="1">
      <c r="A16" s="248"/>
      <c r="B16" s="255" t="s">
        <v>442</v>
      </c>
      <c r="C16" s="253"/>
      <c r="D16" s="248"/>
      <c r="E16" s="248"/>
      <c r="F16" s="248"/>
      <c r="G16" s="248"/>
      <c r="H16" s="248"/>
      <c r="I16" s="252"/>
      <c r="J16" s="256"/>
      <c r="K16" s="255"/>
      <c r="L16" s="248"/>
      <c r="M16" s="248"/>
      <c r="N16" s="249"/>
      <c r="O16" s="249"/>
      <c r="P16" s="249"/>
      <c r="Q16" s="249"/>
      <c r="R16" s="249"/>
      <c r="S16" s="248"/>
    </row>
    <row r="17" spans="1:24" ht="30" customHeight="1">
      <c r="A17" s="248"/>
      <c r="B17" s="359" t="s">
        <v>443</v>
      </c>
      <c r="C17" s="359"/>
      <c r="D17" s="359"/>
      <c r="E17" s="359"/>
      <c r="F17" s="359"/>
      <c r="G17" s="359"/>
      <c r="H17" s="359"/>
      <c r="I17" s="359"/>
      <c r="J17" s="359"/>
      <c r="K17" s="359"/>
      <c r="L17" s="359"/>
      <c r="M17" s="248"/>
      <c r="N17" s="249"/>
      <c r="O17" s="249"/>
      <c r="P17" s="249"/>
      <c r="Q17" s="249"/>
      <c r="R17" s="249"/>
      <c r="S17" s="248"/>
    </row>
    <row r="18" spans="1:24" ht="20.100000000000001" customHeight="1">
      <c r="A18" s="248"/>
      <c r="B18" s="294" t="s">
        <v>479</v>
      </c>
      <c r="C18" s="253"/>
      <c r="D18" s="248"/>
      <c r="E18" s="248"/>
      <c r="F18" s="248"/>
      <c r="G18" s="248"/>
      <c r="H18" s="248"/>
      <c r="I18" s="252"/>
      <c r="J18" s="256"/>
      <c r="K18" s="255"/>
      <c r="L18" s="248"/>
      <c r="M18" s="248"/>
      <c r="N18" s="249"/>
      <c r="O18" s="249"/>
      <c r="P18" s="249"/>
      <c r="Q18" s="249"/>
      <c r="R18" s="249"/>
      <c r="S18" s="248"/>
    </row>
    <row r="19" spans="1:24" ht="15.95" customHeight="1">
      <c r="A19" s="248"/>
      <c r="B19" s="290" t="str">
        <f>IF(Lang.="V","Trong đó :","Where:")</f>
        <v>Trong đó :</v>
      </c>
      <c r="C19" s="253"/>
      <c r="D19" s="248"/>
      <c r="E19" s="248"/>
      <c r="F19" s="248"/>
      <c r="G19" s="248"/>
      <c r="H19" s="248"/>
      <c r="I19" s="252"/>
      <c r="J19" s="256"/>
      <c r="K19" s="255"/>
      <c r="L19" s="248"/>
      <c r="M19" s="248"/>
      <c r="N19" s="249"/>
      <c r="O19" s="249"/>
      <c r="P19" s="249"/>
      <c r="Q19" s="249"/>
      <c r="R19" s="249"/>
      <c r="S19" s="248"/>
    </row>
    <row r="20" spans="1:24" ht="30" customHeight="1">
      <c r="A20" s="248"/>
      <c r="B20" s="359" t="s">
        <v>444</v>
      </c>
      <c r="C20" s="359"/>
      <c r="D20" s="359"/>
      <c r="E20" s="359"/>
      <c r="F20" s="359"/>
      <c r="G20" s="359"/>
      <c r="H20" s="359"/>
      <c r="I20" s="359"/>
      <c r="J20" s="359"/>
      <c r="K20" s="359"/>
      <c r="L20" s="359"/>
      <c r="M20" s="248"/>
      <c r="N20" s="249"/>
      <c r="O20" s="249"/>
      <c r="P20" s="249"/>
      <c r="Q20" s="249"/>
      <c r="R20" s="249"/>
      <c r="S20" s="248"/>
    </row>
    <row r="21" spans="1:24" ht="15.95" customHeight="1">
      <c r="A21" s="248"/>
      <c r="B21" s="255" t="s">
        <v>445</v>
      </c>
      <c r="C21" s="253"/>
      <c r="D21" s="248"/>
      <c r="E21" s="248"/>
      <c r="F21" s="248"/>
      <c r="G21" s="248"/>
      <c r="H21" s="248"/>
      <c r="I21" s="252"/>
      <c r="J21" s="256"/>
      <c r="K21" s="255"/>
      <c r="L21" s="248"/>
      <c r="M21" s="248"/>
      <c r="N21" s="249"/>
      <c r="O21" s="249"/>
      <c r="P21" s="249"/>
      <c r="Q21" s="249"/>
      <c r="R21" s="249"/>
      <c r="S21" s="248"/>
      <c r="W21" s="293" t="s">
        <v>476</v>
      </c>
      <c r="X21" s="293" t="s">
        <v>477</v>
      </c>
    </row>
    <row r="22" spans="1:24" ht="30" customHeight="1">
      <c r="A22" s="292" t="s">
        <v>446</v>
      </c>
      <c r="B22" s="359" t="s">
        <v>448</v>
      </c>
      <c r="C22" s="359"/>
      <c r="D22" s="359"/>
      <c r="E22" s="359"/>
      <c r="F22" s="359"/>
      <c r="G22" s="359"/>
      <c r="H22" s="359"/>
      <c r="I22" s="359"/>
      <c r="J22" s="359"/>
      <c r="K22" s="359"/>
      <c r="L22" s="359"/>
      <c r="M22" s="248"/>
      <c r="N22" s="249"/>
      <c r="O22" s="249"/>
      <c r="P22" s="249"/>
      <c r="Q22" s="249"/>
      <c r="R22" s="249"/>
      <c r="S22" s="248"/>
      <c r="W22" s="293">
        <v>0</v>
      </c>
      <c r="X22" s="293">
        <v>0.05</v>
      </c>
    </row>
    <row r="23" spans="1:24" ht="20.100000000000001" customHeight="1">
      <c r="A23" s="248"/>
      <c r="B23" s="294" t="s">
        <v>480</v>
      </c>
      <c r="C23" s="253"/>
      <c r="D23" s="248"/>
      <c r="E23" s="248"/>
      <c r="F23" s="248"/>
      <c r="G23" s="248"/>
      <c r="H23" s="248"/>
      <c r="I23" s="252"/>
      <c r="J23" s="256"/>
      <c r="K23" s="255"/>
      <c r="L23" s="248"/>
      <c r="M23" s="248"/>
      <c r="N23" s="249"/>
      <c r="O23" s="249"/>
      <c r="P23" s="249"/>
      <c r="Q23" s="249"/>
      <c r="R23" s="249"/>
      <c r="S23" s="248"/>
      <c r="W23" s="293">
        <v>25</v>
      </c>
      <c r="X23" s="293">
        <v>0.15</v>
      </c>
    </row>
    <row r="24" spans="1:24" ht="15.95" customHeight="1">
      <c r="A24" s="248"/>
      <c r="B24" s="290" t="str">
        <f>IF(Lang.="V","Trong đó :","Where:")</f>
        <v>Trong đó :</v>
      </c>
      <c r="C24" s="253"/>
      <c r="D24" s="248"/>
      <c r="E24" s="248"/>
      <c r="F24" s="248"/>
      <c r="G24" s="248"/>
      <c r="H24" s="248"/>
      <c r="I24" s="252"/>
      <c r="J24" s="256"/>
      <c r="K24" s="255"/>
      <c r="L24" s="248"/>
      <c r="M24" s="248"/>
      <c r="N24" s="249"/>
      <c r="O24" s="249"/>
      <c r="P24" s="249"/>
      <c r="Q24" s="249"/>
      <c r="R24" s="249"/>
      <c r="S24" s="248"/>
      <c r="W24" s="293">
        <v>50</v>
      </c>
      <c r="X24" s="293">
        <v>0.32</v>
      </c>
    </row>
    <row r="25" spans="1:24" ht="15.95" customHeight="1">
      <c r="A25" s="248"/>
      <c r="B25" s="255" t="s">
        <v>450</v>
      </c>
      <c r="C25" s="253"/>
      <c r="D25" s="248"/>
      <c r="E25" s="248"/>
      <c r="F25" s="248"/>
      <c r="G25" s="248"/>
      <c r="H25" s="248"/>
      <c r="I25" s="252"/>
      <c r="J25" s="256"/>
      <c r="K25" s="255"/>
      <c r="L25" s="248"/>
      <c r="M25" s="248"/>
      <c r="N25" s="249"/>
      <c r="O25" s="249"/>
      <c r="P25" s="249"/>
      <c r="Q25" s="249"/>
      <c r="R25" s="249"/>
      <c r="S25" s="248"/>
      <c r="W25" s="293">
        <v>75</v>
      </c>
      <c r="X25" s="293">
        <v>0.6</v>
      </c>
    </row>
    <row r="26" spans="1:24" ht="15.95" customHeight="1">
      <c r="A26" s="248"/>
      <c r="B26" s="295" t="s">
        <v>451</v>
      </c>
      <c r="C26" s="296"/>
      <c r="D26" s="297"/>
      <c r="E26" s="297"/>
      <c r="F26" s="297"/>
      <c r="G26" s="297"/>
      <c r="H26" s="297"/>
      <c r="I26" s="298"/>
      <c r="J26" s="299"/>
      <c r="K26" s="295"/>
      <c r="L26" s="297"/>
      <c r="M26" s="248"/>
      <c r="N26" s="249"/>
      <c r="O26" s="249"/>
      <c r="P26" s="249"/>
      <c r="Q26" s="249"/>
      <c r="R26" s="249"/>
      <c r="S26" s="248"/>
      <c r="W26" s="293">
        <v>90</v>
      </c>
      <c r="X26" s="293">
        <v>1</v>
      </c>
    </row>
    <row r="27" spans="1:24" ht="15.95" customHeight="1">
      <c r="A27" s="248"/>
      <c r="B27" s="295" t="s">
        <v>452</v>
      </c>
      <c r="C27" s="296"/>
      <c r="D27" s="297"/>
      <c r="E27" s="297"/>
      <c r="F27" s="297"/>
      <c r="G27" s="297"/>
      <c r="H27" s="297"/>
      <c r="I27" s="298"/>
      <c r="J27" s="299"/>
      <c r="K27" s="295"/>
      <c r="L27" s="297"/>
      <c r="M27" s="248"/>
      <c r="N27" s="249"/>
      <c r="O27" s="249"/>
      <c r="P27" s="249"/>
      <c r="Q27" s="249"/>
      <c r="R27" s="249"/>
      <c r="S27" s="248"/>
      <c r="W27" s="293">
        <v>100</v>
      </c>
      <c r="X27" s="293">
        <v>1</v>
      </c>
    </row>
    <row r="28" spans="1:24" ht="15.95" customHeight="1">
      <c r="A28" s="248"/>
      <c r="B28" s="295"/>
      <c r="C28" s="296"/>
      <c r="D28" s="297"/>
      <c r="E28" s="297"/>
      <c r="F28" s="297"/>
      <c r="G28" s="297"/>
      <c r="H28" s="297"/>
      <c r="I28" s="298"/>
      <c r="J28" s="299"/>
      <c r="K28" s="295"/>
      <c r="L28" s="297"/>
      <c r="M28" s="248"/>
      <c r="N28" s="249"/>
      <c r="O28" s="249"/>
      <c r="P28" s="249"/>
      <c r="Q28" s="249"/>
      <c r="R28" s="249"/>
      <c r="S28" s="248"/>
    </row>
    <row r="29" spans="1:24" ht="15.95" customHeight="1">
      <c r="A29" s="250" t="str">
        <f>IF(Lang.="V","2. Tính toán sức chịu tải của cọc :","2. Calculation of pile's bearing capacity:")</f>
        <v>2. Tính toán sức chịu tải của cọc :</v>
      </c>
      <c r="B29" s="300"/>
      <c r="C29" s="297"/>
      <c r="D29" s="297"/>
      <c r="E29" s="297"/>
      <c r="F29" s="297"/>
      <c r="G29" s="297"/>
      <c r="H29" s="297"/>
      <c r="I29" s="297"/>
      <c r="J29" s="300"/>
      <c r="K29" s="295"/>
      <c r="L29" s="297"/>
      <c r="M29" s="248"/>
      <c r="N29" s="249"/>
      <c r="O29" s="249"/>
      <c r="P29" s="249"/>
      <c r="Q29" s="249"/>
      <c r="R29" s="249"/>
      <c r="S29" s="248"/>
    </row>
    <row r="30" spans="1:24" ht="15.95" customHeight="1">
      <c r="A30" s="250"/>
      <c r="B30" s="297" t="str">
        <f>IF(Lang.="v","- Loại cọc :","Pile type:")</f>
        <v>- Loại cọc :</v>
      </c>
      <c r="C30" s="297"/>
      <c r="D30" s="297"/>
      <c r="E30" s="297"/>
      <c r="F30" s="297"/>
      <c r="G30" s="297"/>
      <c r="H30" s="297"/>
      <c r="I30" s="297"/>
      <c r="J30" s="301" t="s">
        <v>471</v>
      </c>
      <c r="K30" s="297"/>
      <c r="L30" s="297"/>
      <c r="M30" s="248"/>
      <c r="N30" s="249"/>
      <c r="O30" s="249"/>
      <c r="P30" s="249"/>
      <c r="Q30" s="249"/>
      <c r="R30" s="249"/>
      <c r="S30" s="248"/>
    </row>
    <row r="31" spans="1:24" ht="15.95" customHeight="1">
      <c r="A31" s="250"/>
      <c r="B31" s="297" t="str">
        <f>IF(Lang.="v","- Kích thước cọc:","Dimension of pile : D =")</f>
        <v>- Kích thước cọc:</v>
      </c>
      <c r="C31" s="297"/>
      <c r="D31" s="297"/>
      <c r="E31" s="297"/>
      <c r="F31" s="295"/>
      <c r="G31" s="297"/>
      <c r="H31" s="297"/>
      <c r="I31" s="297" t="s">
        <v>455</v>
      </c>
      <c r="J31" s="302">
        <v>1</v>
      </c>
      <c r="K31" s="297" t="s">
        <v>1</v>
      </c>
      <c r="L31" s="297"/>
      <c r="M31" s="248"/>
      <c r="N31" s="249"/>
      <c r="O31" s="249"/>
      <c r="P31" s="249"/>
      <c r="Q31" s="249"/>
      <c r="R31" s="249"/>
      <c r="S31" s="248"/>
    </row>
    <row r="32" spans="1:24" ht="15.95" customHeight="1">
      <c r="B32" s="297" t="str">
        <f>IF(Lang.="v","- Loại tiết diện cọc :","Section type:")</f>
        <v>- Loại tiết diện cọc :</v>
      </c>
      <c r="C32" s="297"/>
      <c r="D32" s="297"/>
      <c r="E32" s="297"/>
      <c r="F32" s="297"/>
      <c r="G32" s="297"/>
      <c r="H32" s="297"/>
      <c r="I32" s="295"/>
      <c r="J32" s="302" t="s">
        <v>114</v>
      </c>
      <c r="K32" s="297"/>
      <c r="L32" s="297"/>
    </row>
    <row r="33" spans="1:19" ht="15.95" customHeight="1">
      <c r="A33" s="248"/>
      <c r="B33" s="303" t="s">
        <v>456</v>
      </c>
      <c r="C33" s="297"/>
      <c r="D33" s="297"/>
      <c r="E33" s="297"/>
      <c r="F33" s="297"/>
      <c r="G33" s="297"/>
      <c r="H33" s="297"/>
      <c r="I33" s="297" t="s">
        <v>422</v>
      </c>
      <c r="J33" s="299">
        <f>IF(RIGHT($J$32,1)&lt;&gt;";",3.14*J31^2/4,J31^2)</f>
        <v>0.78500000000000003</v>
      </c>
      <c r="K33" s="295" t="s">
        <v>300</v>
      </c>
      <c r="L33" s="297"/>
      <c r="M33" s="248"/>
      <c r="N33" s="249"/>
      <c r="O33" s="249"/>
      <c r="P33" s="249"/>
      <c r="Q33" s="249"/>
      <c r="R33" s="249"/>
      <c r="S33" s="248"/>
    </row>
    <row r="34" spans="1:19" ht="15.95" customHeight="1">
      <c r="A34" s="248"/>
      <c r="B34" s="304" t="s">
        <v>453</v>
      </c>
      <c r="C34" s="297"/>
      <c r="D34" s="297"/>
      <c r="E34" s="297"/>
      <c r="F34" s="297"/>
      <c r="G34" s="297"/>
      <c r="H34" s="297"/>
      <c r="I34" s="297" t="s">
        <v>454</v>
      </c>
      <c r="J34" s="302">
        <v>2</v>
      </c>
      <c r="K34" s="305" t="s">
        <v>1</v>
      </c>
      <c r="L34" s="297"/>
      <c r="M34" s="248"/>
      <c r="N34" s="249"/>
      <c r="O34" s="249"/>
      <c r="P34" s="249"/>
      <c r="Q34" s="249"/>
      <c r="R34" s="249"/>
      <c r="S34" s="248"/>
    </row>
    <row r="35" spans="1:19" ht="15.95" customHeight="1">
      <c r="B35" s="304" t="s">
        <v>457</v>
      </c>
      <c r="C35" s="297"/>
      <c r="D35" s="297"/>
      <c r="E35" s="297"/>
      <c r="F35" s="297"/>
      <c r="G35" s="297"/>
      <c r="H35" s="297"/>
      <c r="I35" s="297" t="s">
        <v>458</v>
      </c>
      <c r="J35" s="302">
        <v>55</v>
      </c>
      <c r="K35" s="297" t="s">
        <v>459</v>
      </c>
      <c r="L35" s="297"/>
    </row>
    <row r="36" spans="1:19" ht="15.95" customHeight="1">
      <c r="B36" s="304" t="s">
        <v>460</v>
      </c>
      <c r="C36" s="297"/>
      <c r="D36" s="297"/>
      <c r="E36" s="297"/>
      <c r="F36" s="297"/>
      <c r="G36" s="297"/>
      <c r="H36" s="297"/>
      <c r="I36" s="297" t="s">
        <v>461</v>
      </c>
      <c r="J36" s="313">
        <f>NS_DOC(W22:X27,J35,2)</f>
        <v>0.376</v>
      </c>
      <c r="K36" s="297"/>
      <c r="L36" s="297"/>
    </row>
    <row r="37" spans="1:19" ht="15.95" customHeight="1">
      <c r="B37" s="304" t="s">
        <v>464</v>
      </c>
      <c r="C37" s="297"/>
      <c r="D37" s="297"/>
      <c r="E37" s="297"/>
      <c r="F37" s="297"/>
      <c r="G37" s="297"/>
      <c r="H37" s="297"/>
      <c r="I37" s="297" t="s">
        <v>462</v>
      </c>
      <c r="J37" s="302">
        <v>109.3</v>
      </c>
      <c r="K37" s="297" t="s">
        <v>463</v>
      </c>
      <c r="L37" s="297"/>
    </row>
    <row r="38" spans="1:19" ht="15.95" customHeight="1">
      <c r="B38" s="304" t="s">
        <v>465</v>
      </c>
      <c r="C38" s="297"/>
      <c r="D38" s="297"/>
      <c r="E38" s="297"/>
      <c r="F38" s="297"/>
      <c r="G38" s="297"/>
      <c r="H38" s="297"/>
      <c r="I38" s="297" t="s">
        <v>466</v>
      </c>
      <c r="J38" s="306">
        <f>J36*J37</f>
        <v>41.096800000000002</v>
      </c>
      <c r="K38" s="297" t="s">
        <v>463</v>
      </c>
      <c r="L38" s="297"/>
    </row>
    <row r="39" spans="1:19" ht="15.95" customHeight="1">
      <c r="B39" s="304" t="s">
        <v>468</v>
      </c>
      <c r="C39" s="297"/>
      <c r="D39" s="297"/>
      <c r="E39" s="297"/>
      <c r="F39" s="297"/>
      <c r="G39" s="297"/>
      <c r="H39" s="297"/>
      <c r="I39" s="297" t="s">
        <v>467</v>
      </c>
      <c r="J39" s="306">
        <f>J38/1.4</f>
        <v>29.354857142857146</v>
      </c>
      <c r="K39" s="297" t="s">
        <v>463</v>
      </c>
      <c r="L39" s="297"/>
    </row>
    <row r="40" spans="1:19" ht="15.95" customHeight="1">
      <c r="B40" s="304" t="s">
        <v>469</v>
      </c>
      <c r="C40" s="297"/>
      <c r="D40" s="297"/>
      <c r="E40" s="297"/>
      <c r="F40" s="297"/>
      <c r="G40" s="297"/>
      <c r="H40" s="297"/>
      <c r="I40" s="297" t="s">
        <v>470</v>
      </c>
      <c r="J40" s="307">
        <f>IF(IF(J34&lt;0.5,J39,J39*IF(1+0.4*J34/J31&lt;3,1+0.4*J34/J31,3))&lt;20,IF(J34&lt;0.5,J39,J39*IF(1+0.4*J34/J31&lt;3,1+0.4*J34/J31,3)),20)</f>
        <v>20</v>
      </c>
      <c r="K40" s="297" t="s">
        <v>463</v>
      </c>
      <c r="L40" s="297"/>
    </row>
    <row r="41" spans="1:19" ht="15.95" customHeight="1">
      <c r="B41" s="308" t="s">
        <v>481</v>
      </c>
      <c r="C41" s="297"/>
      <c r="D41" s="297"/>
      <c r="E41" s="297"/>
      <c r="F41" s="297"/>
      <c r="G41" s="297"/>
      <c r="H41" s="297"/>
      <c r="I41" s="297" t="s">
        <v>473</v>
      </c>
      <c r="J41" s="301">
        <f>J33*1000*J40</f>
        <v>15700</v>
      </c>
      <c r="K41" s="297" t="s">
        <v>474</v>
      </c>
      <c r="L41" s="297"/>
    </row>
    <row r="42" spans="1:19" ht="15.95" customHeight="1">
      <c r="B42" s="297"/>
      <c r="C42" s="297"/>
      <c r="D42" s="297"/>
      <c r="E42" s="297"/>
      <c r="F42" s="297"/>
      <c r="G42" s="297"/>
      <c r="H42" s="297"/>
      <c r="I42" s="297"/>
      <c r="J42" s="297"/>
      <c r="K42" s="297"/>
      <c r="L42" s="297"/>
    </row>
  </sheetData>
  <sheetProtection formatCells="0" formatColumns="0" formatRows="0" insertColumns="0" insertRows="0" insertHyperlinks="0" deleteColumns="0" deleteRows="0" selectLockedCells="1" sort="0" autoFilter="0" pivotTables="0"/>
  <protectedRanges>
    <protectedRange sqref="F2" name="Range1_1_1"/>
    <protectedRange sqref="K2:L2" name="Range1_1_1_1"/>
  </protectedRanges>
  <mergeCells count="6">
    <mergeCell ref="B22:L22"/>
    <mergeCell ref="C2:D2"/>
    <mergeCell ref="A1:L1"/>
    <mergeCell ref="B17:L17"/>
    <mergeCell ref="B20:L20"/>
    <mergeCell ref="B15:L15"/>
  </mergeCells>
  <phoneticPr fontId="11" type="noConversion"/>
  <dataValidations disablePrompts="1" count="2">
    <dataValidation allowBlank="1" showInputMessage="1" showErrorMessage="1" errorTitle="Error!" error="Nhập 30 với cọc đóng!_x000a_Nhập 15 với cọc nhồi!" sqref="J9"/>
    <dataValidation type="list" allowBlank="1" showInputMessage="1" showErrorMessage="1" errorTitle="Error" error="Vuông hoặc tròn!" sqref="J32">
      <formula1>"Vuông;,Tròn,Rec;,Circle,Chữ nhật;,"</formula1>
    </dataValidation>
  </dataValidations>
  <printOptions horizontalCentered="1"/>
  <pageMargins left="0.98425196850393704" right="0.59055118110236227" top="0.98425196850393704" bottom="0.59055118110236227" header="0.39370078740157483" footer="0.39370078740157483"/>
  <pageSetup paperSize="9" orientation="portrait" r:id="rId1"/>
  <headerFooter alignWithMargins="0"/>
  <drawing r:id="rId2"/>
  <legacyDrawing r:id="rId3"/>
  <controls>
    <mc:AlternateContent xmlns:mc="http://schemas.openxmlformats.org/markup-compatibility/2006">
      <mc:Choice Requires="x14">
        <control shapeId="1759642" r:id="rId4" name="XuatKQ_JP">
          <controlPr defaultSize="0" autoFill="0" autoLine="0" autoPict="0" r:id="rId5">
            <anchor moveWithCells="1">
              <from>
                <xdr:col>19</xdr:col>
                <xdr:colOff>209550</xdr:colOff>
                <xdr:row>5</xdr:row>
                <xdr:rowOff>38100</xdr:rowOff>
              </from>
              <to>
                <xdr:col>20</xdr:col>
                <xdr:colOff>381000</xdr:colOff>
                <xdr:row>7</xdr:row>
                <xdr:rowOff>38100</xdr:rowOff>
              </to>
            </anchor>
          </controlPr>
        </control>
      </mc:Choice>
      <mc:Fallback>
        <control shapeId="1759642" r:id="rId4" name="XuatKQ_JP"/>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tabColor theme="8" tint="-0.249977111117893"/>
  </sheetPr>
  <dimension ref="A1:Q99"/>
  <sheetViews>
    <sheetView view="pageBreakPreview" topLeftCell="A5" zoomScaleNormal="100" zoomScaleSheetLayoutView="100" workbookViewId="0">
      <selection activeCell="S21" sqref="S21"/>
    </sheetView>
  </sheetViews>
  <sheetFormatPr defaultColWidth="7.77734375" defaultRowHeight="15.95" customHeight="1"/>
  <cols>
    <col min="1" max="1" width="2.77734375" style="146" customWidth="1"/>
    <col min="2" max="2" width="7.33203125" style="146" customWidth="1"/>
    <col min="3" max="3" width="5.77734375" style="146" customWidth="1"/>
    <col min="4" max="11" width="5.6640625" style="146" customWidth="1"/>
    <col min="12" max="12" width="6.33203125" style="146" customWidth="1"/>
    <col min="13" max="13" width="5.77734375" style="146" customWidth="1"/>
    <col min="14" max="14" width="8" style="146" customWidth="1"/>
    <col min="15" max="16" width="7.77734375" style="146" customWidth="1"/>
    <col min="17" max="16384" width="7.77734375" style="146"/>
  </cols>
  <sheetData>
    <row r="1" spans="2:17" s="145" customFormat="1" ht="39.950000000000003" customHeight="1">
      <c r="B1" s="383" t="s">
        <v>489</v>
      </c>
      <c r="C1" s="383"/>
      <c r="D1" s="383"/>
      <c r="E1" s="383"/>
      <c r="F1" s="383"/>
      <c r="G1" s="383"/>
      <c r="H1" s="383"/>
      <c r="I1" s="383"/>
      <c r="J1" s="383"/>
      <c r="K1" s="383"/>
      <c r="L1" s="383"/>
      <c r="M1" s="383"/>
      <c r="N1" s="275"/>
    </row>
    <row r="2" spans="2:17" ht="9.9499999999999993" customHeight="1">
      <c r="B2" s="160"/>
      <c r="C2" s="160"/>
      <c r="D2" s="160"/>
      <c r="E2" s="160"/>
      <c r="F2" s="160"/>
      <c r="G2" s="160"/>
      <c r="H2" s="160"/>
      <c r="I2" s="160"/>
      <c r="J2" s="160"/>
      <c r="K2" s="160"/>
      <c r="L2" s="160"/>
      <c r="M2" s="160"/>
      <c r="N2" s="160"/>
    </row>
    <row r="3" spans="2:17" s="244" customFormat="1" ht="15" customHeight="1">
      <c r="B3" s="265" t="s">
        <v>429</v>
      </c>
      <c r="C3" s="164"/>
      <c r="D3" s="165"/>
      <c r="E3" s="160"/>
      <c r="F3" s="160"/>
      <c r="G3" s="160"/>
      <c r="H3" s="266"/>
      <c r="I3" s="266"/>
      <c r="J3" s="163"/>
      <c r="K3" s="163"/>
      <c r="L3" s="267"/>
      <c r="M3" s="268"/>
      <c r="N3" s="195"/>
      <c r="Q3" s="243"/>
    </row>
    <row r="4" spans="2:17" s="244" customFormat="1" ht="15" customHeight="1">
      <c r="B4" s="166" t="s">
        <v>389</v>
      </c>
      <c r="C4" s="166"/>
      <c r="D4" s="166"/>
      <c r="E4" s="166" t="s">
        <v>410</v>
      </c>
      <c r="F4" s="166"/>
      <c r="G4" s="166"/>
      <c r="H4" s="166"/>
      <c r="I4" s="166"/>
      <c r="J4" s="166"/>
      <c r="K4" s="166"/>
      <c r="L4" s="166"/>
      <c r="M4" s="166"/>
      <c r="N4" s="166"/>
      <c r="O4" s="260"/>
      <c r="P4" s="260"/>
      <c r="Q4" s="260"/>
    </row>
    <row r="5" spans="2:17" s="244" customFormat="1" ht="15" customHeight="1">
      <c r="B5" s="166" t="s">
        <v>390</v>
      </c>
      <c r="C5" s="160"/>
      <c r="D5" s="166"/>
      <c r="E5" s="166" t="s">
        <v>391</v>
      </c>
      <c r="F5" s="166"/>
      <c r="G5" s="166"/>
      <c r="H5" s="166" t="s">
        <v>392</v>
      </c>
      <c r="I5" s="166"/>
      <c r="J5" s="160" t="s">
        <v>393</v>
      </c>
      <c r="K5" s="160"/>
      <c r="L5" s="160"/>
      <c r="M5" s="166"/>
      <c r="N5" s="160"/>
      <c r="O5" s="260"/>
      <c r="P5" s="260"/>
      <c r="Q5" s="260"/>
    </row>
    <row r="6" spans="2:17" s="244" customFormat="1" ht="15" customHeight="1">
      <c r="B6" s="258" t="s">
        <v>394</v>
      </c>
      <c r="C6" s="160"/>
      <c r="D6" s="160"/>
      <c r="E6" s="166"/>
      <c r="F6" s="166"/>
      <c r="G6" s="166"/>
      <c r="H6" s="166"/>
      <c r="I6" s="166"/>
      <c r="J6" s="166"/>
      <c r="K6" s="166"/>
      <c r="L6" s="166"/>
      <c r="M6" s="166"/>
      <c r="N6" s="166"/>
      <c r="P6" s="166"/>
      <c r="Q6" s="166"/>
    </row>
    <row r="7" spans="2:17" s="244" customFormat="1" ht="15" customHeight="1">
      <c r="B7" s="166" t="s">
        <v>395</v>
      </c>
      <c r="C7" s="160"/>
      <c r="D7" s="160"/>
      <c r="E7" s="166"/>
      <c r="F7" s="166"/>
      <c r="G7" s="166"/>
      <c r="H7" s="166"/>
      <c r="I7" s="166"/>
      <c r="J7" s="166"/>
      <c r="K7" s="166"/>
      <c r="L7" s="166"/>
      <c r="M7" s="166"/>
      <c r="N7" s="166"/>
      <c r="O7" s="166"/>
      <c r="P7" s="166"/>
      <c r="Q7" s="166"/>
    </row>
    <row r="8" spans="2:17" s="244" customFormat="1" ht="15" customHeight="1">
      <c r="B8" s="166" t="s">
        <v>396</v>
      </c>
      <c r="C8" s="259"/>
      <c r="D8" s="259"/>
      <c r="E8" s="166"/>
      <c r="F8" s="166"/>
      <c r="G8" s="166"/>
      <c r="H8" s="166"/>
      <c r="I8" s="166"/>
      <c r="J8" s="166"/>
      <c r="K8" s="166"/>
      <c r="L8" s="166"/>
      <c r="M8" s="166"/>
      <c r="N8" s="166"/>
      <c r="O8" s="166"/>
    </row>
    <row r="9" spans="2:17" s="244" customFormat="1" ht="15" customHeight="1">
      <c r="B9" s="166" t="s">
        <v>397</v>
      </c>
      <c r="C9" s="259"/>
      <c r="D9" s="259"/>
      <c r="E9" s="166"/>
      <c r="F9" s="166"/>
      <c r="G9" s="166"/>
      <c r="H9" s="166"/>
      <c r="I9" s="166"/>
      <c r="J9" s="166"/>
      <c r="K9" s="166"/>
      <c r="L9" s="166"/>
      <c r="M9" s="166"/>
      <c r="N9" s="166"/>
      <c r="O9" s="166"/>
    </row>
    <row r="10" spans="2:17" s="244" customFormat="1" ht="15" customHeight="1">
      <c r="B10" s="166" t="s">
        <v>398</v>
      </c>
      <c r="C10" s="259"/>
      <c r="D10" s="259"/>
      <c r="E10" s="259"/>
      <c r="F10" s="259"/>
      <c r="G10" s="259"/>
      <c r="H10" s="259"/>
      <c r="I10" s="259"/>
      <c r="J10" s="259"/>
      <c r="K10" s="259"/>
      <c r="L10" s="259"/>
      <c r="M10" s="259"/>
      <c r="N10" s="260"/>
      <c r="O10" s="166"/>
      <c r="P10" s="166"/>
      <c r="Q10" s="166"/>
    </row>
    <row r="11" spans="2:17" s="244" customFormat="1" ht="15" customHeight="1">
      <c r="B11" s="166" t="s">
        <v>433</v>
      </c>
      <c r="C11" s="259"/>
      <c r="D11" s="259"/>
      <c r="E11" s="247"/>
      <c r="F11" s="166"/>
      <c r="G11" s="166"/>
      <c r="H11" s="247"/>
      <c r="I11" s="247"/>
      <c r="J11" s="166"/>
      <c r="K11" s="166"/>
      <c r="L11" s="259"/>
      <c r="M11" s="259"/>
      <c r="N11" s="260"/>
      <c r="O11" s="166"/>
      <c r="P11" s="166"/>
      <c r="Q11" s="166"/>
    </row>
    <row r="12" spans="2:17" s="244" customFormat="1" ht="15" customHeight="1">
      <c r="B12" s="166" t="s">
        <v>399</v>
      </c>
      <c r="C12" s="259"/>
      <c r="D12" s="259"/>
      <c r="E12" s="259"/>
      <c r="F12" s="259"/>
      <c r="G12" s="259"/>
      <c r="H12" s="160"/>
      <c r="I12" s="160"/>
      <c r="J12" s="261" t="s">
        <v>435</v>
      </c>
      <c r="K12" s="261"/>
      <c r="L12" s="247" t="s">
        <v>408</v>
      </c>
      <c r="M12" s="166">
        <f>IF(J12="I",1.2, IF(J12="II",1.15,1.1))</f>
        <v>1.1499999999999999</v>
      </c>
      <c r="N12" s="195" t="s">
        <v>411</v>
      </c>
      <c r="O12" s="166">
        <v>1.4</v>
      </c>
      <c r="P12" s="166">
        <v>1.1499999999999999</v>
      </c>
      <c r="Q12" s="166"/>
    </row>
    <row r="13" spans="2:17" s="244" customFormat="1" ht="15" customHeight="1">
      <c r="B13" s="166" t="s">
        <v>400</v>
      </c>
      <c r="C13" s="166"/>
      <c r="D13" s="166"/>
      <c r="E13" s="166"/>
      <c r="F13" s="166"/>
      <c r="G13" s="166"/>
      <c r="H13" s="166"/>
      <c r="I13" s="166"/>
      <c r="J13" s="166"/>
      <c r="K13" s="166"/>
      <c r="L13" s="166"/>
      <c r="M13" s="166"/>
      <c r="N13" s="195" t="s">
        <v>412</v>
      </c>
      <c r="O13" s="166">
        <v>1.6</v>
      </c>
      <c r="P13" s="166">
        <v>1</v>
      </c>
      <c r="Q13" s="166"/>
    </row>
    <row r="14" spans="2:17" s="244" customFormat="1" ht="15" customHeight="1">
      <c r="B14" s="166" t="s">
        <v>401</v>
      </c>
      <c r="C14" s="166"/>
      <c r="D14" s="166"/>
      <c r="E14" s="166"/>
      <c r="F14" s="166"/>
      <c r="G14" s="166"/>
      <c r="H14" s="166"/>
      <c r="I14" s="166"/>
      <c r="J14" s="247"/>
      <c r="K14" s="247" t="s">
        <v>402</v>
      </c>
      <c r="L14" s="166">
        <v>1.4</v>
      </c>
      <c r="M14" s="160" t="s">
        <v>411</v>
      </c>
      <c r="N14" s="195" t="s">
        <v>413</v>
      </c>
      <c r="O14" s="166">
        <v>1.4</v>
      </c>
      <c r="P14" s="166">
        <v>1.1499999999999999</v>
      </c>
      <c r="Q14" s="166"/>
    </row>
    <row r="15" spans="2:17" s="244" customFormat="1" ht="15" customHeight="1">
      <c r="B15" s="166" t="s">
        <v>403</v>
      </c>
      <c r="C15" s="166"/>
      <c r="D15" s="166"/>
      <c r="E15" s="166"/>
      <c r="F15" s="166"/>
      <c r="G15" s="166"/>
      <c r="H15" s="166"/>
      <c r="I15" s="166"/>
      <c r="J15" s="247"/>
      <c r="K15" s="247" t="s">
        <v>402</v>
      </c>
      <c r="L15" s="166">
        <v>1.6</v>
      </c>
      <c r="M15" s="160" t="s">
        <v>412</v>
      </c>
      <c r="N15" s="195" t="s">
        <v>414</v>
      </c>
      <c r="O15" s="166">
        <v>1.55</v>
      </c>
      <c r="P15" s="166">
        <v>1.1499999999999999</v>
      </c>
      <c r="Q15" s="166"/>
    </row>
    <row r="16" spans="2:17" s="244" customFormat="1" ht="15" customHeight="1">
      <c r="B16" s="166" t="s">
        <v>404</v>
      </c>
      <c r="C16" s="166"/>
      <c r="D16" s="166"/>
      <c r="E16" s="166"/>
      <c r="F16" s="166"/>
      <c r="G16" s="166"/>
      <c r="H16" s="166"/>
      <c r="I16" s="166"/>
      <c r="J16" s="166"/>
      <c r="K16" s="166"/>
      <c r="L16" s="166"/>
      <c r="M16" s="160"/>
      <c r="N16" s="195" t="s">
        <v>415</v>
      </c>
      <c r="O16" s="287">
        <v>1.65</v>
      </c>
      <c r="P16" s="287">
        <v>1.1499999999999999</v>
      </c>
    </row>
    <row r="17" spans="1:17" s="244" customFormat="1" ht="15" customHeight="1">
      <c r="B17" s="166"/>
      <c r="C17" s="166" t="s">
        <v>405</v>
      </c>
      <c r="D17" s="166"/>
      <c r="E17" s="166"/>
      <c r="F17" s="247" t="s">
        <v>402</v>
      </c>
      <c r="G17" s="247"/>
      <c r="H17" s="166">
        <v>1.4</v>
      </c>
      <c r="I17" s="166"/>
      <c r="J17" s="166"/>
      <c r="K17" s="166"/>
      <c r="L17" s="166"/>
      <c r="M17" s="160" t="s">
        <v>413</v>
      </c>
      <c r="N17" s="195" t="s">
        <v>416</v>
      </c>
      <c r="O17" s="287">
        <v>1.75</v>
      </c>
      <c r="P17" s="287">
        <v>1.1499999999999999</v>
      </c>
    </row>
    <row r="18" spans="1:17" s="244" customFormat="1" ht="15" customHeight="1">
      <c r="B18" s="166"/>
      <c r="C18" s="166" t="s">
        <v>406</v>
      </c>
      <c r="D18" s="166"/>
      <c r="E18" s="166"/>
      <c r="F18" s="247" t="s">
        <v>402</v>
      </c>
      <c r="G18" s="247"/>
      <c r="H18" s="166">
        <v>1.55</v>
      </c>
      <c r="I18" s="166"/>
      <c r="J18" s="166"/>
      <c r="K18" s="166"/>
      <c r="L18" s="166"/>
      <c r="M18" s="160" t="s">
        <v>414</v>
      </c>
      <c r="N18" s="195" t="s">
        <v>426</v>
      </c>
      <c r="O18" s="287">
        <v>1.75</v>
      </c>
      <c r="P18" s="287">
        <v>1</v>
      </c>
    </row>
    <row r="19" spans="1:17" s="244" customFormat="1" ht="15" customHeight="1">
      <c r="B19" s="166"/>
      <c r="C19" s="166" t="s">
        <v>407</v>
      </c>
      <c r="D19" s="166"/>
      <c r="E19" s="166"/>
      <c r="F19" s="247" t="s">
        <v>402</v>
      </c>
      <c r="G19" s="247"/>
      <c r="H19" s="166">
        <v>1.65</v>
      </c>
      <c r="I19" s="166"/>
      <c r="J19" s="166"/>
      <c r="K19" s="166"/>
      <c r="L19" s="166"/>
      <c r="M19" s="160" t="s">
        <v>415</v>
      </c>
      <c r="N19" s="195" t="s">
        <v>68</v>
      </c>
    </row>
    <row r="20" spans="1:17" s="244" customFormat="1" ht="15" customHeight="1">
      <c r="B20" s="166"/>
      <c r="C20" s="166" t="s">
        <v>424</v>
      </c>
      <c r="D20" s="166"/>
      <c r="E20" s="166"/>
      <c r="F20" s="247" t="s">
        <v>402</v>
      </c>
      <c r="G20" s="247"/>
      <c r="H20" s="166">
        <v>1.75</v>
      </c>
      <c r="I20" s="166"/>
      <c r="J20" s="166"/>
      <c r="K20" s="166"/>
      <c r="L20" s="166"/>
      <c r="M20" s="160" t="s">
        <v>416</v>
      </c>
      <c r="N20" s="166"/>
    </row>
    <row r="21" spans="1:17" s="244" customFormat="1" ht="15" customHeight="1">
      <c r="B21" s="265"/>
      <c r="C21" s="166" t="s">
        <v>425</v>
      </c>
      <c r="D21" s="166"/>
      <c r="E21" s="166"/>
      <c r="F21" s="247" t="s">
        <v>402</v>
      </c>
      <c r="G21" s="247"/>
      <c r="H21" s="166">
        <v>1.75</v>
      </c>
      <c r="I21" s="266"/>
      <c r="J21" s="163"/>
      <c r="K21" s="163"/>
      <c r="L21" s="267"/>
      <c r="M21" s="160" t="s">
        <v>426</v>
      </c>
      <c r="N21" s="195"/>
      <c r="Q21" s="243"/>
    </row>
    <row r="22" spans="1:17" s="244" customFormat="1" ht="15" customHeight="1">
      <c r="B22" s="269" t="s">
        <v>430</v>
      </c>
      <c r="C22" s="160"/>
      <c r="D22" s="160"/>
      <c r="E22" s="160"/>
      <c r="F22" s="160"/>
      <c r="G22" s="160"/>
      <c r="H22" s="160"/>
      <c r="I22" s="160"/>
      <c r="J22" s="160"/>
      <c r="K22" s="160"/>
      <c r="L22" s="160"/>
      <c r="M22" s="160"/>
      <c r="N22" s="195"/>
      <c r="O22" s="166"/>
      <c r="P22" s="166"/>
      <c r="Q22" s="166"/>
    </row>
    <row r="23" spans="1:17" s="244" customFormat="1" ht="15" customHeight="1">
      <c r="B23" s="269"/>
      <c r="C23" s="160"/>
      <c r="D23" s="160"/>
      <c r="E23" s="160"/>
      <c r="F23" s="160"/>
      <c r="G23" s="160"/>
      <c r="H23" s="160"/>
      <c r="I23" s="160"/>
      <c r="J23" s="160"/>
      <c r="K23" s="160"/>
      <c r="L23" s="160"/>
      <c r="M23" s="160"/>
      <c r="N23" s="195"/>
      <c r="O23" s="166"/>
      <c r="P23" s="166"/>
      <c r="Q23" s="166"/>
    </row>
    <row r="24" spans="1:17" s="244" customFormat="1" ht="15" customHeight="1">
      <c r="B24" s="380" t="s">
        <v>388</v>
      </c>
      <c r="C24" s="384" t="s">
        <v>409</v>
      </c>
      <c r="D24" s="365" t="s">
        <v>418</v>
      </c>
      <c r="E24" s="365"/>
      <c r="F24" s="365"/>
      <c r="G24" s="365"/>
      <c r="H24" s="365"/>
      <c r="I24" s="365"/>
      <c r="J24" s="365"/>
      <c r="K24" s="365"/>
      <c r="L24" s="365"/>
      <c r="M24" s="365"/>
      <c r="N24" s="257"/>
      <c r="O24" s="166"/>
      <c r="P24" s="166"/>
      <c r="Q24" s="166"/>
    </row>
    <row r="25" spans="1:17" s="244" customFormat="1" ht="15" customHeight="1">
      <c r="B25" s="381"/>
      <c r="C25" s="385"/>
      <c r="D25" s="186" t="s">
        <v>482</v>
      </c>
      <c r="E25" s="311" t="s">
        <v>483</v>
      </c>
      <c r="F25" s="311" t="s">
        <v>485</v>
      </c>
      <c r="G25" s="312" t="s">
        <v>484</v>
      </c>
      <c r="H25" s="312" t="s">
        <v>486</v>
      </c>
      <c r="I25" s="312" t="s">
        <v>487</v>
      </c>
      <c r="J25" s="186"/>
      <c r="K25" s="186"/>
      <c r="L25" s="186"/>
      <c r="M25" s="186"/>
      <c r="N25" s="262"/>
      <c r="O25" s="166"/>
      <c r="P25" s="166"/>
      <c r="Q25" s="166"/>
    </row>
    <row r="26" spans="1:17" s="244" customFormat="1" ht="15" hidden="1" customHeight="1">
      <c r="A26" s="244">
        <f>IF(C26="",1,"")</f>
        <v>1</v>
      </c>
      <c r="B26" s="380" t="s">
        <v>488</v>
      </c>
      <c r="C26" s="186"/>
      <c r="D26" s="186"/>
      <c r="E26" s="186"/>
      <c r="F26" s="186"/>
      <c r="G26" s="186"/>
      <c r="H26" s="186"/>
      <c r="I26" s="186"/>
      <c r="J26" s="186"/>
      <c r="K26" s="186"/>
      <c r="L26" s="186"/>
      <c r="M26" s="186"/>
      <c r="N26" s="257" t="str">
        <f t="shared" ref="N26:N40" si="0">IFERROR(AVERAGEIF(D26:M26,"&lt;&gt;0"),"-")</f>
        <v>-</v>
      </c>
      <c r="O26" s="166" t="str">
        <f t="shared" ref="O26:O40" si="1">IFERROR(AVERAGE(N62,N44,N26),"-")</f>
        <v>-</v>
      </c>
      <c r="P26" s="166"/>
      <c r="Q26" s="166"/>
    </row>
    <row r="27" spans="1:17" s="244" customFormat="1" ht="15">
      <c r="A27" s="244" t="str">
        <f t="shared" ref="A27:A41" si="2">IF(C27="",1,"")</f>
        <v/>
      </c>
      <c r="B27" s="386"/>
      <c r="C27" s="186" t="s">
        <v>472</v>
      </c>
      <c r="D27" s="186">
        <v>15700</v>
      </c>
      <c r="E27" s="314">
        <v>15700</v>
      </c>
      <c r="F27" s="314">
        <v>15700</v>
      </c>
      <c r="G27" s="314">
        <v>15700</v>
      </c>
      <c r="H27" s="314">
        <v>15700</v>
      </c>
      <c r="I27" s="314">
        <v>15700</v>
      </c>
      <c r="J27" s="270"/>
      <c r="K27" s="270"/>
      <c r="L27" s="186"/>
      <c r="M27" s="186"/>
      <c r="N27" s="257">
        <f t="shared" si="0"/>
        <v>15700</v>
      </c>
      <c r="O27" s="166">
        <f t="shared" si="1"/>
        <v>15700</v>
      </c>
      <c r="P27" s="166"/>
      <c r="Q27" s="166"/>
    </row>
    <row r="28" spans="1:17" s="244" customFormat="1" ht="15">
      <c r="A28" s="244">
        <f t="shared" si="2"/>
        <v>1</v>
      </c>
      <c r="B28" s="381"/>
      <c r="C28" s="186"/>
      <c r="D28" s="186"/>
      <c r="E28" s="186"/>
      <c r="F28" s="186"/>
      <c r="G28" s="186"/>
      <c r="H28" s="186"/>
      <c r="I28" s="186"/>
      <c r="J28" s="270"/>
      <c r="K28" s="270"/>
      <c r="L28" s="186"/>
      <c r="M28" s="186"/>
      <c r="N28" s="257" t="str">
        <f t="shared" si="0"/>
        <v>-</v>
      </c>
      <c r="O28" s="166" t="str">
        <f t="shared" si="1"/>
        <v>-</v>
      </c>
      <c r="P28" s="166"/>
      <c r="Q28" s="166"/>
    </row>
    <row r="29" spans="1:17" s="244" customFormat="1" ht="15" hidden="1">
      <c r="A29" s="244">
        <f t="shared" si="2"/>
        <v>1</v>
      </c>
      <c r="B29" s="380"/>
      <c r="C29" s="186"/>
      <c r="D29" s="186"/>
      <c r="E29" s="186"/>
      <c r="F29" s="186"/>
      <c r="G29" s="186"/>
      <c r="H29" s="186"/>
      <c r="I29" s="186"/>
      <c r="J29" s="270"/>
      <c r="K29" s="270"/>
      <c r="L29" s="186"/>
      <c r="M29" s="186"/>
      <c r="N29" s="257" t="str">
        <f t="shared" si="0"/>
        <v>-</v>
      </c>
      <c r="O29" s="166" t="str">
        <f t="shared" si="1"/>
        <v>-</v>
      </c>
      <c r="P29" s="166"/>
      <c r="Q29" s="166"/>
    </row>
    <row r="30" spans="1:17" s="244" customFormat="1" ht="15" hidden="1">
      <c r="A30" s="244">
        <f t="shared" si="2"/>
        <v>1</v>
      </c>
      <c r="B30" s="382"/>
      <c r="C30" s="186"/>
      <c r="D30" s="186"/>
      <c r="E30" s="186"/>
      <c r="F30" s="186"/>
      <c r="G30" s="186"/>
      <c r="H30" s="186"/>
      <c r="I30" s="186"/>
      <c r="J30" s="270"/>
      <c r="K30" s="270"/>
      <c r="L30" s="186"/>
      <c r="M30" s="186"/>
      <c r="N30" s="257" t="str">
        <f t="shared" si="0"/>
        <v>-</v>
      </c>
      <c r="O30" s="166" t="str">
        <f t="shared" si="1"/>
        <v>-</v>
      </c>
      <c r="P30" s="166"/>
      <c r="Q30" s="166"/>
    </row>
    <row r="31" spans="1:17" s="244" customFormat="1" ht="15" hidden="1">
      <c r="A31" s="244">
        <f t="shared" si="2"/>
        <v>1</v>
      </c>
      <c r="B31" s="381"/>
      <c r="C31" s="186"/>
      <c r="D31" s="186"/>
      <c r="E31" s="186"/>
      <c r="F31" s="186"/>
      <c r="G31" s="186"/>
      <c r="H31" s="186"/>
      <c r="I31" s="186"/>
      <c r="J31" s="270"/>
      <c r="K31" s="270"/>
      <c r="L31" s="186"/>
      <c r="M31" s="186"/>
      <c r="N31" s="257" t="str">
        <f t="shared" si="0"/>
        <v>-</v>
      </c>
      <c r="O31" s="166" t="str">
        <f t="shared" si="1"/>
        <v>-</v>
      </c>
      <c r="P31" s="166"/>
      <c r="Q31" s="166"/>
    </row>
    <row r="32" spans="1:17" s="244" customFormat="1" ht="15" hidden="1">
      <c r="A32" s="244">
        <f t="shared" si="2"/>
        <v>1</v>
      </c>
      <c r="B32" s="380"/>
      <c r="C32" s="186"/>
      <c r="D32" s="186"/>
      <c r="E32" s="186"/>
      <c r="F32" s="186"/>
      <c r="G32" s="186"/>
      <c r="H32" s="186"/>
      <c r="I32" s="186"/>
      <c r="J32" s="270"/>
      <c r="K32" s="270"/>
      <c r="L32" s="186"/>
      <c r="M32" s="186"/>
      <c r="N32" s="257" t="str">
        <f t="shared" si="0"/>
        <v>-</v>
      </c>
      <c r="O32" s="166" t="str">
        <f t="shared" si="1"/>
        <v>-</v>
      </c>
      <c r="P32" s="166"/>
      <c r="Q32" s="166"/>
    </row>
    <row r="33" spans="1:17" s="244" customFormat="1" ht="15" hidden="1">
      <c r="A33" s="244">
        <f t="shared" si="2"/>
        <v>1</v>
      </c>
      <c r="B33" s="382"/>
      <c r="C33" s="186"/>
      <c r="D33" s="186"/>
      <c r="E33" s="186"/>
      <c r="F33" s="186"/>
      <c r="G33" s="186"/>
      <c r="H33" s="186"/>
      <c r="I33" s="186"/>
      <c r="J33" s="270"/>
      <c r="K33" s="270"/>
      <c r="L33" s="186"/>
      <c r="M33" s="186"/>
      <c r="N33" s="257" t="str">
        <f t="shared" si="0"/>
        <v>-</v>
      </c>
      <c r="O33" s="166" t="str">
        <f t="shared" si="1"/>
        <v>-</v>
      </c>
      <c r="P33" s="166"/>
      <c r="Q33" s="166"/>
    </row>
    <row r="34" spans="1:17" s="244" customFormat="1" ht="15" hidden="1">
      <c r="A34" s="244">
        <f t="shared" si="2"/>
        <v>1</v>
      </c>
      <c r="B34" s="381"/>
      <c r="C34" s="186"/>
      <c r="D34" s="186"/>
      <c r="E34" s="186"/>
      <c r="F34" s="186"/>
      <c r="G34" s="186"/>
      <c r="H34" s="186"/>
      <c r="I34" s="186"/>
      <c r="J34" s="270"/>
      <c r="K34" s="270"/>
      <c r="L34" s="186"/>
      <c r="M34" s="186"/>
      <c r="N34" s="257" t="str">
        <f t="shared" si="0"/>
        <v>-</v>
      </c>
      <c r="O34" s="166" t="str">
        <f t="shared" si="1"/>
        <v>-</v>
      </c>
      <c r="P34" s="166"/>
      <c r="Q34" s="166"/>
    </row>
    <row r="35" spans="1:17" s="244" customFormat="1" ht="15" hidden="1">
      <c r="A35" s="244">
        <f t="shared" si="2"/>
        <v>1</v>
      </c>
      <c r="B35" s="380"/>
      <c r="C35" s="186"/>
      <c r="D35" s="186"/>
      <c r="E35" s="186"/>
      <c r="F35" s="186"/>
      <c r="G35" s="186"/>
      <c r="H35" s="186"/>
      <c r="I35" s="186"/>
      <c r="J35" s="270"/>
      <c r="K35" s="270"/>
      <c r="L35" s="186"/>
      <c r="M35" s="186"/>
      <c r="N35" s="257" t="str">
        <f t="shared" si="0"/>
        <v>-</v>
      </c>
      <c r="O35" s="166" t="str">
        <f t="shared" si="1"/>
        <v>-</v>
      </c>
      <c r="P35" s="166"/>
      <c r="Q35" s="166"/>
    </row>
    <row r="36" spans="1:17" s="244" customFormat="1" ht="15" hidden="1">
      <c r="A36" s="244">
        <f t="shared" si="2"/>
        <v>1</v>
      </c>
      <c r="B36" s="382"/>
      <c r="C36" s="186"/>
      <c r="D36" s="186"/>
      <c r="E36" s="186"/>
      <c r="F36" s="186"/>
      <c r="G36" s="186"/>
      <c r="H36" s="186"/>
      <c r="I36" s="186"/>
      <c r="J36" s="270"/>
      <c r="K36" s="270"/>
      <c r="L36" s="186"/>
      <c r="M36" s="186"/>
      <c r="N36" s="257" t="str">
        <f t="shared" si="0"/>
        <v>-</v>
      </c>
      <c r="O36" s="166" t="str">
        <f t="shared" si="1"/>
        <v>-</v>
      </c>
      <c r="P36" s="166"/>
      <c r="Q36" s="166"/>
    </row>
    <row r="37" spans="1:17" s="244" customFormat="1" ht="15" hidden="1">
      <c r="A37" s="244">
        <f t="shared" si="2"/>
        <v>1</v>
      </c>
      <c r="B37" s="381"/>
      <c r="C37" s="186"/>
      <c r="D37" s="186"/>
      <c r="E37" s="186"/>
      <c r="F37" s="186"/>
      <c r="G37" s="186"/>
      <c r="H37" s="186"/>
      <c r="I37" s="186"/>
      <c r="J37" s="270"/>
      <c r="K37" s="270"/>
      <c r="L37" s="186"/>
      <c r="M37" s="186"/>
      <c r="N37" s="257" t="str">
        <f t="shared" si="0"/>
        <v>-</v>
      </c>
      <c r="O37" s="166" t="str">
        <f t="shared" si="1"/>
        <v>-</v>
      </c>
      <c r="P37" s="166"/>
      <c r="Q37" s="166"/>
    </row>
    <row r="38" spans="1:17" s="244" customFormat="1" ht="15" hidden="1">
      <c r="A38" s="244">
        <f t="shared" si="2"/>
        <v>1</v>
      </c>
      <c r="B38" s="380"/>
      <c r="C38" s="186"/>
      <c r="D38" s="186"/>
      <c r="E38" s="186"/>
      <c r="F38" s="186"/>
      <c r="G38" s="186"/>
      <c r="H38" s="186"/>
      <c r="I38" s="186"/>
      <c r="J38" s="270"/>
      <c r="K38" s="270"/>
      <c r="L38" s="186"/>
      <c r="M38" s="186"/>
      <c r="N38" s="257" t="str">
        <f t="shared" si="0"/>
        <v>-</v>
      </c>
      <c r="O38" s="166" t="str">
        <f t="shared" si="1"/>
        <v>-</v>
      </c>
      <c r="P38" s="166"/>
      <c r="Q38" s="166"/>
    </row>
    <row r="39" spans="1:17" s="244" customFormat="1" ht="15" hidden="1">
      <c r="A39" s="244">
        <f t="shared" si="2"/>
        <v>1</v>
      </c>
      <c r="B39" s="382"/>
      <c r="C39" s="186"/>
      <c r="D39" s="186"/>
      <c r="E39" s="186"/>
      <c r="F39" s="186"/>
      <c r="G39" s="186"/>
      <c r="H39" s="186"/>
      <c r="I39" s="186"/>
      <c r="J39" s="270"/>
      <c r="K39" s="270"/>
      <c r="L39" s="186"/>
      <c r="M39" s="186"/>
      <c r="N39" s="257" t="str">
        <f t="shared" si="0"/>
        <v>-</v>
      </c>
      <c r="O39" s="166" t="str">
        <f t="shared" si="1"/>
        <v>-</v>
      </c>
      <c r="P39" s="166"/>
      <c r="Q39" s="166"/>
    </row>
    <row r="40" spans="1:17" s="244" customFormat="1" ht="15" hidden="1">
      <c r="B40" s="381"/>
      <c r="C40" s="186"/>
      <c r="D40" s="186"/>
      <c r="E40" s="186"/>
      <c r="F40" s="186"/>
      <c r="G40" s="186"/>
      <c r="H40" s="186"/>
      <c r="I40" s="186"/>
      <c r="J40" s="270"/>
      <c r="K40" s="270"/>
      <c r="L40" s="186"/>
      <c r="M40" s="186"/>
      <c r="N40" s="257" t="str">
        <f t="shared" si="0"/>
        <v>-</v>
      </c>
      <c r="O40" s="166" t="str">
        <f t="shared" si="1"/>
        <v>-</v>
      </c>
      <c r="P40" s="166"/>
      <c r="Q40" s="166"/>
    </row>
    <row r="41" spans="1:17" s="244" customFormat="1" ht="15" hidden="1">
      <c r="A41" s="244">
        <f t="shared" si="2"/>
        <v>1</v>
      </c>
      <c r="B41" s="272"/>
      <c r="C41" s="185"/>
      <c r="D41" s="246"/>
      <c r="E41" s="246"/>
      <c r="F41" s="246"/>
      <c r="G41" s="246"/>
      <c r="H41" s="273"/>
      <c r="I41" s="273"/>
      <c r="J41" s="274"/>
      <c r="K41" s="274"/>
      <c r="L41" s="245"/>
      <c r="M41" s="246"/>
      <c r="N41" s="257"/>
      <c r="O41" s="166"/>
      <c r="P41" s="166"/>
      <c r="Q41" s="166"/>
    </row>
    <row r="42" spans="1:17" s="244" customFormat="1" ht="15" hidden="1">
      <c r="A42" s="244">
        <f>IF(AND(B44="",B47="",B50="",B53="",B56=""),1,"")</f>
        <v>1</v>
      </c>
      <c r="B42" s="380" t="s">
        <v>388</v>
      </c>
      <c r="C42" s="384" t="s">
        <v>409</v>
      </c>
      <c r="D42" s="365" t="s">
        <v>418</v>
      </c>
      <c r="E42" s="365"/>
      <c r="F42" s="365"/>
      <c r="G42" s="365"/>
      <c r="H42" s="365"/>
      <c r="I42" s="365"/>
      <c r="J42" s="365"/>
      <c r="K42" s="365"/>
      <c r="L42" s="365"/>
      <c r="M42" s="365"/>
      <c r="N42" s="257"/>
      <c r="O42" s="166"/>
      <c r="P42" s="166"/>
      <c r="Q42" s="166"/>
    </row>
    <row r="43" spans="1:17" s="244" customFormat="1" ht="15" hidden="1">
      <c r="A43" s="244">
        <f>A42</f>
        <v>1</v>
      </c>
      <c r="B43" s="381"/>
      <c r="C43" s="385"/>
      <c r="D43" s="186"/>
      <c r="E43" s="186"/>
      <c r="F43" s="186"/>
      <c r="G43" s="186"/>
      <c r="H43" s="186"/>
      <c r="I43" s="186"/>
      <c r="J43" s="186"/>
      <c r="K43" s="186"/>
      <c r="L43" s="186"/>
      <c r="M43" s="186"/>
      <c r="N43" s="262"/>
      <c r="O43" s="166"/>
      <c r="P43" s="166"/>
      <c r="Q43" s="166"/>
    </row>
    <row r="44" spans="1:17" s="244" customFormat="1" ht="15" hidden="1">
      <c r="A44" s="244">
        <f>IF(C44="",1,"")</f>
        <v>1</v>
      </c>
      <c r="B44" s="380"/>
      <c r="C44" s="186"/>
      <c r="D44" s="263"/>
      <c r="E44" s="263"/>
      <c r="F44" s="263"/>
      <c r="G44" s="263"/>
      <c r="H44" s="264"/>
      <c r="I44" s="264"/>
      <c r="J44" s="270"/>
      <c r="K44" s="270"/>
      <c r="L44" s="271"/>
      <c r="M44" s="263"/>
      <c r="N44" s="257" t="str">
        <f t="shared" ref="N44:N58" si="3">IFERROR(AVERAGEIF(D44:M44,"&lt;&gt;0"),"-")</f>
        <v>-</v>
      </c>
      <c r="O44" s="166"/>
      <c r="P44" s="166"/>
      <c r="Q44" s="166"/>
    </row>
    <row r="45" spans="1:17" s="244" customFormat="1" ht="15" hidden="1">
      <c r="A45" s="244">
        <f t="shared" ref="A45:A57" si="4">IF(C45="",1,"")</f>
        <v>1</v>
      </c>
      <c r="B45" s="382"/>
      <c r="C45" s="186"/>
      <c r="D45" s="263"/>
      <c r="E45" s="263"/>
      <c r="F45" s="263"/>
      <c r="G45" s="263"/>
      <c r="H45" s="264"/>
      <c r="I45" s="264"/>
      <c r="J45" s="270"/>
      <c r="K45" s="270"/>
      <c r="L45" s="271"/>
      <c r="M45" s="263"/>
      <c r="N45" s="257" t="str">
        <f t="shared" si="3"/>
        <v>-</v>
      </c>
      <c r="O45" s="166"/>
      <c r="P45" s="166"/>
      <c r="Q45" s="166"/>
    </row>
    <row r="46" spans="1:17" s="244" customFormat="1" ht="15" hidden="1">
      <c r="A46" s="244">
        <f t="shared" si="4"/>
        <v>1</v>
      </c>
      <c r="B46" s="381"/>
      <c r="C46" s="186"/>
      <c r="D46" s="263"/>
      <c r="E46" s="263"/>
      <c r="F46" s="263"/>
      <c r="G46" s="263"/>
      <c r="H46" s="264"/>
      <c r="I46" s="264"/>
      <c r="J46" s="270"/>
      <c r="K46" s="270"/>
      <c r="L46" s="271"/>
      <c r="M46" s="263"/>
      <c r="N46" s="257" t="str">
        <f t="shared" si="3"/>
        <v>-</v>
      </c>
      <c r="O46" s="166"/>
      <c r="P46" s="166"/>
      <c r="Q46" s="166"/>
    </row>
    <row r="47" spans="1:17" s="244" customFormat="1" ht="15" hidden="1">
      <c r="A47" s="244">
        <f t="shared" si="4"/>
        <v>1</v>
      </c>
      <c r="B47" s="380"/>
      <c r="C47" s="186"/>
      <c r="D47" s="263"/>
      <c r="E47" s="263"/>
      <c r="F47" s="263"/>
      <c r="G47" s="263"/>
      <c r="H47" s="264"/>
      <c r="I47" s="264"/>
      <c r="J47" s="270"/>
      <c r="K47" s="270"/>
      <c r="L47" s="271"/>
      <c r="M47" s="263"/>
      <c r="N47" s="257" t="str">
        <f t="shared" si="3"/>
        <v>-</v>
      </c>
      <c r="O47" s="166"/>
      <c r="P47" s="166"/>
      <c r="Q47" s="166"/>
    </row>
    <row r="48" spans="1:17" s="244" customFormat="1" ht="15" hidden="1">
      <c r="A48" s="244">
        <f t="shared" si="4"/>
        <v>1</v>
      </c>
      <c r="B48" s="382"/>
      <c r="C48" s="186"/>
      <c r="D48" s="263"/>
      <c r="E48" s="263"/>
      <c r="F48" s="263"/>
      <c r="G48" s="263"/>
      <c r="H48" s="264"/>
      <c r="I48" s="264"/>
      <c r="J48" s="270"/>
      <c r="K48" s="270"/>
      <c r="L48" s="271"/>
      <c r="M48" s="263"/>
      <c r="N48" s="257" t="str">
        <f t="shared" si="3"/>
        <v>-</v>
      </c>
      <c r="O48" s="166"/>
      <c r="P48" s="166"/>
      <c r="Q48" s="166"/>
    </row>
    <row r="49" spans="1:17" s="244" customFormat="1" ht="15" hidden="1">
      <c r="A49" s="244">
        <f t="shared" si="4"/>
        <v>1</v>
      </c>
      <c r="B49" s="381"/>
      <c r="C49" s="186"/>
      <c r="D49" s="263"/>
      <c r="E49" s="263"/>
      <c r="F49" s="263"/>
      <c r="G49" s="263"/>
      <c r="H49" s="264"/>
      <c r="I49" s="264"/>
      <c r="J49" s="270"/>
      <c r="K49" s="270"/>
      <c r="L49" s="271"/>
      <c r="M49" s="263"/>
      <c r="N49" s="257" t="str">
        <f t="shared" si="3"/>
        <v>-</v>
      </c>
      <c r="O49" s="166"/>
      <c r="P49" s="166"/>
      <c r="Q49" s="166"/>
    </row>
    <row r="50" spans="1:17" s="244" customFormat="1" ht="15" hidden="1">
      <c r="A50" s="244">
        <f t="shared" si="4"/>
        <v>1</v>
      </c>
      <c r="B50" s="380"/>
      <c r="C50" s="186"/>
      <c r="D50" s="263"/>
      <c r="E50" s="263"/>
      <c r="F50" s="263"/>
      <c r="G50" s="263"/>
      <c r="H50" s="264"/>
      <c r="I50" s="264"/>
      <c r="J50" s="270"/>
      <c r="K50" s="270"/>
      <c r="L50" s="271"/>
      <c r="M50" s="263"/>
      <c r="N50" s="257" t="str">
        <f t="shared" si="3"/>
        <v>-</v>
      </c>
      <c r="O50" s="166"/>
      <c r="P50" s="166"/>
      <c r="Q50" s="166"/>
    </row>
    <row r="51" spans="1:17" s="244" customFormat="1" ht="15" hidden="1">
      <c r="A51" s="244">
        <f t="shared" si="4"/>
        <v>1</v>
      </c>
      <c r="B51" s="382"/>
      <c r="C51" s="186"/>
      <c r="D51" s="263"/>
      <c r="E51" s="263"/>
      <c r="F51" s="263"/>
      <c r="G51" s="263"/>
      <c r="H51" s="264"/>
      <c r="I51" s="264"/>
      <c r="J51" s="270"/>
      <c r="K51" s="270"/>
      <c r="L51" s="271"/>
      <c r="M51" s="263"/>
      <c r="N51" s="257" t="str">
        <f t="shared" si="3"/>
        <v>-</v>
      </c>
      <c r="O51" s="166"/>
      <c r="P51" s="166"/>
      <c r="Q51" s="166"/>
    </row>
    <row r="52" spans="1:17" s="244" customFormat="1" ht="15" hidden="1">
      <c r="A52" s="244">
        <f t="shared" si="4"/>
        <v>1</v>
      </c>
      <c r="B52" s="381"/>
      <c r="C52" s="186"/>
      <c r="D52" s="263"/>
      <c r="E52" s="263"/>
      <c r="F52" s="263"/>
      <c r="G52" s="263"/>
      <c r="H52" s="264"/>
      <c r="I52" s="264"/>
      <c r="J52" s="270"/>
      <c r="K52" s="270"/>
      <c r="L52" s="271"/>
      <c r="M52" s="263"/>
      <c r="N52" s="257" t="str">
        <f t="shared" si="3"/>
        <v>-</v>
      </c>
      <c r="O52" s="166"/>
      <c r="P52" s="166"/>
      <c r="Q52" s="166"/>
    </row>
    <row r="53" spans="1:17" s="244" customFormat="1" ht="15" hidden="1">
      <c r="A53" s="244">
        <f t="shared" si="4"/>
        <v>1</v>
      </c>
      <c r="B53" s="380"/>
      <c r="C53" s="186"/>
      <c r="D53" s="263"/>
      <c r="E53" s="263"/>
      <c r="F53" s="263"/>
      <c r="G53" s="263"/>
      <c r="H53" s="264"/>
      <c r="I53" s="264"/>
      <c r="J53" s="270"/>
      <c r="K53" s="270"/>
      <c r="L53" s="271"/>
      <c r="M53" s="263"/>
      <c r="N53" s="257" t="str">
        <f t="shared" si="3"/>
        <v>-</v>
      </c>
      <c r="O53" s="166"/>
      <c r="P53" s="166"/>
      <c r="Q53" s="166"/>
    </row>
    <row r="54" spans="1:17" s="244" customFormat="1" ht="15" hidden="1">
      <c r="A54" s="244">
        <f t="shared" si="4"/>
        <v>1</v>
      </c>
      <c r="B54" s="382"/>
      <c r="C54" s="186"/>
      <c r="D54" s="263"/>
      <c r="E54" s="263"/>
      <c r="F54" s="263"/>
      <c r="G54" s="263"/>
      <c r="H54" s="264"/>
      <c r="I54" s="264"/>
      <c r="J54" s="270"/>
      <c r="K54" s="270"/>
      <c r="L54" s="271"/>
      <c r="M54" s="263"/>
      <c r="N54" s="257" t="str">
        <f t="shared" si="3"/>
        <v>-</v>
      </c>
      <c r="O54" s="166"/>
      <c r="P54" s="166"/>
      <c r="Q54" s="166"/>
    </row>
    <row r="55" spans="1:17" s="244" customFormat="1" ht="15" hidden="1">
      <c r="A55" s="244">
        <f t="shared" si="4"/>
        <v>1</v>
      </c>
      <c r="B55" s="381"/>
      <c r="C55" s="186"/>
      <c r="D55" s="263"/>
      <c r="E55" s="263"/>
      <c r="F55" s="263"/>
      <c r="G55" s="263"/>
      <c r="H55" s="264"/>
      <c r="I55" s="264"/>
      <c r="J55" s="270"/>
      <c r="K55" s="270"/>
      <c r="L55" s="271"/>
      <c r="M55" s="263"/>
      <c r="N55" s="257" t="str">
        <f t="shared" si="3"/>
        <v>-</v>
      </c>
      <c r="O55" s="166"/>
      <c r="P55" s="166"/>
      <c r="Q55" s="166"/>
    </row>
    <row r="56" spans="1:17" s="244" customFormat="1" ht="15" hidden="1">
      <c r="A56" s="244">
        <f t="shared" si="4"/>
        <v>1</v>
      </c>
      <c r="B56" s="380"/>
      <c r="C56" s="186"/>
      <c r="D56" s="263"/>
      <c r="E56" s="263"/>
      <c r="F56" s="263"/>
      <c r="G56" s="263"/>
      <c r="H56" s="264"/>
      <c r="I56" s="264"/>
      <c r="J56" s="270"/>
      <c r="K56" s="270"/>
      <c r="L56" s="271"/>
      <c r="M56" s="263"/>
      <c r="N56" s="257" t="str">
        <f t="shared" si="3"/>
        <v>-</v>
      </c>
      <c r="O56" s="166"/>
      <c r="P56" s="166"/>
      <c r="Q56" s="166"/>
    </row>
    <row r="57" spans="1:17" s="244" customFormat="1" ht="15" hidden="1">
      <c r="A57" s="244">
        <f t="shared" si="4"/>
        <v>1</v>
      </c>
      <c r="B57" s="382"/>
      <c r="C57" s="186"/>
      <c r="D57" s="263"/>
      <c r="E57" s="263"/>
      <c r="F57" s="263"/>
      <c r="G57" s="263"/>
      <c r="H57" s="264"/>
      <c r="I57" s="264"/>
      <c r="J57" s="270"/>
      <c r="K57" s="270"/>
      <c r="L57" s="271"/>
      <c r="M57" s="263"/>
      <c r="N57" s="257" t="str">
        <f t="shared" si="3"/>
        <v>-</v>
      </c>
      <c r="O57" s="166"/>
      <c r="P57" s="166"/>
      <c r="Q57" s="166"/>
    </row>
    <row r="58" spans="1:17" s="244" customFormat="1" ht="15" hidden="1">
      <c r="A58" s="244">
        <f>IF(A42="","",1)</f>
        <v>1</v>
      </c>
      <c r="B58" s="381"/>
      <c r="C58" s="186"/>
      <c r="D58" s="263"/>
      <c r="E58" s="263"/>
      <c r="F58" s="263"/>
      <c r="G58" s="263"/>
      <c r="H58" s="264"/>
      <c r="I58" s="264"/>
      <c r="J58" s="270"/>
      <c r="K58" s="270"/>
      <c r="L58" s="271"/>
      <c r="M58" s="263"/>
      <c r="N58" s="257" t="str">
        <f t="shared" si="3"/>
        <v>-</v>
      </c>
      <c r="O58" s="166"/>
      <c r="P58" s="166"/>
      <c r="Q58" s="166"/>
    </row>
    <row r="59" spans="1:17" s="244" customFormat="1" ht="15" hidden="1">
      <c r="A59" s="244">
        <f>IF(C59="",1,"")</f>
        <v>1</v>
      </c>
      <c r="B59" s="272"/>
      <c r="C59" s="185"/>
      <c r="D59" s="246"/>
      <c r="E59" s="246"/>
      <c r="F59" s="246"/>
      <c r="G59" s="246"/>
      <c r="H59" s="273"/>
      <c r="I59" s="273"/>
      <c r="J59" s="274"/>
      <c r="K59" s="274"/>
      <c r="L59" s="245"/>
      <c r="M59" s="246"/>
      <c r="N59" s="257"/>
      <c r="O59" s="166"/>
      <c r="P59" s="166"/>
      <c r="Q59" s="166"/>
    </row>
    <row r="60" spans="1:17" s="244" customFormat="1" ht="15" hidden="1">
      <c r="A60" s="244">
        <f>IF(AND(B62="",B65="",B68="",B71="",B74=""),1,"")</f>
        <v>1</v>
      </c>
      <c r="B60" s="380" t="s">
        <v>388</v>
      </c>
      <c r="C60" s="384" t="s">
        <v>409</v>
      </c>
      <c r="D60" s="365" t="s">
        <v>418</v>
      </c>
      <c r="E60" s="365"/>
      <c r="F60" s="365"/>
      <c r="G60" s="365"/>
      <c r="H60" s="365"/>
      <c r="I60" s="365"/>
      <c r="J60" s="365"/>
      <c r="K60" s="365"/>
      <c r="L60" s="365"/>
      <c r="M60" s="365"/>
      <c r="N60" s="257"/>
      <c r="O60" s="166"/>
      <c r="P60" s="166"/>
      <c r="Q60" s="166"/>
    </row>
    <row r="61" spans="1:17" s="244" customFormat="1" ht="15" hidden="1">
      <c r="A61" s="244">
        <f>A60</f>
        <v>1</v>
      </c>
      <c r="B61" s="381"/>
      <c r="C61" s="385"/>
      <c r="D61" s="186"/>
      <c r="E61" s="186"/>
      <c r="F61" s="186"/>
      <c r="G61" s="186"/>
      <c r="H61" s="186"/>
      <c r="I61" s="186"/>
      <c r="J61" s="186"/>
      <c r="K61" s="186"/>
      <c r="L61" s="186"/>
      <c r="M61" s="186"/>
      <c r="N61" s="262"/>
      <c r="O61" s="166"/>
      <c r="P61" s="166"/>
      <c r="Q61" s="166"/>
    </row>
    <row r="62" spans="1:17" s="244" customFormat="1" ht="15" hidden="1">
      <c r="A62" s="244">
        <f>IF(C62="",1,"")</f>
        <v>1</v>
      </c>
      <c r="B62" s="380"/>
      <c r="C62" s="186"/>
      <c r="D62" s="263"/>
      <c r="E62" s="263"/>
      <c r="F62" s="263"/>
      <c r="G62" s="263"/>
      <c r="H62" s="264"/>
      <c r="I62" s="264"/>
      <c r="J62" s="270"/>
      <c r="K62" s="270"/>
      <c r="L62" s="271"/>
      <c r="M62" s="263"/>
      <c r="N62" s="257" t="str">
        <f t="shared" ref="N62:N76" si="5">IFERROR(AVERAGEIF(D62:M62,"&lt;&gt;0"),"-")</f>
        <v>-</v>
      </c>
      <c r="O62" s="166"/>
      <c r="P62" s="166"/>
      <c r="Q62" s="166"/>
    </row>
    <row r="63" spans="1:17" s="244" customFormat="1" ht="15" hidden="1">
      <c r="A63" s="244">
        <f t="shared" ref="A63:A75" si="6">IF(C63="",1,"")</f>
        <v>1</v>
      </c>
      <c r="B63" s="382"/>
      <c r="C63" s="186"/>
      <c r="D63" s="263"/>
      <c r="E63" s="263"/>
      <c r="F63" s="263"/>
      <c r="G63" s="263"/>
      <c r="H63" s="264"/>
      <c r="I63" s="264"/>
      <c r="J63" s="270"/>
      <c r="K63" s="270"/>
      <c r="L63" s="271"/>
      <c r="M63" s="263"/>
      <c r="N63" s="257" t="str">
        <f t="shared" si="5"/>
        <v>-</v>
      </c>
      <c r="O63" s="166"/>
      <c r="P63" s="166"/>
      <c r="Q63" s="166"/>
    </row>
    <row r="64" spans="1:17" s="244" customFormat="1" ht="15" hidden="1">
      <c r="A64" s="244">
        <f t="shared" si="6"/>
        <v>1</v>
      </c>
      <c r="B64" s="381"/>
      <c r="C64" s="186"/>
      <c r="D64" s="263"/>
      <c r="E64" s="263"/>
      <c r="F64" s="263"/>
      <c r="G64" s="263"/>
      <c r="H64" s="264"/>
      <c r="I64" s="264"/>
      <c r="J64" s="270"/>
      <c r="K64" s="270"/>
      <c r="L64" s="271"/>
      <c r="M64" s="263"/>
      <c r="N64" s="257" t="str">
        <f t="shared" si="5"/>
        <v>-</v>
      </c>
      <c r="O64" s="166"/>
      <c r="P64" s="166"/>
      <c r="Q64" s="166"/>
    </row>
    <row r="65" spans="1:17" s="244" customFormat="1" ht="15" hidden="1">
      <c r="A65" s="244">
        <f t="shared" si="6"/>
        <v>1</v>
      </c>
      <c r="B65" s="380"/>
      <c r="C65" s="186"/>
      <c r="D65" s="263"/>
      <c r="E65" s="263"/>
      <c r="F65" s="263"/>
      <c r="G65" s="263"/>
      <c r="H65" s="264"/>
      <c r="I65" s="264"/>
      <c r="J65" s="270"/>
      <c r="K65" s="270"/>
      <c r="L65" s="271"/>
      <c r="M65" s="263"/>
      <c r="N65" s="257" t="str">
        <f t="shared" si="5"/>
        <v>-</v>
      </c>
      <c r="O65" s="166"/>
      <c r="P65" s="166"/>
      <c r="Q65" s="166"/>
    </row>
    <row r="66" spans="1:17" s="244" customFormat="1" ht="15" hidden="1">
      <c r="A66" s="244">
        <f t="shared" si="6"/>
        <v>1</v>
      </c>
      <c r="B66" s="382"/>
      <c r="C66" s="186"/>
      <c r="D66" s="263"/>
      <c r="E66" s="263"/>
      <c r="F66" s="263"/>
      <c r="G66" s="263"/>
      <c r="H66" s="264"/>
      <c r="I66" s="264"/>
      <c r="J66" s="270"/>
      <c r="K66" s="270"/>
      <c r="L66" s="271"/>
      <c r="M66" s="263"/>
      <c r="N66" s="257" t="str">
        <f t="shared" si="5"/>
        <v>-</v>
      </c>
      <c r="O66" s="166"/>
      <c r="P66" s="166"/>
      <c r="Q66" s="166"/>
    </row>
    <row r="67" spans="1:17" s="244" customFormat="1" ht="15" hidden="1">
      <c r="A67" s="244">
        <f t="shared" si="6"/>
        <v>1</v>
      </c>
      <c r="B67" s="381"/>
      <c r="C67" s="186"/>
      <c r="D67" s="263"/>
      <c r="E67" s="263"/>
      <c r="F67" s="263"/>
      <c r="G67" s="263"/>
      <c r="H67" s="264"/>
      <c r="I67" s="264"/>
      <c r="J67" s="270"/>
      <c r="K67" s="270"/>
      <c r="L67" s="271"/>
      <c r="M67" s="263"/>
      <c r="N67" s="257" t="str">
        <f t="shared" si="5"/>
        <v>-</v>
      </c>
      <c r="O67" s="166"/>
      <c r="P67" s="166"/>
      <c r="Q67" s="166"/>
    </row>
    <row r="68" spans="1:17" s="244" customFormat="1" ht="15" hidden="1">
      <c r="A68" s="244">
        <f t="shared" si="6"/>
        <v>1</v>
      </c>
      <c r="B68" s="380"/>
      <c r="C68" s="186"/>
      <c r="D68" s="263"/>
      <c r="E68" s="263"/>
      <c r="F68" s="263"/>
      <c r="G68" s="263"/>
      <c r="H68" s="264"/>
      <c r="I68" s="264"/>
      <c r="J68" s="270"/>
      <c r="K68" s="270"/>
      <c r="L68" s="271"/>
      <c r="M68" s="263"/>
      <c r="N68" s="257" t="str">
        <f t="shared" si="5"/>
        <v>-</v>
      </c>
      <c r="O68" s="166"/>
      <c r="P68" s="166"/>
      <c r="Q68" s="166"/>
    </row>
    <row r="69" spans="1:17" s="244" customFormat="1" ht="15" hidden="1">
      <c r="A69" s="244">
        <f t="shared" si="6"/>
        <v>1</v>
      </c>
      <c r="B69" s="382"/>
      <c r="C69" s="186"/>
      <c r="D69" s="263"/>
      <c r="E69" s="263"/>
      <c r="F69" s="263"/>
      <c r="G69" s="263"/>
      <c r="H69" s="264"/>
      <c r="I69" s="264"/>
      <c r="J69" s="270"/>
      <c r="K69" s="270"/>
      <c r="L69" s="271"/>
      <c r="M69" s="263"/>
      <c r="N69" s="257" t="str">
        <f t="shared" si="5"/>
        <v>-</v>
      </c>
      <c r="O69" s="166"/>
      <c r="P69" s="166"/>
      <c r="Q69" s="166"/>
    </row>
    <row r="70" spans="1:17" s="244" customFormat="1" ht="15" hidden="1">
      <c r="A70" s="244">
        <f t="shared" si="6"/>
        <v>1</v>
      </c>
      <c r="B70" s="381"/>
      <c r="C70" s="186"/>
      <c r="D70" s="263"/>
      <c r="E70" s="263"/>
      <c r="F70" s="263"/>
      <c r="G70" s="263"/>
      <c r="H70" s="264"/>
      <c r="I70" s="264"/>
      <c r="J70" s="270"/>
      <c r="K70" s="270"/>
      <c r="L70" s="271"/>
      <c r="M70" s="263"/>
      <c r="N70" s="257" t="str">
        <f t="shared" si="5"/>
        <v>-</v>
      </c>
      <c r="O70" s="166"/>
      <c r="P70" s="166"/>
      <c r="Q70" s="166"/>
    </row>
    <row r="71" spans="1:17" s="244" customFormat="1" ht="15" hidden="1">
      <c r="A71" s="244">
        <f t="shared" si="6"/>
        <v>1</v>
      </c>
      <c r="B71" s="380"/>
      <c r="C71" s="186"/>
      <c r="D71" s="263"/>
      <c r="E71" s="263"/>
      <c r="F71" s="263"/>
      <c r="G71" s="263"/>
      <c r="H71" s="264"/>
      <c r="I71" s="264"/>
      <c r="J71" s="270"/>
      <c r="K71" s="270"/>
      <c r="L71" s="271"/>
      <c r="M71" s="263"/>
      <c r="N71" s="257" t="str">
        <f t="shared" si="5"/>
        <v>-</v>
      </c>
      <c r="O71" s="166"/>
      <c r="P71" s="166"/>
      <c r="Q71" s="166"/>
    </row>
    <row r="72" spans="1:17" s="244" customFormat="1" ht="15" hidden="1">
      <c r="A72" s="244">
        <f t="shared" si="6"/>
        <v>1</v>
      </c>
      <c r="B72" s="382"/>
      <c r="C72" s="186"/>
      <c r="D72" s="263"/>
      <c r="E72" s="263"/>
      <c r="F72" s="263"/>
      <c r="G72" s="263"/>
      <c r="H72" s="264"/>
      <c r="I72" s="264"/>
      <c r="J72" s="270"/>
      <c r="K72" s="270"/>
      <c r="L72" s="271"/>
      <c r="M72" s="263"/>
      <c r="N72" s="257" t="str">
        <f t="shared" si="5"/>
        <v>-</v>
      </c>
      <c r="O72" s="166"/>
      <c r="P72" s="166"/>
      <c r="Q72" s="166"/>
    </row>
    <row r="73" spans="1:17" s="244" customFormat="1" ht="15" hidden="1">
      <c r="A73" s="244">
        <f t="shared" si="6"/>
        <v>1</v>
      </c>
      <c r="B73" s="381"/>
      <c r="C73" s="186"/>
      <c r="D73" s="263"/>
      <c r="E73" s="263"/>
      <c r="F73" s="263"/>
      <c r="G73" s="263"/>
      <c r="H73" s="264"/>
      <c r="I73" s="264"/>
      <c r="J73" s="270"/>
      <c r="K73" s="270"/>
      <c r="L73" s="271"/>
      <c r="M73" s="263"/>
      <c r="N73" s="257" t="str">
        <f t="shared" si="5"/>
        <v>-</v>
      </c>
      <c r="O73" s="166"/>
      <c r="P73" s="166"/>
      <c r="Q73" s="166"/>
    </row>
    <row r="74" spans="1:17" s="244" customFormat="1" ht="15" hidden="1">
      <c r="A74" s="244">
        <f t="shared" si="6"/>
        <v>1</v>
      </c>
      <c r="B74" s="380"/>
      <c r="C74" s="186"/>
      <c r="D74" s="263"/>
      <c r="E74" s="263"/>
      <c r="F74" s="263"/>
      <c r="G74" s="263"/>
      <c r="H74" s="264"/>
      <c r="I74" s="264"/>
      <c r="J74" s="270"/>
      <c r="K74" s="270"/>
      <c r="L74" s="271"/>
      <c r="M74" s="263"/>
      <c r="N74" s="257" t="str">
        <f t="shared" si="5"/>
        <v>-</v>
      </c>
      <c r="O74" s="166"/>
      <c r="P74" s="166"/>
      <c r="Q74" s="166"/>
    </row>
    <row r="75" spans="1:17" s="244" customFormat="1" ht="15" hidden="1">
      <c r="A75" s="244">
        <f t="shared" si="6"/>
        <v>1</v>
      </c>
      <c r="B75" s="382"/>
      <c r="C75" s="186"/>
      <c r="D75" s="263"/>
      <c r="E75" s="263"/>
      <c r="F75" s="263"/>
      <c r="G75" s="263"/>
      <c r="H75" s="264"/>
      <c r="I75" s="264"/>
      <c r="J75" s="270"/>
      <c r="K75" s="270"/>
      <c r="L75" s="271"/>
      <c r="M75" s="263"/>
      <c r="N75" s="257" t="str">
        <f t="shared" si="5"/>
        <v>-</v>
      </c>
      <c r="O75" s="166"/>
      <c r="P75" s="166"/>
      <c r="Q75" s="166"/>
    </row>
    <row r="76" spans="1:17" s="244" customFormat="1" ht="15" hidden="1">
      <c r="A76" s="244">
        <f>IF(A60="","",1)</f>
        <v>1</v>
      </c>
      <c r="B76" s="381"/>
      <c r="C76" s="186"/>
      <c r="D76" s="263"/>
      <c r="E76" s="263"/>
      <c r="F76" s="263"/>
      <c r="G76" s="263"/>
      <c r="H76" s="264"/>
      <c r="I76" s="264"/>
      <c r="J76" s="270"/>
      <c r="K76" s="270"/>
      <c r="L76" s="271"/>
      <c r="M76" s="263"/>
      <c r="N76" s="257" t="str">
        <f t="shared" si="5"/>
        <v>-</v>
      </c>
      <c r="O76" s="166"/>
      <c r="P76" s="166"/>
      <c r="Q76" s="166"/>
    </row>
    <row r="77" spans="1:17" s="244" customFormat="1" ht="15" customHeight="1">
      <c r="B77" s="272"/>
      <c r="C77" s="185"/>
      <c r="D77" s="246"/>
      <c r="E77" s="246"/>
      <c r="F77" s="246"/>
      <c r="G77" s="246"/>
      <c r="H77" s="273"/>
      <c r="I77" s="273"/>
      <c r="J77" s="274"/>
      <c r="K77" s="274"/>
      <c r="L77" s="245"/>
      <c r="M77" s="246"/>
      <c r="N77" s="257"/>
      <c r="O77" s="166"/>
      <c r="P77" s="166"/>
      <c r="Q77" s="166"/>
    </row>
    <row r="78" spans="1:17" s="244" customFormat="1" ht="15" customHeight="1">
      <c r="B78" s="269" t="s">
        <v>431</v>
      </c>
      <c r="C78" s="185"/>
      <c r="D78" s="246"/>
      <c r="E78" s="246"/>
      <c r="F78" s="246"/>
      <c r="G78" s="246"/>
      <c r="H78" s="273"/>
      <c r="I78" s="273"/>
      <c r="J78" s="274"/>
      <c r="K78" s="274"/>
      <c r="L78" s="245"/>
      <c r="M78" s="246"/>
      <c r="N78" s="257"/>
      <c r="O78" s="166"/>
      <c r="P78" s="166"/>
      <c r="Q78" s="166"/>
    </row>
    <row r="79" spans="1:17" s="244" customFormat="1" ht="15" customHeight="1">
      <c r="B79" s="166" t="s">
        <v>390</v>
      </c>
      <c r="C79" s="160"/>
      <c r="D79" s="166"/>
      <c r="E79" s="166" t="s">
        <v>391</v>
      </c>
      <c r="F79" s="166"/>
      <c r="G79" s="166"/>
      <c r="H79" s="166" t="s">
        <v>392</v>
      </c>
      <c r="I79" s="166"/>
      <c r="J79" s="160" t="s">
        <v>393</v>
      </c>
      <c r="K79" s="160"/>
      <c r="L79" s="160"/>
      <c r="M79" s="246"/>
      <c r="N79" s="257"/>
      <c r="O79" s="166"/>
      <c r="P79" s="166"/>
      <c r="Q79" s="166"/>
    </row>
    <row r="80" spans="1:17" s="244" customFormat="1" ht="15" customHeight="1">
      <c r="B80" s="269"/>
      <c r="C80" s="185"/>
      <c r="D80" s="276"/>
      <c r="E80" s="162"/>
      <c r="F80" s="246"/>
      <c r="G80" s="246"/>
      <c r="H80" s="273"/>
      <c r="I80" s="273"/>
      <c r="J80" s="274"/>
      <c r="K80" s="274"/>
      <c r="L80" s="245"/>
      <c r="M80" s="246"/>
      <c r="N80" s="257"/>
      <c r="O80" s="166"/>
      <c r="P80" s="166"/>
      <c r="Q80" s="166"/>
    </row>
    <row r="81" spans="1:17" s="244" customFormat="1" ht="18" customHeight="1">
      <c r="B81" s="269"/>
      <c r="C81" s="365" t="s">
        <v>388</v>
      </c>
      <c r="D81" s="365"/>
      <c r="E81" s="365" t="s">
        <v>423</v>
      </c>
      <c r="F81" s="365"/>
      <c r="G81" s="365"/>
      <c r="H81" s="365"/>
      <c r="I81" s="365"/>
      <c r="J81" s="365"/>
      <c r="K81" s="365"/>
      <c r="L81" s="365"/>
      <c r="M81" s="246"/>
      <c r="N81" s="257"/>
      <c r="O81" s="166"/>
      <c r="P81" s="166"/>
      <c r="Q81" s="166"/>
    </row>
    <row r="82" spans="1:17" s="244" customFormat="1" ht="18" customHeight="1">
      <c r="A82" s="244" t="str">
        <f>IF(C82="",1,"")</f>
        <v/>
      </c>
      <c r="B82" s="269"/>
      <c r="C82" s="366" t="str">
        <f>IF(B26&lt;&gt;"",B26,"")</f>
        <v>D1000</v>
      </c>
      <c r="D82" s="367"/>
      <c r="E82" s="369">
        <f>D27</f>
        <v>15700</v>
      </c>
      <c r="F82" s="369"/>
      <c r="G82" s="369"/>
      <c r="H82" s="369"/>
      <c r="I82" s="369"/>
      <c r="J82" s="369"/>
      <c r="K82" s="369"/>
      <c r="L82" s="369"/>
      <c r="M82" s="246"/>
      <c r="N82" s="257">
        <v>5760</v>
      </c>
      <c r="O82" s="166"/>
      <c r="P82" s="166"/>
      <c r="Q82" s="166"/>
    </row>
    <row r="83" spans="1:17" s="244" customFormat="1" ht="18" hidden="1" customHeight="1">
      <c r="A83" s="244">
        <f>IF(C83="",1,"")</f>
        <v>1</v>
      </c>
      <c r="B83" s="269"/>
      <c r="C83" s="367" t="str">
        <f>IF(B29&lt;&gt;"",B29,"")</f>
        <v/>
      </c>
      <c r="D83" s="367"/>
      <c r="E83" s="369" t="str">
        <f>IF(N83=0,"",N83)</f>
        <v/>
      </c>
      <c r="F83" s="369"/>
      <c r="G83" s="369"/>
      <c r="H83" s="369"/>
      <c r="I83" s="369"/>
      <c r="J83" s="369"/>
      <c r="K83" s="369"/>
      <c r="L83" s="369"/>
      <c r="M83" s="246"/>
      <c r="N83" s="257">
        <f>IF(COUNTA($D$25:$M$25)&lt;6,MIN(D29:M31,D47:M49,D65:M67),MIN(O29:O31))</f>
        <v>0</v>
      </c>
      <c r="O83" s="166"/>
      <c r="P83" s="166"/>
      <c r="Q83" s="166"/>
    </row>
    <row r="84" spans="1:17" s="244" customFormat="1" ht="18" hidden="1" customHeight="1">
      <c r="A84" s="244">
        <f>IF(C84="",1,"")</f>
        <v>1</v>
      </c>
      <c r="B84" s="269"/>
      <c r="C84" s="366" t="str">
        <f>IF(B32&lt;&gt;"",B32,"")</f>
        <v/>
      </c>
      <c r="D84" s="367"/>
      <c r="E84" s="369" t="str">
        <f>IF(N84=0,"",N84)</f>
        <v/>
      </c>
      <c r="F84" s="369"/>
      <c r="G84" s="369"/>
      <c r="H84" s="369"/>
      <c r="I84" s="369"/>
      <c r="J84" s="369"/>
      <c r="K84" s="369"/>
      <c r="L84" s="369"/>
      <c r="M84" s="246"/>
      <c r="N84" s="257">
        <f>IF(COUNTA($D$25:$M$25)&lt;6,MIN(D32:M34,D50:M52,D68:M70),MIN(O32:O34))</f>
        <v>0</v>
      </c>
      <c r="O84" s="166"/>
      <c r="P84" s="166"/>
      <c r="Q84" s="166"/>
    </row>
    <row r="85" spans="1:17" s="244" customFormat="1" ht="18" hidden="1" customHeight="1">
      <c r="A85" s="244">
        <f>IF(C85="",1,"")</f>
        <v>1</v>
      </c>
      <c r="B85" s="269"/>
      <c r="C85" s="366" t="str">
        <f>IF(B35&lt;&gt;"",B35,"")</f>
        <v/>
      </c>
      <c r="D85" s="367"/>
      <c r="E85" s="369" t="str">
        <f>IF(N85=0,"",N85)</f>
        <v/>
      </c>
      <c r="F85" s="369"/>
      <c r="G85" s="369"/>
      <c r="H85" s="369"/>
      <c r="I85" s="369"/>
      <c r="J85" s="369"/>
      <c r="K85" s="369"/>
      <c r="L85" s="369"/>
      <c r="M85" s="246"/>
      <c r="N85" s="257">
        <f>IF(COUNTA($D$25:$M$25)&lt;6,MIN(D35:M37,D53:M55,D71:M73),MIN(O35:O37))</f>
        <v>0</v>
      </c>
      <c r="O85" s="166"/>
      <c r="P85" s="166"/>
      <c r="Q85" s="166"/>
    </row>
    <row r="86" spans="1:17" s="244" customFormat="1" ht="18" hidden="1" customHeight="1">
      <c r="A86" s="244">
        <f>IF(C86="",1,"")</f>
        <v>1</v>
      </c>
      <c r="B86" s="269"/>
      <c r="C86" s="366" t="str">
        <f>IF(B38&lt;&gt;"",B38,"")</f>
        <v/>
      </c>
      <c r="D86" s="367"/>
      <c r="E86" s="369" t="str">
        <f>IF(N86=0,"",N86)</f>
        <v/>
      </c>
      <c r="F86" s="369"/>
      <c r="G86" s="369"/>
      <c r="H86" s="369"/>
      <c r="I86" s="369"/>
      <c r="J86" s="369"/>
      <c r="K86" s="369"/>
      <c r="L86" s="369"/>
      <c r="M86" s="246"/>
      <c r="N86" s="257">
        <f>IF(COUNTA($D$25:$M$25)&lt;6,MIN(D38:M40,D56:M58,D74:M76),MIN(O38:O40))</f>
        <v>0</v>
      </c>
      <c r="O86" s="166"/>
      <c r="P86" s="166"/>
      <c r="Q86" s="166"/>
    </row>
    <row r="87" spans="1:17" s="283" customFormat="1" ht="9.9499999999999993" customHeight="1">
      <c r="B87" s="282"/>
      <c r="C87" s="368"/>
      <c r="D87" s="368"/>
      <c r="E87" s="162"/>
      <c r="F87" s="246"/>
      <c r="G87" s="246"/>
      <c r="H87" s="273"/>
      <c r="I87" s="273"/>
      <c r="J87" s="274"/>
      <c r="K87" s="274"/>
      <c r="L87" s="245"/>
      <c r="M87" s="246"/>
      <c r="N87" s="257"/>
      <c r="O87" s="245"/>
      <c r="P87" s="245"/>
      <c r="Q87" s="245"/>
    </row>
    <row r="88" spans="1:17" s="244" customFormat="1" ht="15" customHeight="1">
      <c r="B88" s="269" t="s">
        <v>432</v>
      </c>
      <c r="C88" s="185"/>
      <c r="D88" s="276"/>
      <c r="E88" s="162"/>
      <c r="F88" s="246"/>
      <c r="G88" s="246"/>
      <c r="H88" s="273"/>
      <c r="I88" s="273"/>
      <c r="J88" s="274"/>
      <c r="K88" s="274"/>
      <c r="L88" s="245"/>
      <c r="M88" s="246"/>
      <c r="N88" s="257"/>
      <c r="O88" s="166"/>
      <c r="P88" s="166"/>
      <c r="Q88" s="166"/>
    </row>
    <row r="89" spans="1:17" s="244" customFormat="1" ht="15" customHeight="1">
      <c r="C89" s="160"/>
      <c r="D89" s="160"/>
      <c r="E89" s="160"/>
      <c r="F89" s="160"/>
      <c r="G89" s="160"/>
      <c r="H89" s="160"/>
      <c r="I89" s="160"/>
      <c r="J89" s="160"/>
      <c r="K89" s="160"/>
      <c r="L89" s="160"/>
      <c r="M89" s="160"/>
      <c r="N89" s="195"/>
    </row>
    <row r="90" spans="1:17" s="244" customFormat="1" ht="20.100000000000001" customHeight="1">
      <c r="B90" s="365" t="s">
        <v>388</v>
      </c>
      <c r="C90" s="370" t="s">
        <v>419</v>
      </c>
      <c r="D90" s="371"/>
      <c r="E90" s="377" t="s">
        <v>428</v>
      </c>
      <c r="F90" s="378"/>
      <c r="G90" s="378"/>
      <c r="H90" s="378"/>
      <c r="I90" s="378"/>
      <c r="J90" s="378"/>
      <c r="K90" s="379"/>
      <c r="L90" s="376" t="s">
        <v>427</v>
      </c>
      <c r="M90" s="374" t="s">
        <v>417</v>
      </c>
      <c r="N90" s="195"/>
    </row>
    <row r="91" spans="1:17" s="244" customFormat="1" ht="15" customHeight="1">
      <c r="B91" s="365"/>
      <c r="C91" s="372"/>
      <c r="D91" s="373"/>
      <c r="E91" s="286" t="s">
        <v>68</v>
      </c>
      <c r="F91" s="286" t="s">
        <v>68</v>
      </c>
      <c r="G91" s="286" t="s">
        <v>68</v>
      </c>
      <c r="H91" s="286" t="s">
        <v>426</v>
      </c>
      <c r="I91" s="286" t="s">
        <v>68</v>
      </c>
      <c r="J91" s="286" t="s">
        <v>68</v>
      </c>
      <c r="K91" s="286" t="s">
        <v>68</v>
      </c>
      <c r="L91" s="376"/>
      <c r="M91" s="375"/>
      <c r="N91" s="195"/>
    </row>
    <row r="92" spans="1:17" s="244" customFormat="1" ht="18" customHeight="1">
      <c r="A92" s="244" t="str">
        <f>IF(B92="",1,"")</f>
        <v/>
      </c>
      <c r="B92" s="186" t="s">
        <v>488</v>
      </c>
      <c r="C92" s="363">
        <v>14914</v>
      </c>
      <c r="D92" s="364"/>
      <c r="E92" s="187" t="str">
        <f>IF($C82&lt;&gt;"",IF(E$91&lt;&gt;"-",VLOOKUP($B92,$C$82:$L$86,3,FALSE)*VLOOKUP(E$91,$N$12:$P$18,3,FALSE)/(VLOOKUP(E$91,$N$12:$P$18,2,FALSE)*$M$12),""),"")</f>
        <v/>
      </c>
      <c r="F92" s="187" t="str">
        <f t="shared" ref="F92:K93" si="7">IF($C82&lt;&gt;"",IF(F$91&lt;&gt;"-",VLOOKUP($B92,$C$82:$L$86,3,FALSE)*VLOOKUP(F$91,$N$12:$P$18,3,FALSE)/(VLOOKUP(F$91,$N$12:$P$18,2,FALSE)*$M$12),""),"")</f>
        <v/>
      </c>
      <c r="G92" s="187" t="str">
        <f t="shared" si="7"/>
        <v/>
      </c>
      <c r="H92" s="187">
        <f>IF($C82&lt;&gt;"",IF(H$91&lt;&gt;"-",VLOOKUP($B92,$C$82:$L$86,3,FALSE)*VLOOKUP(H$91,$N$12:$P$18,3,FALSE)/(VLOOKUP(H$91,$N$12:$P$18,2,FALSE)*$M$12),""),"")</f>
        <v>7801.2422360248456</v>
      </c>
      <c r="I92" s="187" t="str">
        <f t="shared" si="7"/>
        <v/>
      </c>
      <c r="J92" s="187" t="str">
        <f t="shared" si="7"/>
        <v/>
      </c>
      <c r="K92" s="187" t="str">
        <f t="shared" si="7"/>
        <v/>
      </c>
      <c r="L92" s="285">
        <v>7250</v>
      </c>
      <c r="M92" s="284" t="str">
        <f>IF(B92&lt;&gt;"",IF(L92&lt;=MIN(C92:K92),"Đạt!","KO Đạt!"),"")</f>
        <v>Đạt!</v>
      </c>
      <c r="N92" s="195"/>
    </row>
    <row r="93" spans="1:17" s="244" customFormat="1" ht="18" hidden="1" customHeight="1">
      <c r="A93" s="244">
        <f>IF(B93="",1,"")</f>
        <v>1</v>
      </c>
      <c r="B93" s="186"/>
      <c r="C93" s="363"/>
      <c r="D93" s="364"/>
      <c r="E93" s="187" t="str">
        <f>IF($C83&lt;&gt;"",IF(E$91&lt;&gt;"-",VLOOKUP($B93,$C$82:$L$86,3,FALSE)*VLOOKUP(E$91,$N$12:$P$18,3,FALSE)/(VLOOKUP(E$91,$N$12:$P$18,2,FALSE)*$M$12),""),"")</f>
        <v/>
      </c>
      <c r="F93" s="187" t="str">
        <f t="shared" si="7"/>
        <v/>
      </c>
      <c r="G93" s="187" t="str">
        <f t="shared" si="7"/>
        <v/>
      </c>
      <c r="H93" s="187" t="str">
        <f t="shared" si="7"/>
        <v/>
      </c>
      <c r="I93" s="187" t="str">
        <f t="shared" si="7"/>
        <v/>
      </c>
      <c r="J93" s="187" t="str">
        <f t="shared" si="7"/>
        <v/>
      </c>
      <c r="K93" s="187" t="str">
        <f t="shared" si="7"/>
        <v/>
      </c>
      <c r="L93" s="285"/>
      <c r="M93" s="284" t="str">
        <f>IF(B93&lt;&gt;"",IF(L93&lt;=MIN(C93:K93),"Đạt!","KO Đạt!"),"")</f>
        <v/>
      </c>
      <c r="N93" s="195"/>
    </row>
    <row r="94" spans="1:17" s="244" customFormat="1" ht="18" hidden="1" customHeight="1">
      <c r="A94" s="244">
        <f>IF(B94="",1,"")</f>
        <v>1</v>
      </c>
      <c r="B94" s="186"/>
      <c r="C94" s="363"/>
      <c r="D94" s="364"/>
      <c r="E94" s="187" t="str">
        <f t="shared" ref="E94:K94" si="8">IF($C84&lt;&gt;"",IF(E$91&lt;&gt;"-",VLOOKUP($B94,$C$82:$L$86,3,FALSE)*VLOOKUP(E$91,$N$12:$P$18,3,FALSE)/(VLOOKUP(E$91,$N$12:$P$18,2,FALSE)*$M$12),""),"")</f>
        <v/>
      </c>
      <c r="F94" s="187" t="str">
        <f t="shared" si="8"/>
        <v/>
      </c>
      <c r="G94" s="187" t="str">
        <f t="shared" si="8"/>
        <v/>
      </c>
      <c r="H94" s="187" t="str">
        <f t="shared" si="8"/>
        <v/>
      </c>
      <c r="I94" s="187" t="str">
        <f t="shared" si="8"/>
        <v/>
      </c>
      <c r="J94" s="187" t="str">
        <f t="shared" si="8"/>
        <v/>
      </c>
      <c r="K94" s="187" t="str">
        <f t="shared" si="8"/>
        <v/>
      </c>
      <c r="L94" s="285"/>
      <c r="M94" s="284" t="str">
        <f>IF(B94&lt;&gt;"",IF(L94&lt;=MIN(C94:K94),"Đạt!","KO Đạt!"),"")</f>
        <v/>
      </c>
      <c r="N94" s="195"/>
    </row>
    <row r="95" spans="1:17" s="244" customFormat="1" ht="18" hidden="1" customHeight="1">
      <c r="A95" s="244">
        <f>IF(B95="",1,"")</f>
        <v>1</v>
      </c>
      <c r="B95" s="186"/>
      <c r="C95" s="363"/>
      <c r="D95" s="364"/>
      <c r="E95" s="187" t="str">
        <f t="shared" ref="E95:K95" si="9">IF($C85&lt;&gt;"",IF(E$91&lt;&gt;"-",VLOOKUP($B95,$C$82:$L$86,3,FALSE)*VLOOKUP(E$91,$N$12:$P$18,3,FALSE)/(VLOOKUP(E$91,$N$12:$P$18,2,FALSE)*$M$12),""),"")</f>
        <v/>
      </c>
      <c r="F95" s="187" t="str">
        <f t="shared" si="9"/>
        <v/>
      </c>
      <c r="G95" s="187" t="str">
        <f t="shared" si="9"/>
        <v/>
      </c>
      <c r="H95" s="187" t="str">
        <f t="shared" si="9"/>
        <v/>
      </c>
      <c r="I95" s="187" t="str">
        <f t="shared" si="9"/>
        <v/>
      </c>
      <c r="J95" s="187" t="str">
        <f t="shared" si="9"/>
        <v/>
      </c>
      <c r="K95" s="187" t="str">
        <f t="shared" si="9"/>
        <v/>
      </c>
      <c r="L95" s="285"/>
      <c r="M95" s="284" t="str">
        <f>IF(B95&lt;&gt;"",IF(L95&lt;=MIN(C95:K95),"Đạt!","KO Đạt!"),"")</f>
        <v/>
      </c>
      <c r="N95" s="195"/>
    </row>
    <row r="96" spans="1:17" s="244" customFormat="1" ht="18" hidden="1" customHeight="1">
      <c r="A96" s="244">
        <f>IF(B96="",1,"")</f>
        <v>1</v>
      </c>
      <c r="B96" s="186"/>
      <c r="C96" s="363"/>
      <c r="D96" s="364"/>
      <c r="E96" s="187" t="str">
        <f t="shared" ref="E96:K96" si="10">IF($C86&lt;&gt;"",IF(E$91&lt;&gt;"-",VLOOKUP($B96,$C$82:$L$86,3,FALSE)*VLOOKUP(E$91,$N$12:$P$18,3,FALSE)/(VLOOKUP(E$91,$N$12:$P$18,2,FALSE)*$M$12),""),"")</f>
        <v/>
      </c>
      <c r="F96" s="187" t="str">
        <f t="shared" si="10"/>
        <v/>
      </c>
      <c r="G96" s="187" t="str">
        <f t="shared" si="10"/>
        <v/>
      </c>
      <c r="H96" s="187" t="str">
        <f t="shared" si="10"/>
        <v/>
      </c>
      <c r="I96" s="187" t="str">
        <f t="shared" si="10"/>
        <v/>
      </c>
      <c r="J96" s="187" t="str">
        <f t="shared" si="10"/>
        <v/>
      </c>
      <c r="K96" s="187" t="str">
        <f t="shared" si="10"/>
        <v/>
      </c>
      <c r="L96" s="285"/>
      <c r="M96" s="284" t="str">
        <f>IF(B96&lt;&gt;"",IF(L96&lt;=MIN(C96:K96),"Đạt!","KO Đạt!"),"")</f>
        <v/>
      </c>
      <c r="N96" s="195"/>
    </row>
    <row r="97" spans="2:15" ht="15" customHeight="1">
      <c r="B97" s="160"/>
      <c r="C97" s="160"/>
      <c r="D97" s="160"/>
      <c r="E97" s="160"/>
      <c r="F97" s="160"/>
      <c r="G97" s="160"/>
      <c r="H97" s="160"/>
      <c r="I97" s="160"/>
      <c r="J97" s="160"/>
      <c r="K97" s="160"/>
      <c r="L97" s="160"/>
      <c r="M97" s="160"/>
      <c r="N97" s="160"/>
      <c r="O97" s="147"/>
    </row>
    <row r="98" spans="2:15" ht="15" customHeight="1">
      <c r="B98" s="160"/>
      <c r="C98" s="160"/>
      <c r="D98" s="160"/>
      <c r="E98" s="160"/>
      <c r="F98" s="160"/>
      <c r="G98" s="160"/>
      <c r="H98" s="160"/>
      <c r="I98" s="160"/>
      <c r="J98" s="160"/>
      <c r="K98" s="160"/>
      <c r="L98" s="160"/>
      <c r="M98" s="160"/>
      <c r="N98" s="160"/>
    </row>
    <row r="99" spans="2:15" ht="15" customHeight="1">
      <c r="B99" s="160"/>
      <c r="C99" s="160"/>
      <c r="D99" s="160"/>
      <c r="E99" s="160"/>
      <c r="F99" s="160"/>
      <c r="G99" s="160"/>
      <c r="H99" s="160"/>
      <c r="I99" s="160"/>
      <c r="J99" s="160"/>
      <c r="K99" s="160"/>
      <c r="L99" s="160"/>
      <c r="M99" s="160"/>
      <c r="N99" s="160"/>
    </row>
  </sheetData>
  <protectedRanges>
    <protectedRange sqref="F1:K1" name="Range1_1_1_1"/>
  </protectedRanges>
  <autoFilter ref="A1:A99">
    <filterColumn colId="0">
      <filters blank="1"/>
    </filterColumn>
  </autoFilter>
  <mergeCells count="48">
    <mergeCell ref="B1:M1"/>
    <mergeCell ref="B60:B61"/>
    <mergeCell ref="C60:C61"/>
    <mergeCell ref="D60:M60"/>
    <mergeCell ref="C42:C43"/>
    <mergeCell ref="C24:C25"/>
    <mergeCell ref="B24:B25"/>
    <mergeCell ref="B26:B28"/>
    <mergeCell ref="B29:B31"/>
    <mergeCell ref="B32:B34"/>
    <mergeCell ref="B35:B37"/>
    <mergeCell ref="B38:B40"/>
    <mergeCell ref="B44:B46"/>
    <mergeCell ref="B47:B49"/>
    <mergeCell ref="B50:B52"/>
    <mergeCell ref="B53:B55"/>
    <mergeCell ref="B90:B91"/>
    <mergeCell ref="B42:B43"/>
    <mergeCell ref="C85:D85"/>
    <mergeCell ref="E84:L84"/>
    <mergeCell ref="E85:L85"/>
    <mergeCell ref="E86:L86"/>
    <mergeCell ref="C81:D81"/>
    <mergeCell ref="C82:D82"/>
    <mergeCell ref="C83:D83"/>
    <mergeCell ref="C84:D84"/>
    <mergeCell ref="B74:B76"/>
    <mergeCell ref="B56:B58"/>
    <mergeCell ref="B62:B64"/>
    <mergeCell ref="B65:B67"/>
    <mergeCell ref="B68:B70"/>
    <mergeCell ref="B71:B73"/>
    <mergeCell ref="C95:D95"/>
    <mergeCell ref="C96:D96"/>
    <mergeCell ref="D42:M42"/>
    <mergeCell ref="D24:M24"/>
    <mergeCell ref="C86:D86"/>
    <mergeCell ref="C87:D87"/>
    <mergeCell ref="E81:L81"/>
    <mergeCell ref="E82:L82"/>
    <mergeCell ref="C90:D91"/>
    <mergeCell ref="E83:L83"/>
    <mergeCell ref="M90:M91"/>
    <mergeCell ref="C92:D92"/>
    <mergeCell ref="C93:D93"/>
    <mergeCell ref="C94:D94"/>
    <mergeCell ref="L90:L91"/>
    <mergeCell ref="E90:K90"/>
  </mergeCells>
  <phoneticPr fontId="94" type="noConversion"/>
  <dataValidations disablePrompts="1" count="3">
    <dataValidation allowBlank="1" showInputMessage="1" showErrorMessage="1" errorTitle="Error" sqref="B90 B92:B96"/>
    <dataValidation type="list" allowBlank="1" showInputMessage="1" showErrorMessage="1" sqref="J12">
      <formula1>"I,II,III"</formula1>
    </dataValidation>
    <dataValidation type="list" allowBlank="1" showInputMessage="1" showErrorMessage="1" sqref="E91:K91">
      <formula1>$N$12:$N$19</formula1>
    </dataValidation>
  </dataValidations>
  <printOptions horizontalCentered="1"/>
  <pageMargins left="0.98425196850393704" right="0.6692913385826772" top="0.98425196850393704" bottom="0.59055118110236227" header="0.39370078740157483" footer="0.39370078740157483"/>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indexed="22"/>
  </sheetPr>
  <dimension ref="A2:AX58"/>
  <sheetViews>
    <sheetView zoomScale="130" zoomScaleNormal="130" workbookViewId="0">
      <selection activeCell="A15" sqref="A15"/>
    </sheetView>
  </sheetViews>
  <sheetFormatPr defaultColWidth="3.77734375" defaultRowHeight="15.95" customHeight="1"/>
  <cols>
    <col min="1" max="16" width="3.77734375" style="167" customWidth="1"/>
    <col min="17" max="17" width="4.77734375" style="167" customWidth="1"/>
    <col min="18" max="18" width="5" style="167" customWidth="1"/>
    <col min="19" max="19" width="5.77734375" style="167" customWidth="1"/>
    <col min="20" max="20" width="5.109375" style="167" customWidth="1"/>
    <col min="21" max="21" width="5.5546875" style="167" customWidth="1"/>
    <col min="22" max="22" width="5.109375" style="167" customWidth="1"/>
    <col min="23" max="23" width="6.33203125" style="167" customWidth="1"/>
    <col min="24" max="25" width="5.5546875" style="167" customWidth="1"/>
    <col min="26" max="26" width="3.77734375" style="167" customWidth="1"/>
    <col min="27" max="29" width="6.33203125" style="167" customWidth="1"/>
    <col min="30" max="30" width="6.88671875" style="167" customWidth="1"/>
    <col min="31" max="32" width="7.109375" style="167" customWidth="1"/>
    <col min="33" max="33" width="6.77734375" style="167" customWidth="1"/>
    <col min="34" max="34" width="3.77734375" style="167" customWidth="1"/>
    <col min="35" max="35" width="53.6640625" style="167" customWidth="1"/>
    <col min="36" max="36" width="10.88671875" style="167" customWidth="1"/>
    <col min="37" max="38" width="3.77734375" style="167"/>
    <col min="39" max="39" width="9" style="167" customWidth="1"/>
    <col min="40" max="40" width="9.44140625" style="167" customWidth="1"/>
    <col min="41" max="50" width="10.77734375" style="167" customWidth="1"/>
    <col min="51" max="16384" width="3.77734375" style="167"/>
  </cols>
  <sheetData>
    <row r="2" spans="2:50" ht="15.95" customHeight="1">
      <c r="B2" s="392" t="s">
        <v>301</v>
      </c>
      <c r="C2" s="392"/>
      <c r="D2" s="392"/>
      <c r="E2" s="392"/>
      <c r="F2" s="392"/>
      <c r="G2" s="392"/>
      <c r="H2" s="392"/>
      <c r="I2" s="392"/>
      <c r="J2" s="392"/>
      <c r="K2" s="392"/>
      <c r="L2" s="392"/>
      <c r="M2" s="392"/>
      <c r="N2" s="392"/>
      <c r="P2" s="392" t="s">
        <v>302</v>
      </c>
      <c r="Q2" s="393"/>
      <c r="R2" s="393"/>
      <c r="S2" s="393"/>
      <c r="T2" s="393"/>
      <c r="U2" s="393"/>
      <c r="V2" s="393"/>
      <c r="W2" s="393"/>
      <c r="X2" s="393"/>
      <c r="Y2" s="170"/>
      <c r="AA2" s="392" t="s">
        <v>302</v>
      </c>
      <c r="AB2" s="392"/>
      <c r="AC2" s="392"/>
      <c r="AD2" s="392"/>
      <c r="AE2" s="392"/>
      <c r="AF2" s="392"/>
      <c r="AG2" s="392"/>
      <c r="AH2" s="168"/>
      <c r="AI2" s="392" t="s">
        <v>107</v>
      </c>
      <c r="AJ2" s="392"/>
      <c r="AM2" s="388" t="s">
        <v>336</v>
      </c>
      <c r="AN2" s="387" t="s">
        <v>334</v>
      </c>
      <c r="AO2" s="387"/>
      <c r="AP2" s="387"/>
      <c r="AQ2" s="387"/>
      <c r="AR2" s="387"/>
      <c r="AS2" s="387"/>
      <c r="AT2" s="387" t="s">
        <v>335</v>
      </c>
      <c r="AU2" s="387"/>
      <c r="AV2" s="387"/>
      <c r="AW2" s="387"/>
      <c r="AX2" s="387"/>
    </row>
    <row r="3" spans="2:50" ht="15.95" customHeight="1">
      <c r="B3" s="169" t="s">
        <v>79</v>
      </c>
      <c r="C3" s="399" t="s">
        <v>78</v>
      </c>
      <c r="D3" s="400"/>
      <c r="E3" s="400"/>
      <c r="F3" s="400"/>
      <c r="G3" s="400"/>
      <c r="H3" s="400"/>
      <c r="I3" s="400"/>
      <c r="J3" s="400"/>
      <c r="K3" s="400"/>
      <c r="L3" s="400"/>
      <c r="M3" s="400"/>
      <c r="N3" s="401"/>
      <c r="P3" s="169" t="s">
        <v>80</v>
      </c>
      <c r="Q3" s="399" t="s">
        <v>81</v>
      </c>
      <c r="R3" s="400"/>
      <c r="S3" s="400"/>
      <c r="T3" s="400"/>
      <c r="U3" s="400"/>
      <c r="V3" s="400"/>
      <c r="W3" s="400"/>
      <c r="X3" s="400"/>
      <c r="Y3" s="401"/>
      <c r="AA3" s="169" t="s">
        <v>80</v>
      </c>
      <c r="AB3" s="399" t="s">
        <v>82</v>
      </c>
      <c r="AC3" s="400"/>
      <c r="AD3" s="400"/>
      <c r="AE3" s="400"/>
      <c r="AF3" s="400"/>
      <c r="AG3" s="401"/>
      <c r="AH3" s="170"/>
      <c r="AI3" s="169" t="s">
        <v>313</v>
      </c>
      <c r="AJ3" s="169" t="s">
        <v>101</v>
      </c>
      <c r="AL3" s="168"/>
      <c r="AM3" s="389"/>
      <c r="AN3" s="387" t="s">
        <v>330</v>
      </c>
      <c r="AO3" s="387"/>
      <c r="AP3" s="387" t="s">
        <v>331</v>
      </c>
      <c r="AQ3" s="387"/>
      <c r="AR3" s="387" t="s">
        <v>332</v>
      </c>
      <c r="AS3" s="387"/>
      <c r="AT3" s="387" t="s">
        <v>333</v>
      </c>
      <c r="AU3" s="387"/>
      <c r="AV3" s="387" t="s">
        <v>332</v>
      </c>
      <c r="AW3" s="387"/>
      <c r="AX3" s="387"/>
    </row>
    <row r="4" spans="2:50" ht="15.95" customHeight="1">
      <c r="B4" s="171">
        <v>-8</v>
      </c>
      <c r="C4" s="171">
        <v>-5</v>
      </c>
      <c r="D4" s="172">
        <v>0</v>
      </c>
      <c r="E4" s="172">
        <v>0.2</v>
      </c>
      <c r="F4" s="172">
        <v>0.3</v>
      </c>
      <c r="G4" s="172">
        <v>0.4</v>
      </c>
      <c r="H4" s="172">
        <v>0.5</v>
      </c>
      <c r="I4" s="172">
        <v>0.6</v>
      </c>
      <c r="J4" s="172">
        <v>0.7</v>
      </c>
      <c r="K4" s="172">
        <v>0.8</v>
      </c>
      <c r="L4" s="172">
        <v>0.9</v>
      </c>
      <c r="M4" s="172">
        <v>4</v>
      </c>
      <c r="N4" s="172">
        <v>4</v>
      </c>
      <c r="P4" s="172">
        <v>-8</v>
      </c>
      <c r="Q4" s="172">
        <v>-5</v>
      </c>
      <c r="R4" s="172">
        <v>0</v>
      </c>
      <c r="S4" s="172">
        <v>0.1</v>
      </c>
      <c r="T4" s="172">
        <v>0.2</v>
      </c>
      <c r="U4" s="172">
        <v>0.3</v>
      </c>
      <c r="V4" s="172">
        <v>0.4</v>
      </c>
      <c r="W4" s="172">
        <v>0.5</v>
      </c>
      <c r="X4" s="172">
        <v>0.6</v>
      </c>
      <c r="Y4" s="172">
        <v>4</v>
      </c>
      <c r="AA4" s="172">
        <v>-8</v>
      </c>
      <c r="AB4" s="171">
        <v>-5</v>
      </c>
      <c r="AC4" s="171">
        <v>0.01</v>
      </c>
      <c r="AD4" s="171">
        <v>0.1</v>
      </c>
      <c r="AE4" s="171">
        <v>0.3</v>
      </c>
      <c r="AF4" s="171">
        <v>0.4</v>
      </c>
      <c r="AG4" s="171">
        <v>0.5</v>
      </c>
      <c r="AH4" s="168"/>
      <c r="AI4" s="173" t="s">
        <v>314</v>
      </c>
      <c r="AJ4" s="174" t="s">
        <v>102</v>
      </c>
      <c r="AL4" s="168"/>
      <c r="AM4" s="390"/>
      <c r="AN4" s="183" t="s">
        <v>327</v>
      </c>
      <c r="AO4" s="183" t="s">
        <v>328</v>
      </c>
      <c r="AP4" s="183" t="s">
        <v>329</v>
      </c>
      <c r="AQ4" s="183" t="s">
        <v>328</v>
      </c>
      <c r="AR4" s="183" t="s">
        <v>340</v>
      </c>
      <c r="AS4" s="183" t="s">
        <v>341</v>
      </c>
      <c r="AT4" s="183" t="s">
        <v>329</v>
      </c>
      <c r="AU4" s="183" t="s">
        <v>328</v>
      </c>
      <c r="AV4" s="183" t="s">
        <v>340</v>
      </c>
      <c r="AW4" s="183" t="s">
        <v>342</v>
      </c>
      <c r="AX4" s="183" t="s">
        <v>343</v>
      </c>
    </row>
    <row r="5" spans="2:50" ht="15.95" customHeight="1">
      <c r="B5" s="172">
        <v>0</v>
      </c>
      <c r="C5" s="171">
        <v>35</v>
      </c>
      <c r="D5" s="171">
        <v>35</v>
      </c>
      <c r="E5" s="171">
        <v>35</v>
      </c>
      <c r="F5" s="171">
        <v>23</v>
      </c>
      <c r="G5" s="171">
        <v>15</v>
      </c>
      <c r="H5" s="171">
        <v>12</v>
      </c>
      <c r="I5" s="171">
        <v>8</v>
      </c>
      <c r="J5" s="171">
        <v>4</v>
      </c>
      <c r="K5" s="171">
        <v>4</v>
      </c>
      <c r="L5" s="171">
        <v>3</v>
      </c>
      <c r="M5" s="171">
        <v>2</v>
      </c>
      <c r="N5" s="171">
        <v>2</v>
      </c>
      <c r="P5" s="172">
        <v>0</v>
      </c>
      <c r="Q5" s="171">
        <v>7500</v>
      </c>
      <c r="R5" s="171">
        <v>7500</v>
      </c>
      <c r="S5" s="171">
        <v>4000</v>
      </c>
      <c r="T5" s="171">
        <v>3000</v>
      </c>
      <c r="U5" s="171">
        <v>2000</v>
      </c>
      <c r="V5" s="171">
        <v>1200</v>
      </c>
      <c r="W5" s="171">
        <v>1100</v>
      </c>
      <c r="X5" s="171">
        <v>600</v>
      </c>
      <c r="Y5" s="171">
        <v>600</v>
      </c>
      <c r="AA5" s="172">
        <v>0</v>
      </c>
      <c r="AB5" s="171">
        <v>7500</v>
      </c>
      <c r="AC5" s="171">
        <v>7500</v>
      </c>
      <c r="AD5" s="171">
        <v>6600</v>
      </c>
      <c r="AE5" s="171">
        <v>3100</v>
      </c>
      <c r="AF5" s="171">
        <v>2000</v>
      </c>
      <c r="AG5" s="171">
        <v>1100</v>
      </c>
      <c r="AH5" s="168"/>
      <c r="AI5" s="175" t="s">
        <v>315</v>
      </c>
      <c r="AJ5" s="176" t="s">
        <v>103</v>
      </c>
      <c r="AL5" s="168"/>
      <c r="AM5" s="391">
        <v>7</v>
      </c>
      <c r="AN5" s="171">
        <v>1</v>
      </c>
      <c r="AO5" s="171">
        <v>0.9</v>
      </c>
      <c r="AP5" s="171">
        <v>0.95</v>
      </c>
      <c r="AQ5" s="171">
        <v>0.8</v>
      </c>
      <c r="AR5" s="171">
        <v>1</v>
      </c>
      <c r="AS5" s="171">
        <v>0.95</v>
      </c>
      <c r="AT5" s="171">
        <v>0.95</v>
      </c>
      <c r="AU5" s="171">
        <v>0.9</v>
      </c>
      <c r="AV5" s="171">
        <v>0.95</v>
      </c>
      <c r="AW5" s="171">
        <v>0.85</v>
      </c>
      <c r="AX5" s="171">
        <v>0.75</v>
      </c>
    </row>
    <row r="6" spans="2:50" ht="15.95" customHeight="1">
      <c r="B6" s="172">
        <v>1</v>
      </c>
      <c r="C6" s="171">
        <v>35</v>
      </c>
      <c r="D6" s="171">
        <v>35</v>
      </c>
      <c r="E6" s="171">
        <v>35</v>
      </c>
      <c r="F6" s="171">
        <v>23</v>
      </c>
      <c r="G6" s="171">
        <v>15</v>
      </c>
      <c r="H6" s="171">
        <v>12</v>
      </c>
      <c r="I6" s="171">
        <v>8</v>
      </c>
      <c r="J6" s="171">
        <v>4</v>
      </c>
      <c r="K6" s="171">
        <v>4</v>
      </c>
      <c r="L6" s="171">
        <v>3</v>
      </c>
      <c r="M6" s="171">
        <v>2</v>
      </c>
      <c r="N6" s="171">
        <v>2</v>
      </c>
      <c r="P6" s="172">
        <v>3</v>
      </c>
      <c r="Q6" s="171">
        <v>7500</v>
      </c>
      <c r="R6" s="171">
        <v>7500</v>
      </c>
      <c r="S6" s="171">
        <v>4000</v>
      </c>
      <c r="T6" s="171">
        <v>3000</v>
      </c>
      <c r="U6" s="171">
        <v>2000</v>
      </c>
      <c r="V6" s="171">
        <v>1200</v>
      </c>
      <c r="W6" s="171">
        <v>1100</v>
      </c>
      <c r="X6" s="171">
        <v>600</v>
      </c>
      <c r="Y6" s="171">
        <v>600</v>
      </c>
      <c r="AA6" s="172">
        <v>3</v>
      </c>
      <c r="AB6" s="171">
        <v>7500</v>
      </c>
      <c r="AC6" s="171">
        <v>7500</v>
      </c>
      <c r="AD6" s="171">
        <v>6600</v>
      </c>
      <c r="AE6" s="171">
        <v>3100</v>
      </c>
      <c r="AF6" s="171">
        <v>2000</v>
      </c>
      <c r="AG6" s="171">
        <v>1100</v>
      </c>
      <c r="AH6" s="168"/>
      <c r="AI6" s="175" t="s">
        <v>316</v>
      </c>
      <c r="AJ6" s="176" t="s">
        <v>104</v>
      </c>
      <c r="AL6" s="168"/>
      <c r="AM6" s="391"/>
      <c r="AN6" s="171">
        <v>0.9</v>
      </c>
      <c r="AO6" s="171">
        <v>0.5</v>
      </c>
      <c r="AP6" s="171">
        <v>0.85</v>
      </c>
      <c r="AQ6" s="171">
        <v>0.4</v>
      </c>
      <c r="AR6" s="171">
        <v>1</v>
      </c>
      <c r="AS6" s="171">
        <v>0.9</v>
      </c>
      <c r="AT6" s="171">
        <v>0.85</v>
      </c>
      <c r="AU6" s="171">
        <v>0.5</v>
      </c>
      <c r="AV6" s="171">
        <v>0.9</v>
      </c>
      <c r="AW6" s="171">
        <v>0.8</v>
      </c>
      <c r="AX6" s="171">
        <v>0.75</v>
      </c>
    </row>
    <row r="7" spans="2:50" ht="15.95" customHeight="1">
      <c r="B7" s="172">
        <v>2</v>
      </c>
      <c r="C7" s="171">
        <v>42</v>
      </c>
      <c r="D7" s="171">
        <v>42</v>
      </c>
      <c r="E7" s="171">
        <v>42</v>
      </c>
      <c r="F7" s="171">
        <v>30</v>
      </c>
      <c r="G7" s="171">
        <v>21</v>
      </c>
      <c r="H7" s="171">
        <v>17</v>
      </c>
      <c r="I7" s="171">
        <v>12</v>
      </c>
      <c r="J7" s="171">
        <v>7</v>
      </c>
      <c r="K7" s="171">
        <v>5</v>
      </c>
      <c r="L7" s="171">
        <v>4</v>
      </c>
      <c r="M7" s="171">
        <v>4</v>
      </c>
      <c r="N7" s="171">
        <v>4</v>
      </c>
      <c r="P7" s="172">
        <v>4</v>
      </c>
      <c r="Q7" s="171">
        <v>8300</v>
      </c>
      <c r="R7" s="171">
        <v>8300</v>
      </c>
      <c r="S7" s="171">
        <v>5100</v>
      </c>
      <c r="T7" s="171">
        <v>3800</v>
      </c>
      <c r="U7" s="171">
        <v>2500</v>
      </c>
      <c r="V7" s="171">
        <v>1600</v>
      </c>
      <c r="W7" s="171">
        <v>1250</v>
      </c>
      <c r="X7" s="171">
        <v>700</v>
      </c>
      <c r="Y7" s="171">
        <v>700</v>
      </c>
      <c r="AA7" s="172">
        <v>4</v>
      </c>
      <c r="AB7" s="171">
        <v>8300</v>
      </c>
      <c r="AC7" s="171">
        <v>8300</v>
      </c>
      <c r="AD7" s="171">
        <v>6800</v>
      </c>
      <c r="AE7" s="171">
        <v>3200</v>
      </c>
      <c r="AF7" s="171">
        <v>2100</v>
      </c>
      <c r="AG7" s="171">
        <v>1250</v>
      </c>
      <c r="AH7" s="168"/>
      <c r="AI7" s="175" t="s">
        <v>317</v>
      </c>
      <c r="AJ7" s="176" t="s">
        <v>105</v>
      </c>
      <c r="AL7" s="168"/>
      <c r="AM7" s="391">
        <v>8</v>
      </c>
      <c r="AN7" s="171">
        <v>0.9</v>
      </c>
      <c r="AO7" s="171">
        <v>0.8</v>
      </c>
      <c r="AP7" s="171">
        <v>0.85</v>
      </c>
      <c r="AQ7" s="171">
        <v>0.7</v>
      </c>
      <c r="AR7" s="171">
        <v>0.95</v>
      </c>
      <c r="AS7" s="171">
        <v>0.9</v>
      </c>
      <c r="AT7" s="171">
        <v>0.85</v>
      </c>
      <c r="AU7" s="171">
        <v>0.8</v>
      </c>
      <c r="AV7" s="171">
        <v>0.9</v>
      </c>
      <c r="AW7" s="171">
        <v>0.8</v>
      </c>
      <c r="AX7" s="171">
        <v>0.7</v>
      </c>
    </row>
    <row r="8" spans="2:50" ht="15.95" customHeight="1">
      <c r="B8" s="172">
        <v>3</v>
      </c>
      <c r="C8" s="171">
        <v>48</v>
      </c>
      <c r="D8" s="171">
        <v>48</v>
      </c>
      <c r="E8" s="171">
        <v>48</v>
      </c>
      <c r="F8" s="171">
        <v>35</v>
      </c>
      <c r="G8" s="171">
        <v>25</v>
      </c>
      <c r="H8" s="171">
        <v>20</v>
      </c>
      <c r="I8" s="171">
        <v>14</v>
      </c>
      <c r="J8" s="171">
        <v>8</v>
      </c>
      <c r="K8" s="171">
        <v>7</v>
      </c>
      <c r="L8" s="171">
        <v>6</v>
      </c>
      <c r="M8" s="171">
        <v>5</v>
      </c>
      <c r="N8" s="171">
        <v>5</v>
      </c>
      <c r="P8" s="172">
        <v>5</v>
      </c>
      <c r="Q8" s="171">
        <v>8800</v>
      </c>
      <c r="R8" s="171">
        <v>8800</v>
      </c>
      <c r="S8" s="171">
        <v>6200</v>
      </c>
      <c r="T8" s="171">
        <v>4000</v>
      </c>
      <c r="U8" s="171">
        <v>2800</v>
      </c>
      <c r="V8" s="171">
        <v>2000</v>
      </c>
      <c r="W8" s="171">
        <v>1300</v>
      </c>
      <c r="X8" s="171">
        <v>800</v>
      </c>
      <c r="Y8" s="171">
        <v>800</v>
      </c>
      <c r="AA8" s="172">
        <v>5</v>
      </c>
      <c r="AB8" s="171">
        <v>8800</v>
      </c>
      <c r="AC8" s="171">
        <v>8800</v>
      </c>
      <c r="AD8" s="171">
        <v>7000</v>
      </c>
      <c r="AE8" s="171">
        <v>3400</v>
      </c>
      <c r="AF8" s="171">
        <v>2200</v>
      </c>
      <c r="AG8" s="171">
        <v>1300</v>
      </c>
      <c r="AH8" s="168"/>
      <c r="AI8" s="177" t="s">
        <v>318</v>
      </c>
      <c r="AJ8" s="178" t="s">
        <v>106</v>
      </c>
      <c r="AL8" s="168"/>
      <c r="AM8" s="391"/>
      <c r="AN8" s="171">
        <v>0.8</v>
      </c>
      <c r="AO8" s="171">
        <v>0.4</v>
      </c>
      <c r="AP8" s="171">
        <v>0.75</v>
      </c>
      <c r="AQ8" s="171">
        <v>0.35</v>
      </c>
      <c r="AR8" s="171">
        <v>0.95</v>
      </c>
      <c r="AS8" s="171">
        <v>0.8</v>
      </c>
      <c r="AT8" s="171">
        <v>0.75</v>
      </c>
      <c r="AU8" s="171">
        <v>0.4</v>
      </c>
      <c r="AV8" s="171">
        <v>0.8</v>
      </c>
      <c r="AW8" s="171">
        <v>0.7</v>
      </c>
      <c r="AX8" s="171">
        <v>0.65</v>
      </c>
    </row>
    <row r="9" spans="2:50" ht="15.95" customHeight="1">
      <c r="B9" s="172">
        <v>4</v>
      </c>
      <c r="C9" s="171">
        <v>53</v>
      </c>
      <c r="D9" s="171">
        <v>53</v>
      </c>
      <c r="E9" s="171">
        <v>53</v>
      </c>
      <c r="F9" s="171">
        <v>38</v>
      </c>
      <c r="G9" s="171">
        <v>27</v>
      </c>
      <c r="H9" s="171">
        <v>22</v>
      </c>
      <c r="I9" s="171">
        <v>16</v>
      </c>
      <c r="J9" s="171">
        <v>9</v>
      </c>
      <c r="K9" s="171">
        <v>8</v>
      </c>
      <c r="L9" s="171">
        <v>7</v>
      </c>
      <c r="M9" s="171">
        <v>5</v>
      </c>
      <c r="N9" s="171">
        <v>5</v>
      </c>
      <c r="P9" s="172">
        <v>7</v>
      </c>
      <c r="Q9" s="171">
        <v>9700</v>
      </c>
      <c r="R9" s="171">
        <v>9700</v>
      </c>
      <c r="S9" s="171">
        <v>6900</v>
      </c>
      <c r="T9" s="171">
        <v>4300</v>
      </c>
      <c r="U9" s="171">
        <v>3300</v>
      </c>
      <c r="V9" s="171">
        <v>2200</v>
      </c>
      <c r="W9" s="171">
        <v>1400</v>
      </c>
      <c r="X9" s="171">
        <v>850</v>
      </c>
      <c r="Y9" s="171">
        <v>850</v>
      </c>
      <c r="AA9" s="172">
        <v>7</v>
      </c>
      <c r="AB9" s="171">
        <v>9700</v>
      </c>
      <c r="AC9" s="171">
        <v>9700</v>
      </c>
      <c r="AD9" s="171">
        <v>7300</v>
      </c>
      <c r="AE9" s="171">
        <v>3700</v>
      </c>
      <c r="AF9" s="171">
        <v>2400</v>
      </c>
      <c r="AG9" s="171">
        <v>1400</v>
      </c>
      <c r="AH9" s="168"/>
      <c r="AI9" s="168"/>
      <c r="AL9" s="168"/>
      <c r="AM9" s="391">
        <v>9</v>
      </c>
      <c r="AN9" s="171">
        <v>0.8</v>
      </c>
      <c r="AO9" s="171">
        <v>0.7</v>
      </c>
      <c r="AP9" s="171">
        <v>0.75</v>
      </c>
      <c r="AQ9" s="171" t="s">
        <v>68</v>
      </c>
      <c r="AR9" s="171">
        <v>0.9</v>
      </c>
      <c r="AS9" s="171">
        <v>0.85</v>
      </c>
      <c r="AT9" s="171">
        <v>0.75</v>
      </c>
      <c r="AU9" s="171">
        <v>0.7</v>
      </c>
      <c r="AV9" s="171">
        <v>0.85</v>
      </c>
      <c r="AW9" s="171">
        <v>0.7</v>
      </c>
      <c r="AX9" s="171">
        <v>0.6</v>
      </c>
    </row>
    <row r="10" spans="2:50" ht="15.95" customHeight="1">
      <c r="B10" s="172">
        <v>5</v>
      </c>
      <c r="C10" s="171">
        <v>56</v>
      </c>
      <c r="D10" s="171">
        <v>56</v>
      </c>
      <c r="E10" s="171">
        <v>56</v>
      </c>
      <c r="F10" s="171">
        <v>40</v>
      </c>
      <c r="G10" s="171">
        <v>29</v>
      </c>
      <c r="H10" s="171">
        <v>24</v>
      </c>
      <c r="I10" s="171">
        <v>17</v>
      </c>
      <c r="J10" s="171">
        <v>10</v>
      </c>
      <c r="K10" s="171">
        <v>8</v>
      </c>
      <c r="L10" s="171">
        <v>7</v>
      </c>
      <c r="M10" s="171">
        <v>6</v>
      </c>
      <c r="N10" s="171">
        <v>6</v>
      </c>
      <c r="P10" s="172">
        <v>10</v>
      </c>
      <c r="Q10" s="171">
        <v>10500</v>
      </c>
      <c r="R10" s="171">
        <v>10500</v>
      </c>
      <c r="S10" s="171">
        <v>7300</v>
      </c>
      <c r="T10" s="171">
        <v>5000</v>
      </c>
      <c r="U10" s="171">
        <v>3500</v>
      </c>
      <c r="V10" s="171">
        <v>2400</v>
      </c>
      <c r="W10" s="171">
        <v>1500</v>
      </c>
      <c r="X10" s="171">
        <v>900</v>
      </c>
      <c r="Y10" s="171">
        <v>900</v>
      </c>
      <c r="AA10" s="172">
        <v>10</v>
      </c>
      <c r="AB10" s="171">
        <v>10500</v>
      </c>
      <c r="AC10" s="171">
        <v>10500</v>
      </c>
      <c r="AD10" s="171">
        <v>7700</v>
      </c>
      <c r="AE10" s="171">
        <v>4000</v>
      </c>
      <c r="AF10" s="171">
        <v>2600</v>
      </c>
      <c r="AG10" s="171">
        <v>1500</v>
      </c>
      <c r="AH10" s="168"/>
      <c r="AI10" s="179"/>
      <c r="AL10" s="168"/>
      <c r="AM10" s="391"/>
      <c r="AN10" s="171">
        <v>0.7</v>
      </c>
      <c r="AO10" s="171">
        <v>0.35</v>
      </c>
      <c r="AP10" s="171">
        <v>0.6</v>
      </c>
      <c r="AQ10" s="171" t="s">
        <v>68</v>
      </c>
      <c r="AR10" s="171">
        <v>0.85</v>
      </c>
      <c r="AS10" s="171">
        <v>0.7</v>
      </c>
      <c r="AT10" s="171">
        <v>0.65</v>
      </c>
      <c r="AU10" s="171">
        <v>0.35</v>
      </c>
      <c r="AV10" s="171">
        <v>0.65</v>
      </c>
      <c r="AW10" s="171">
        <v>0.6</v>
      </c>
      <c r="AX10" s="171" t="s">
        <v>68</v>
      </c>
    </row>
    <row r="11" spans="2:50" ht="15.95" customHeight="1">
      <c r="B11" s="172">
        <v>6</v>
      </c>
      <c r="C11" s="171">
        <v>58</v>
      </c>
      <c r="D11" s="171">
        <v>58</v>
      </c>
      <c r="E11" s="171">
        <v>58</v>
      </c>
      <c r="F11" s="171">
        <v>42</v>
      </c>
      <c r="G11" s="171">
        <v>31</v>
      </c>
      <c r="H11" s="171">
        <v>25</v>
      </c>
      <c r="I11" s="171">
        <v>18</v>
      </c>
      <c r="J11" s="171">
        <v>10</v>
      </c>
      <c r="K11" s="171">
        <v>8</v>
      </c>
      <c r="L11" s="171">
        <v>7</v>
      </c>
      <c r="M11" s="171">
        <v>6</v>
      </c>
      <c r="N11" s="171">
        <v>6</v>
      </c>
      <c r="P11" s="172">
        <v>15</v>
      </c>
      <c r="Q11" s="171">
        <v>11700</v>
      </c>
      <c r="R11" s="171">
        <v>11700</v>
      </c>
      <c r="S11" s="171">
        <v>7500</v>
      </c>
      <c r="T11" s="171">
        <v>5600</v>
      </c>
      <c r="U11" s="171">
        <v>4000</v>
      </c>
      <c r="V11" s="171">
        <v>2900</v>
      </c>
      <c r="W11" s="171">
        <v>1650</v>
      </c>
      <c r="X11" s="171">
        <v>1000</v>
      </c>
      <c r="Y11" s="171">
        <v>1000</v>
      </c>
      <c r="AA11" s="172">
        <v>15</v>
      </c>
      <c r="AB11" s="171">
        <v>11700</v>
      </c>
      <c r="AC11" s="171">
        <v>11700</v>
      </c>
      <c r="AD11" s="171">
        <v>8200</v>
      </c>
      <c r="AE11" s="171">
        <v>4400</v>
      </c>
      <c r="AF11" s="171">
        <v>2900</v>
      </c>
      <c r="AG11" s="171">
        <v>1650</v>
      </c>
      <c r="AH11" s="168"/>
      <c r="AI11" s="393" t="s">
        <v>319</v>
      </c>
      <c r="AJ11" s="393"/>
      <c r="AL11" s="168"/>
      <c r="AM11" s="168"/>
      <c r="AN11" s="168"/>
    </row>
    <row r="12" spans="2:50" ht="15.95" customHeight="1">
      <c r="B12" s="172">
        <v>8</v>
      </c>
      <c r="C12" s="171">
        <v>62</v>
      </c>
      <c r="D12" s="171">
        <v>62</v>
      </c>
      <c r="E12" s="171">
        <v>62</v>
      </c>
      <c r="F12" s="171">
        <v>44</v>
      </c>
      <c r="G12" s="171">
        <v>33</v>
      </c>
      <c r="H12" s="171">
        <v>26</v>
      </c>
      <c r="I12" s="171">
        <v>19</v>
      </c>
      <c r="J12" s="171">
        <v>10</v>
      </c>
      <c r="K12" s="171">
        <v>8</v>
      </c>
      <c r="L12" s="171">
        <v>7</v>
      </c>
      <c r="M12" s="171">
        <v>6</v>
      </c>
      <c r="N12" s="171">
        <v>6</v>
      </c>
      <c r="P12" s="172">
        <v>20</v>
      </c>
      <c r="Q12" s="171">
        <v>12600</v>
      </c>
      <c r="R12" s="171">
        <v>12600</v>
      </c>
      <c r="S12" s="171">
        <v>8500</v>
      </c>
      <c r="T12" s="171">
        <v>6200</v>
      </c>
      <c r="U12" s="171">
        <v>4500</v>
      </c>
      <c r="V12" s="171">
        <v>3200</v>
      </c>
      <c r="W12" s="171">
        <v>1800</v>
      </c>
      <c r="X12" s="171">
        <v>1100</v>
      </c>
      <c r="Y12" s="171">
        <v>1100</v>
      </c>
      <c r="AA12" s="172">
        <v>20</v>
      </c>
      <c r="AB12" s="171">
        <v>12600</v>
      </c>
      <c r="AC12" s="171">
        <v>12600</v>
      </c>
      <c r="AD12" s="171">
        <v>8500</v>
      </c>
      <c r="AE12" s="171">
        <v>4800</v>
      </c>
      <c r="AF12" s="171">
        <v>3200</v>
      </c>
      <c r="AG12" s="171">
        <v>1800</v>
      </c>
      <c r="AI12" s="182" t="s">
        <v>320</v>
      </c>
      <c r="AJ12" s="182" t="s">
        <v>321</v>
      </c>
    </row>
    <row r="13" spans="2:50" ht="15.95" customHeight="1">
      <c r="B13" s="172">
        <v>10</v>
      </c>
      <c r="C13" s="171">
        <v>65</v>
      </c>
      <c r="D13" s="171">
        <v>65</v>
      </c>
      <c r="E13" s="171">
        <v>65</v>
      </c>
      <c r="F13" s="171">
        <v>46</v>
      </c>
      <c r="G13" s="171">
        <v>34</v>
      </c>
      <c r="H13" s="171">
        <v>27</v>
      </c>
      <c r="I13" s="171">
        <v>19</v>
      </c>
      <c r="J13" s="171">
        <v>10</v>
      </c>
      <c r="K13" s="171">
        <v>8</v>
      </c>
      <c r="L13" s="171">
        <v>7</v>
      </c>
      <c r="M13" s="171">
        <v>6</v>
      </c>
      <c r="N13" s="171">
        <v>6</v>
      </c>
      <c r="P13" s="172">
        <v>25</v>
      </c>
      <c r="Q13" s="171">
        <v>13400</v>
      </c>
      <c r="R13" s="171">
        <v>13400</v>
      </c>
      <c r="S13" s="171">
        <v>9000</v>
      </c>
      <c r="T13" s="171">
        <v>6800</v>
      </c>
      <c r="U13" s="171">
        <v>5200</v>
      </c>
      <c r="V13" s="171">
        <v>3500</v>
      </c>
      <c r="W13" s="171">
        <v>1950</v>
      </c>
      <c r="X13" s="171">
        <v>1200</v>
      </c>
      <c r="Y13" s="171">
        <v>1200</v>
      </c>
      <c r="AA13" s="172">
        <v>25</v>
      </c>
      <c r="AB13" s="171">
        <v>13400</v>
      </c>
      <c r="AC13" s="171">
        <v>13400</v>
      </c>
      <c r="AD13" s="171">
        <v>9000</v>
      </c>
      <c r="AE13" s="171">
        <v>5200</v>
      </c>
      <c r="AF13" s="171">
        <v>3500</v>
      </c>
      <c r="AG13" s="171">
        <v>1950</v>
      </c>
      <c r="AI13" s="171" t="s">
        <v>337</v>
      </c>
      <c r="AJ13" s="394" t="s">
        <v>322</v>
      </c>
    </row>
    <row r="14" spans="2:50" ht="15.95" customHeight="1">
      <c r="B14" s="172">
        <v>15</v>
      </c>
      <c r="C14" s="171">
        <v>72</v>
      </c>
      <c r="D14" s="171">
        <v>72</v>
      </c>
      <c r="E14" s="171">
        <v>72</v>
      </c>
      <c r="F14" s="171">
        <v>51</v>
      </c>
      <c r="G14" s="171">
        <v>38</v>
      </c>
      <c r="H14" s="171">
        <v>28</v>
      </c>
      <c r="I14" s="171">
        <v>20</v>
      </c>
      <c r="J14" s="171">
        <v>11</v>
      </c>
      <c r="K14" s="171">
        <v>8</v>
      </c>
      <c r="L14" s="171">
        <v>7</v>
      </c>
      <c r="M14" s="171">
        <v>6</v>
      </c>
      <c r="N14" s="171">
        <v>6</v>
      </c>
      <c r="P14" s="172">
        <v>30</v>
      </c>
      <c r="Q14" s="171">
        <v>14200</v>
      </c>
      <c r="R14" s="171">
        <v>14200</v>
      </c>
      <c r="S14" s="171">
        <v>9500</v>
      </c>
      <c r="T14" s="171">
        <v>7400</v>
      </c>
      <c r="U14" s="171">
        <v>5600</v>
      </c>
      <c r="V14" s="171">
        <v>3800</v>
      </c>
      <c r="W14" s="171">
        <v>2100</v>
      </c>
      <c r="X14" s="171">
        <v>1300</v>
      </c>
      <c r="Y14" s="171">
        <v>1300</v>
      </c>
      <c r="AA14" s="172">
        <v>30</v>
      </c>
      <c r="AB14" s="171">
        <v>14200</v>
      </c>
      <c r="AC14" s="171">
        <v>14200</v>
      </c>
      <c r="AD14" s="171">
        <v>9500</v>
      </c>
      <c r="AE14" s="171">
        <v>5600</v>
      </c>
      <c r="AF14" s="171">
        <v>3800</v>
      </c>
      <c r="AG14" s="171">
        <v>2100</v>
      </c>
      <c r="AI14" s="171" t="s">
        <v>344</v>
      </c>
      <c r="AJ14" s="395"/>
    </row>
    <row r="15" spans="2:50" ht="15.95" customHeight="1">
      <c r="B15" s="172">
        <v>20</v>
      </c>
      <c r="C15" s="171">
        <v>79</v>
      </c>
      <c r="D15" s="171">
        <v>79</v>
      </c>
      <c r="E15" s="171">
        <v>79</v>
      </c>
      <c r="F15" s="171">
        <v>56</v>
      </c>
      <c r="G15" s="171">
        <v>41</v>
      </c>
      <c r="H15" s="171">
        <v>30</v>
      </c>
      <c r="I15" s="171">
        <v>20</v>
      </c>
      <c r="J15" s="171">
        <v>12</v>
      </c>
      <c r="K15" s="171">
        <v>8</v>
      </c>
      <c r="L15" s="171">
        <v>7</v>
      </c>
      <c r="M15" s="171">
        <v>6</v>
      </c>
      <c r="N15" s="171">
        <v>6</v>
      </c>
      <c r="P15" s="172">
        <v>35</v>
      </c>
      <c r="Q15" s="171">
        <v>15000</v>
      </c>
      <c r="R15" s="171">
        <v>15000</v>
      </c>
      <c r="S15" s="171">
        <v>10000</v>
      </c>
      <c r="T15" s="171">
        <v>8000</v>
      </c>
      <c r="U15" s="171">
        <v>6000</v>
      </c>
      <c r="V15" s="171">
        <v>4100</v>
      </c>
      <c r="W15" s="171">
        <v>2250</v>
      </c>
      <c r="X15" s="171">
        <v>1400</v>
      </c>
      <c r="Y15" s="171">
        <v>1400</v>
      </c>
      <c r="AA15" s="172">
        <v>35</v>
      </c>
      <c r="AB15" s="171">
        <v>15000</v>
      </c>
      <c r="AC15" s="171">
        <v>15000</v>
      </c>
      <c r="AD15" s="171">
        <v>10000</v>
      </c>
      <c r="AE15" s="171">
        <v>6000</v>
      </c>
      <c r="AF15" s="171">
        <v>4100</v>
      </c>
      <c r="AG15" s="171">
        <v>2250</v>
      </c>
      <c r="AI15" s="171" t="s">
        <v>338</v>
      </c>
      <c r="AJ15" s="391" t="s">
        <v>323</v>
      </c>
    </row>
    <row r="16" spans="2:50" ht="15.95" customHeight="1">
      <c r="B16" s="172">
        <v>25</v>
      </c>
      <c r="C16" s="171">
        <v>86</v>
      </c>
      <c r="D16" s="171">
        <v>86</v>
      </c>
      <c r="E16" s="171">
        <v>86</v>
      </c>
      <c r="F16" s="171">
        <v>61</v>
      </c>
      <c r="G16" s="171">
        <v>44</v>
      </c>
      <c r="H16" s="171">
        <v>32</v>
      </c>
      <c r="I16" s="171">
        <v>20</v>
      </c>
      <c r="J16" s="171">
        <v>12</v>
      </c>
      <c r="K16" s="171">
        <v>8</v>
      </c>
      <c r="L16" s="171">
        <v>7</v>
      </c>
      <c r="M16" s="171">
        <v>6</v>
      </c>
      <c r="N16" s="171">
        <v>6</v>
      </c>
      <c r="P16" s="172">
        <v>1000</v>
      </c>
      <c r="Q16" s="171">
        <v>15000</v>
      </c>
      <c r="R16" s="171">
        <v>15000</v>
      </c>
      <c r="S16" s="171">
        <v>10000</v>
      </c>
      <c r="T16" s="171">
        <v>8000</v>
      </c>
      <c r="U16" s="171">
        <v>6000</v>
      </c>
      <c r="V16" s="171">
        <v>4100</v>
      </c>
      <c r="W16" s="171">
        <v>2250</v>
      </c>
      <c r="X16" s="171">
        <v>1400</v>
      </c>
      <c r="Y16" s="171">
        <v>1400</v>
      </c>
      <c r="AA16" s="172">
        <v>1000</v>
      </c>
      <c r="AB16" s="171">
        <v>15000</v>
      </c>
      <c r="AC16" s="171">
        <v>15000</v>
      </c>
      <c r="AD16" s="171">
        <v>10000</v>
      </c>
      <c r="AE16" s="171">
        <v>6000</v>
      </c>
      <c r="AF16" s="171">
        <v>4100</v>
      </c>
      <c r="AG16" s="171">
        <v>2250</v>
      </c>
      <c r="AI16" s="171" t="s">
        <v>345</v>
      </c>
      <c r="AJ16" s="391"/>
    </row>
    <row r="17" spans="2:36" ht="19.5" customHeight="1">
      <c r="B17" s="172">
        <v>30</v>
      </c>
      <c r="C17" s="171">
        <v>93</v>
      </c>
      <c r="D17" s="171">
        <v>93</v>
      </c>
      <c r="E17" s="171">
        <v>93</v>
      </c>
      <c r="F17" s="171">
        <v>66</v>
      </c>
      <c r="G17" s="171">
        <v>47</v>
      </c>
      <c r="H17" s="171">
        <v>34</v>
      </c>
      <c r="I17" s="171">
        <v>21</v>
      </c>
      <c r="J17" s="171">
        <v>12</v>
      </c>
      <c r="K17" s="171">
        <v>9</v>
      </c>
      <c r="L17" s="171">
        <v>8</v>
      </c>
      <c r="M17" s="171">
        <v>6</v>
      </c>
      <c r="N17" s="171">
        <v>6</v>
      </c>
      <c r="P17" s="392" t="s">
        <v>312</v>
      </c>
      <c r="Q17" s="393"/>
      <c r="R17" s="393"/>
      <c r="S17" s="393"/>
      <c r="T17" s="393"/>
      <c r="U17" s="393"/>
      <c r="V17" s="393"/>
      <c r="W17" s="393"/>
      <c r="X17" s="393"/>
      <c r="Y17" s="170"/>
      <c r="AI17" s="171" t="s">
        <v>346</v>
      </c>
      <c r="AJ17" s="394" t="s">
        <v>324</v>
      </c>
    </row>
    <row r="18" spans="2:36" ht="15.95" customHeight="1">
      <c r="B18" s="172">
        <v>35</v>
      </c>
      <c r="C18" s="171">
        <v>100</v>
      </c>
      <c r="D18" s="171">
        <v>100</v>
      </c>
      <c r="E18" s="171">
        <v>100</v>
      </c>
      <c r="F18" s="171">
        <v>70</v>
      </c>
      <c r="G18" s="171">
        <v>50</v>
      </c>
      <c r="H18" s="171">
        <v>36</v>
      </c>
      <c r="I18" s="171">
        <v>22</v>
      </c>
      <c r="J18" s="171">
        <v>13</v>
      </c>
      <c r="K18" s="171">
        <v>9</v>
      </c>
      <c r="L18" s="171">
        <v>8</v>
      </c>
      <c r="M18" s="171">
        <v>6</v>
      </c>
      <c r="N18" s="171">
        <v>6</v>
      </c>
      <c r="P18" s="169" t="s">
        <v>80</v>
      </c>
      <c r="Q18" s="399" t="s">
        <v>81</v>
      </c>
      <c r="R18" s="400"/>
      <c r="S18" s="400"/>
      <c r="T18" s="400"/>
      <c r="U18" s="400"/>
      <c r="V18" s="400"/>
      <c r="W18" s="400"/>
      <c r="X18" s="400"/>
      <c r="Y18" s="401"/>
      <c r="AI18" s="171" t="s">
        <v>347</v>
      </c>
      <c r="AJ18" s="395"/>
    </row>
    <row r="19" spans="2:36" ht="15.95" customHeight="1">
      <c r="B19" s="172">
        <v>1000</v>
      </c>
      <c r="C19" s="171">
        <v>100</v>
      </c>
      <c r="D19" s="171">
        <v>100</v>
      </c>
      <c r="E19" s="171">
        <v>100</v>
      </c>
      <c r="F19" s="171">
        <v>70</v>
      </c>
      <c r="G19" s="171">
        <v>50</v>
      </c>
      <c r="H19" s="171">
        <v>36</v>
      </c>
      <c r="I19" s="171">
        <v>22</v>
      </c>
      <c r="J19" s="171">
        <v>13</v>
      </c>
      <c r="K19" s="171">
        <v>9</v>
      </c>
      <c r="L19" s="171">
        <v>8</v>
      </c>
      <c r="M19" s="171">
        <v>6</v>
      </c>
      <c r="N19" s="171">
        <v>6</v>
      </c>
      <c r="P19" s="172">
        <v>-8</v>
      </c>
      <c r="Q19" s="172">
        <v>-5</v>
      </c>
      <c r="R19" s="172">
        <v>0</v>
      </c>
      <c r="S19" s="172">
        <v>0.1</v>
      </c>
      <c r="T19" s="172">
        <v>0.2</v>
      </c>
      <c r="U19" s="172">
        <v>0.3</v>
      </c>
      <c r="V19" s="172">
        <v>0.4</v>
      </c>
      <c r="W19" s="172">
        <v>0.5</v>
      </c>
      <c r="X19" s="172">
        <v>0.6</v>
      </c>
      <c r="Y19" s="172">
        <v>4</v>
      </c>
      <c r="AI19" s="171" t="s">
        <v>348</v>
      </c>
      <c r="AJ19" s="171" t="s">
        <v>325</v>
      </c>
    </row>
    <row r="20" spans="2:36" ht="15.95" customHeight="1">
      <c r="P20" s="172">
        <v>0</v>
      </c>
      <c r="Q20" s="171">
        <v>850</v>
      </c>
      <c r="R20" s="171">
        <v>850</v>
      </c>
      <c r="S20" s="171">
        <v>750</v>
      </c>
      <c r="T20" s="171">
        <v>650</v>
      </c>
      <c r="U20" s="171">
        <v>500</v>
      </c>
      <c r="V20" s="171">
        <v>400</v>
      </c>
      <c r="W20" s="171">
        <v>300</v>
      </c>
      <c r="X20" s="171">
        <v>250</v>
      </c>
      <c r="Y20" s="171">
        <v>250</v>
      </c>
      <c r="AI20" s="171" t="s">
        <v>339</v>
      </c>
      <c r="AJ20" s="171" t="s">
        <v>326</v>
      </c>
    </row>
    <row r="21" spans="2:36" ht="15.95" customHeight="1">
      <c r="B21" s="180" t="s">
        <v>304</v>
      </c>
      <c r="C21" s="402" t="s">
        <v>303</v>
      </c>
      <c r="D21" s="403"/>
      <c r="E21" s="403"/>
      <c r="F21" s="403"/>
      <c r="G21" s="403"/>
      <c r="H21" s="403"/>
      <c r="I21" s="403"/>
      <c r="J21" s="403"/>
      <c r="K21" s="403"/>
      <c r="L21" s="403"/>
      <c r="M21" s="403"/>
      <c r="N21" s="404"/>
      <c r="P21" s="172">
        <v>3</v>
      </c>
      <c r="Q21" s="171">
        <v>850</v>
      </c>
      <c r="R21" s="171">
        <v>850</v>
      </c>
      <c r="S21" s="171">
        <v>750</v>
      </c>
      <c r="T21" s="171">
        <v>650</v>
      </c>
      <c r="U21" s="171">
        <v>500</v>
      </c>
      <c r="V21" s="171">
        <v>400</v>
      </c>
      <c r="W21" s="171">
        <v>300</v>
      </c>
      <c r="X21" s="171">
        <v>250</v>
      </c>
      <c r="Y21" s="171">
        <v>250</v>
      </c>
    </row>
    <row r="22" spans="2:36" ht="15.95" customHeight="1">
      <c r="B22" s="181">
        <v>-8</v>
      </c>
      <c r="C22" s="181">
        <v>-5</v>
      </c>
      <c r="D22" s="171">
        <v>0</v>
      </c>
      <c r="E22" s="171">
        <v>23</v>
      </c>
      <c r="F22" s="171">
        <v>25</v>
      </c>
      <c r="G22" s="171">
        <v>27</v>
      </c>
      <c r="H22" s="171">
        <v>29</v>
      </c>
      <c r="I22" s="171">
        <v>31</v>
      </c>
      <c r="J22" s="171">
        <v>33</v>
      </c>
      <c r="K22" s="171">
        <v>35</v>
      </c>
      <c r="L22" s="171">
        <v>37</v>
      </c>
      <c r="M22" s="171">
        <v>39</v>
      </c>
      <c r="N22" s="171">
        <v>50</v>
      </c>
      <c r="P22" s="172">
        <v>5</v>
      </c>
      <c r="Q22" s="171">
        <v>1000</v>
      </c>
      <c r="R22" s="171">
        <v>1000</v>
      </c>
      <c r="S22" s="171">
        <v>850</v>
      </c>
      <c r="T22" s="171">
        <v>750</v>
      </c>
      <c r="U22" s="171">
        <v>650</v>
      </c>
      <c r="V22" s="171">
        <v>500</v>
      </c>
      <c r="W22" s="171">
        <v>400</v>
      </c>
      <c r="X22" s="171">
        <v>350</v>
      </c>
      <c r="Y22" s="171">
        <v>350</v>
      </c>
    </row>
    <row r="23" spans="2:36" ht="15.95" customHeight="1">
      <c r="B23" s="151">
        <v>1</v>
      </c>
      <c r="C23" s="171">
        <v>9.5</v>
      </c>
      <c r="D23" s="171">
        <v>9.5</v>
      </c>
      <c r="E23" s="171">
        <v>9.5</v>
      </c>
      <c r="F23" s="171">
        <v>12.6</v>
      </c>
      <c r="G23" s="171">
        <v>17.3</v>
      </c>
      <c r="H23" s="171">
        <v>24.4</v>
      </c>
      <c r="I23" s="171">
        <v>34.6</v>
      </c>
      <c r="J23" s="171">
        <v>48.6</v>
      </c>
      <c r="K23" s="171">
        <v>71.3</v>
      </c>
      <c r="L23" s="171">
        <v>108</v>
      </c>
      <c r="M23" s="171">
        <v>163</v>
      </c>
      <c r="N23" s="171">
        <v>163</v>
      </c>
      <c r="P23" s="172">
        <v>7</v>
      </c>
      <c r="Q23" s="171">
        <v>1150</v>
      </c>
      <c r="R23" s="171">
        <v>1150</v>
      </c>
      <c r="S23" s="171">
        <v>1000</v>
      </c>
      <c r="T23" s="171">
        <v>850</v>
      </c>
      <c r="U23" s="171">
        <v>750</v>
      </c>
      <c r="V23" s="171">
        <v>600</v>
      </c>
      <c r="W23" s="171">
        <v>500</v>
      </c>
      <c r="X23" s="171">
        <v>450</v>
      </c>
      <c r="Y23" s="171">
        <v>450</v>
      </c>
    </row>
    <row r="24" spans="2:36" ht="15.95" customHeight="1">
      <c r="B24" s="151">
        <v>2</v>
      </c>
      <c r="C24" s="171">
        <v>18.600000000000001</v>
      </c>
      <c r="D24" s="171">
        <v>18.600000000000001</v>
      </c>
      <c r="E24" s="171">
        <v>18.600000000000001</v>
      </c>
      <c r="F24" s="171">
        <v>24.8</v>
      </c>
      <c r="G24" s="171">
        <v>32.799999999999997</v>
      </c>
      <c r="H24" s="171">
        <v>45.5</v>
      </c>
      <c r="I24" s="171">
        <v>64</v>
      </c>
      <c r="J24" s="171">
        <v>78.599999999999994</v>
      </c>
      <c r="K24" s="171">
        <v>127</v>
      </c>
      <c r="L24" s="171">
        <v>185</v>
      </c>
      <c r="M24" s="171">
        <v>260</v>
      </c>
      <c r="N24" s="171">
        <v>260</v>
      </c>
      <c r="P24" s="172">
        <v>10</v>
      </c>
      <c r="Q24" s="171">
        <v>1350</v>
      </c>
      <c r="R24" s="171">
        <v>1350</v>
      </c>
      <c r="S24" s="171">
        <v>1200</v>
      </c>
      <c r="T24" s="171">
        <v>1050</v>
      </c>
      <c r="U24" s="171">
        <v>950</v>
      </c>
      <c r="V24" s="171">
        <v>800</v>
      </c>
      <c r="W24" s="171">
        <v>700</v>
      </c>
      <c r="X24" s="171">
        <v>600</v>
      </c>
      <c r="Y24" s="171">
        <v>600</v>
      </c>
    </row>
    <row r="25" spans="2:36" ht="15.95" customHeight="1">
      <c r="P25" s="172">
        <v>12</v>
      </c>
      <c r="Q25" s="171">
        <v>1550</v>
      </c>
      <c r="R25" s="171">
        <v>1550</v>
      </c>
      <c r="S25" s="171">
        <v>1400</v>
      </c>
      <c r="T25" s="171">
        <v>1250</v>
      </c>
      <c r="U25" s="171">
        <v>1100</v>
      </c>
      <c r="V25" s="171">
        <v>950</v>
      </c>
      <c r="W25" s="171">
        <v>800</v>
      </c>
      <c r="X25" s="171">
        <v>700</v>
      </c>
      <c r="Y25" s="171">
        <v>700</v>
      </c>
    </row>
    <row r="26" spans="2:36" ht="15.95" customHeight="1">
      <c r="P26" s="172">
        <v>15</v>
      </c>
      <c r="Q26" s="171">
        <v>1800</v>
      </c>
      <c r="R26" s="171">
        <v>1800</v>
      </c>
      <c r="S26" s="171">
        <v>1650</v>
      </c>
      <c r="T26" s="171">
        <v>1500</v>
      </c>
      <c r="U26" s="171">
        <v>1300</v>
      </c>
      <c r="V26" s="171">
        <v>1100</v>
      </c>
      <c r="W26" s="171">
        <v>1000</v>
      </c>
      <c r="X26" s="171">
        <v>800</v>
      </c>
      <c r="Y26" s="171">
        <v>800</v>
      </c>
    </row>
    <row r="27" spans="2:36" ht="15.95" customHeight="1">
      <c r="B27" s="181" t="s">
        <v>305</v>
      </c>
      <c r="C27" s="396" t="s">
        <v>303</v>
      </c>
      <c r="D27" s="397"/>
      <c r="E27" s="397"/>
      <c r="F27" s="397"/>
      <c r="G27" s="397"/>
      <c r="H27" s="397"/>
      <c r="I27" s="397"/>
      <c r="J27" s="397"/>
      <c r="K27" s="397"/>
      <c r="L27" s="397"/>
      <c r="M27" s="397"/>
      <c r="N27" s="398"/>
      <c r="P27" s="172">
        <v>18</v>
      </c>
      <c r="Q27" s="171">
        <v>2100</v>
      </c>
      <c r="R27" s="171">
        <v>2100</v>
      </c>
      <c r="S27" s="171">
        <v>1900</v>
      </c>
      <c r="T27" s="171">
        <v>1700</v>
      </c>
      <c r="U27" s="171">
        <v>1500</v>
      </c>
      <c r="V27" s="171">
        <v>1300</v>
      </c>
      <c r="W27" s="171">
        <v>1150</v>
      </c>
      <c r="X27" s="171">
        <v>950</v>
      </c>
      <c r="Y27" s="171">
        <v>950</v>
      </c>
    </row>
    <row r="28" spans="2:36" ht="15.95" customHeight="1">
      <c r="B28" s="181">
        <v>-8</v>
      </c>
      <c r="C28" s="181">
        <v>-5</v>
      </c>
      <c r="D28" s="171">
        <v>0</v>
      </c>
      <c r="E28" s="171">
        <v>23</v>
      </c>
      <c r="F28" s="171">
        <v>25</v>
      </c>
      <c r="G28" s="171">
        <v>27</v>
      </c>
      <c r="H28" s="171">
        <v>29</v>
      </c>
      <c r="I28" s="171">
        <v>31</v>
      </c>
      <c r="J28" s="171">
        <v>33</v>
      </c>
      <c r="K28" s="171">
        <v>35</v>
      </c>
      <c r="L28" s="171">
        <v>37</v>
      </c>
      <c r="M28" s="171">
        <v>39</v>
      </c>
      <c r="N28" s="171">
        <v>50</v>
      </c>
      <c r="P28" s="172">
        <v>20</v>
      </c>
      <c r="Q28" s="171">
        <v>2300</v>
      </c>
      <c r="R28" s="171">
        <v>2300</v>
      </c>
      <c r="S28" s="171">
        <v>2100</v>
      </c>
      <c r="T28" s="171">
        <v>1900</v>
      </c>
      <c r="U28" s="171">
        <v>1650</v>
      </c>
      <c r="V28" s="171">
        <v>1450</v>
      </c>
      <c r="W28" s="171">
        <v>1250</v>
      </c>
      <c r="X28" s="171">
        <v>1050</v>
      </c>
      <c r="Y28" s="171">
        <v>1050</v>
      </c>
    </row>
    <row r="29" spans="2:36" ht="15.95" customHeight="1">
      <c r="B29" s="151">
        <v>0</v>
      </c>
      <c r="C29" s="171">
        <v>0.78</v>
      </c>
      <c r="D29" s="171">
        <v>0.78</v>
      </c>
      <c r="E29" s="171">
        <v>0.78</v>
      </c>
      <c r="F29" s="171">
        <v>0.79</v>
      </c>
      <c r="G29" s="171">
        <v>0.8</v>
      </c>
      <c r="H29" s="171">
        <v>0.82</v>
      </c>
      <c r="I29" s="171">
        <v>0.84</v>
      </c>
      <c r="J29" s="171">
        <v>0.85</v>
      </c>
      <c r="K29" s="171">
        <v>0.85</v>
      </c>
      <c r="L29" s="171">
        <v>0.85</v>
      </c>
      <c r="M29" s="171">
        <v>0.87</v>
      </c>
      <c r="N29" s="171">
        <v>0.87</v>
      </c>
      <c r="P29" s="172">
        <v>30</v>
      </c>
      <c r="Q29" s="171">
        <v>3300</v>
      </c>
      <c r="R29" s="171">
        <v>3300</v>
      </c>
      <c r="S29" s="171">
        <v>3000</v>
      </c>
      <c r="T29" s="171">
        <v>2600</v>
      </c>
      <c r="U29" s="171">
        <v>2300</v>
      </c>
      <c r="V29" s="171">
        <v>2000</v>
      </c>
      <c r="W29" s="171">
        <v>1250</v>
      </c>
      <c r="X29" s="171">
        <v>1050</v>
      </c>
      <c r="Y29" s="171">
        <v>1050</v>
      </c>
    </row>
    <row r="30" spans="2:36" ht="15.95" customHeight="1">
      <c r="B30" s="151">
        <v>4</v>
      </c>
      <c r="C30" s="171">
        <v>0.78</v>
      </c>
      <c r="D30" s="171">
        <v>0.78</v>
      </c>
      <c r="E30" s="171">
        <v>0.78</v>
      </c>
      <c r="F30" s="171">
        <v>0.79</v>
      </c>
      <c r="G30" s="171">
        <v>0.8</v>
      </c>
      <c r="H30" s="171">
        <v>0.82</v>
      </c>
      <c r="I30" s="171">
        <v>0.84</v>
      </c>
      <c r="J30" s="171">
        <v>0.85</v>
      </c>
      <c r="K30" s="171">
        <v>0.85</v>
      </c>
      <c r="L30" s="171">
        <v>0.85</v>
      </c>
      <c r="M30" s="171">
        <v>0.87</v>
      </c>
      <c r="N30" s="171">
        <v>0.87</v>
      </c>
      <c r="P30" s="172">
        <v>40</v>
      </c>
      <c r="Q30" s="171">
        <v>4500</v>
      </c>
      <c r="R30" s="171">
        <v>4500</v>
      </c>
      <c r="S30" s="171">
        <v>4000</v>
      </c>
      <c r="T30" s="171">
        <v>3500</v>
      </c>
      <c r="U30" s="171">
        <v>3000</v>
      </c>
      <c r="V30" s="171">
        <v>2500</v>
      </c>
      <c r="W30" s="171">
        <v>1250</v>
      </c>
      <c r="X30" s="171">
        <v>1050</v>
      </c>
      <c r="Y30" s="171">
        <v>1050</v>
      </c>
    </row>
    <row r="31" spans="2:36" ht="15.95" customHeight="1">
      <c r="B31" s="151">
        <v>5</v>
      </c>
      <c r="C31" s="171">
        <v>0.75</v>
      </c>
      <c r="D31" s="171">
        <v>0.75</v>
      </c>
      <c r="E31" s="171">
        <v>0.75</v>
      </c>
      <c r="F31" s="171">
        <v>0.76</v>
      </c>
      <c r="G31" s="171">
        <v>0.77</v>
      </c>
      <c r="H31" s="171">
        <v>0.79</v>
      </c>
      <c r="I31" s="171">
        <v>0.81</v>
      </c>
      <c r="J31" s="171">
        <v>0.82</v>
      </c>
      <c r="K31" s="171">
        <v>0.83</v>
      </c>
      <c r="L31" s="171">
        <v>0.84</v>
      </c>
      <c r="M31" s="171">
        <v>0.85</v>
      </c>
      <c r="N31" s="171">
        <v>0.85</v>
      </c>
      <c r="P31" s="172">
        <v>1000</v>
      </c>
      <c r="Q31" s="171">
        <v>4500</v>
      </c>
      <c r="R31" s="171">
        <v>4500</v>
      </c>
      <c r="S31" s="171">
        <v>4000</v>
      </c>
      <c r="T31" s="171">
        <v>3500</v>
      </c>
      <c r="U31" s="171">
        <v>3000</v>
      </c>
      <c r="V31" s="171">
        <v>2500</v>
      </c>
      <c r="W31" s="171">
        <v>1250</v>
      </c>
      <c r="X31" s="171">
        <v>1050</v>
      </c>
      <c r="Y31" s="171">
        <v>1050</v>
      </c>
    </row>
    <row r="32" spans="2:36" ht="15.95" customHeight="1">
      <c r="B32" s="169">
        <v>7.5</v>
      </c>
      <c r="C32" s="171">
        <v>0.68</v>
      </c>
      <c r="D32" s="171">
        <v>0.68</v>
      </c>
      <c r="E32" s="171">
        <v>0.68</v>
      </c>
      <c r="F32" s="171">
        <v>0.7</v>
      </c>
      <c r="G32" s="171">
        <v>0.71</v>
      </c>
      <c r="H32" s="171">
        <v>0.74</v>
      </c>
      <c r="I32" s="171">
        <v>0.76</v>
      </c>
      <c r="J32" s="171">
        <v>0.78</v>
      </c>
      <c r="K32" s="171">
        <v>0.8</v>
      </c>
      <c r="L32" s="171">
        <v>0.82</v>
      </c>
      <c r="M32" s="171">
        <v>0.84</v>
      </c>
      <c r="N32" s="171">
        <v>0.84</v>
      </c>
    </row>
    <row r="33" spans="1:18" ht="15.95" customHeight="1">
      <c r="B33" s="169">
        <v>10</v>
      </c>
      <c r="C33" s="171">
        <v>0.62</v>
      </c>
      <c r="D33" s="171">
        <v>0.62</v>
      </c>
      <c r="E33" s="171">
        <v>0.62</v>
      </c>
      <c r="F33" s="171">
        <v>0.65</v>
      </c>
      <c r="G33" s="171">
        <v>0.67</v>
      </c>
      <c r="H33" s="171">
        <v>0.7</v>
      </c>
      <c r="I33" s="171">
        <v>0.73</v>
      </c>
      <c r="J33" s="171">
        <v>0.75</v>
      </c>
      <c r="K33" s="171">
        <v>0.77</v>
      </c>
      <c r="L33" s="171">
        <v>0.79</v>
      </c>
      <c r="M33" s="171">
        <v>0.81</v>
      </c>
      <c r="N33" s="171">
        <v>0.81</v>
      </c>
    </row>
    <row r="34" spans="1:18" ht="15.95" customHeight="1">
      <c r="B34" s="169">
        <v>12.5</v>
      </c>
      <c r="C34" s="171">
        <v>0.57999999999999996</v>
      </c>
      <c r="D34" s="171">
        <v>0.57999999999999996</v>
      </c>
      <c r="E34" s="171">
        <v>0.57999999999999996</v>
      </c>
      <c r="F34" s="171">
        <v>0.61</v>
      </c>
      <c r="G34" s="171">
        <v>0.68</v>
      </c>
      <c r="H34" s="171">
        <v>0.67</v>
      </c>
      <c r="I34" s="171">
        <v>0.7</v>
      </c>
      <c r="J34" s="171">
        <v>0.73</v>
      </c>
      <c r="K34" s="171">
        <v>0.75</v>
      </c>
      <c r="L34" s="171">
        <v>0.78</v>
      </c>
      <c r="M34" s="171">
        <v>0.8</v>
      </c>
      <c r="N34" s="171">
        <v>0.8</v>
      </c>
    </row>
    <row r="35" spans="1:18" ht="15.95" customHeight="1">
      <c r="B35" s="169">
        <v>15</v>
      </c>
      <c r="C35" s="171">
        <v>0.55000000000000004</v>
      </c>
      <c r="D35" s="171">
        <v>0.55000000000000004</v>
      </c>
      <c r="E35" s="171">
        <v>0.55000000000000004</v>
      </c>
      <c r="F35" s="171">
        <v>0.57999999999999996</v>
      </c>
      <c r="G35" s="171">
        <v>0.61</v>
      </c>
      <c r="H35" s="171">
        <v>0.65</v>
      </c>
      <c r="I35" s="171">
        <v>0.68</v>
      </c>
      <c r="J35" s="171">
        <v>0.71</v>
      </c>
      <c r="K35" s="171">
        <v>0.73</v>
      </c>
      <c r="L35" s="171">
        <v>0.76</v>
      </c>
      <c r="M35" s="171">
        <v>0.79</v>
      </c>
      <c r="N35" s="171">
        <v>0.79</v>
      </c>
    </row>
    <row r="36" spans="1:18" ht="15.95" customHeight="1">
      <c r="B36" s="169">
        <v>17.5</v>
      </c>
      <c r="C36" s="171">
        <v>0.51</v>
      </c>
      <c r="D36" s="171">
        <v>0.51</v>
      </c>
      <c r="E36" s="171">
        <v>0.51</v>
      </c>
      <c r="F36" s="171">
        <v>0.55000000000000004</v>
      </c>
      <c r="G36" s="171">
        <v>0.57999999999999996</v>
      </c>
      <c r="H36" s="171">
        <v>0.62</v>
      </c>
      <c r="I36" s="171">
        <v>0.66</v>
      </c>
      <c r="J36" s="171">
        <v>0.69</v>
      </c>
      <c r="K36" s="171">
        <v>0.72</v>
      </c>
      <c r="L36" s="171">
        <v>0.75</v>
      </c>
      <c r="M36" s="171">
        <v>0.78</v>
      </c>
      <c r="N36" s="171">
        <v>0.78</v>
      </c>
    </row>
    <row r="37" spans="1:18" ht="15.95" customHeight="1">
      <c r="B37" s="169">
        <v>20</v>
      </c>
      <c r="C37" s="171">
        <v>0.49</v>
      </c>
      <c r="D37" s="171">
        <v>0.49</v>
      </c>
      <c r="E37" s="171">
        <v>0.49</v>
      </c>
      <c r="F37" s="171">
        <v>0.53</v>
      </c>
      <c r="G37" s="171">
        <v>0.56999999999999995</v>
      </c>
      <c r="H37" s="171">
        <v>0.61</v>
      </c>
      <c r="I37" s="171">
        <v>0.65</v>
      </c>
      <c r="J37" s="171">
        <v>0.68</v>
      </c>
      <c r="K37" s="171">
        <v>0.72</v>
      </c>
      <c r="L37" s="171">
        <v>0.75</v>
      </c>
      <c r="M37" s="171">
        <v>0.78</v>
      </c>
      <c r="N37" s="171">
        <v>0.78</v>
      </c>
    </row>
    <row r="38" spans="1:18" ht="15.95" customHeight="1">
      <c r="B38" s="169">
        <v>22.5</v>
      </c>
      <c r="C38" s="171">
        <v>0.46</v>
      </c>
      <c r="D38" s="171">
        <v>0.46</v>
      </c>
      <c r="E38" s="171">
        <v>0.46</v>
      </c>
      <c r="F38" s="171">
        <v>0.51</v>
      </c>
      <c r="G38" s="171">
        <v>0.55000000000000004</v>
      </c>
      <c r="H38" s="171">
        <v>0.6</v>
      </c>
      <c r="I38" s="171">
        <v>0.64</v>
      </c>
      <c r="J38" s="171">
        <v>0.67</v>
      </c>
      <c r="K38" s="171">
        <v>0.71</v>
      </c>
      <c r="L38" s="171">
        <v>0.74</v>
      </c>
      <c r="M38" s="171">
        <v>0.77</v>
      </c>
      <c r="N38" s="171">
        <v>0.77</v>
      </c>
    </row>
    <row r="39" spans="1:18" ht="15.95" customHeight="1">
      <c r="B39" s="169">
        <v>25</v>
      </c>
      <c r="C39" s="171">
        <v>0.44</v>
      </c>
      <c r="D39" s="171">
        <v>0.44</v>
      </c>
      <c r="E39" s="171">
        <v>0.44</v>
      </c>
      <c r="F39" s="171">
        <v>0.49</v>
      </c>
      <c r="G39" s="171">
        <v>0.54</v>
      </c>
      <c r="H39" s="171">
        <v>0.59</v>
      </c>
      <c r="I39" s="171">
        <v>0.63</v>
      </c>
      <c r="J39" s="171">
        <v>0.67</v>
      </c>
      <c r="K39" s="171">
        <v>0.7</v>
      </c>
      <c r="L39" s="171">
        <v>0.74</v>
      </c>
      <c r="M39" s="171">
        <v>0.77</v>
      </c>
      <c r="N39" s="171">
        <v>0.77</v>
      </c>
    </row>
    <row r="40" spans="1:18" ht="15.95" customHeight="1">
      <c r="B40" s="169">
        <v>1000</v>
      </c>
      <c r="C40" s="171">
        <v>0.44</v>
      </c>
      <c r="D40" s="171">
        <v>0.44</v>
      </c>
      <c r="E40" s="171">
        <v>0.44</v>
      </c>
      <c r="F40" s="171">
        <v>0.49</v>
      </c>
      <c r="G40" s="171">
        <v>0.54</v>
      </c>
      <c r="H40" s="171">
        <v>0.59</v>
      </c>
      <c r="I40" s="171">
        <v>0.63</v>
      </c>
      <c r="J40" s="171">
        <v>0.67</v>
      </c>
      <c r="K40" s="171">
        <v>0.7</v>
      </c>
      <c r="L40" s="171">
        <v>0.74</v>
      </c>
      <c r="M40" s="171">
        <v>0.77</v>
      </c>
      <c r="N40" s="171">
        <v>0.77</v>
      </c>
    </row>
    <row r="42" spans="1:18" ht="15.95" customHeight="1">
      <c r="B42" s="180" t="s">
        <v>306</v>
      </c>
      <c r="C42" s="396" t="s">
        <v>303</v>
      </c>
      <c r="D42" s="397"/>
      <c r="E42" s="397"/>
      <c r="F42" s="397"/>
      <c r="G42" s="397"/>
      <c r="H42" s="397"/>
      <c r="I42" s="397"/>
      <c r="J42" s="397"/>
      <c r="K42" s="397"/>
      <c r="L42" s="397"/>
      <c r="M42" s="397"/>
      <c r="N42" s="398"/>
    </row>
    <row r="43" spans="1:18" ht="15.95" customHeight="1">
      <c r="B43" s="181">
        <v>-8</v>
      </c>
      <c r="C43" s="181">
        <v>-5</v>
      </c>
      <c r="D43" s="171">
        <v>0</v>
      </c>
      <c r="E43" s="171">
        <v>23</v>
      </c>
      <c r="F43" s="171">
        <v>25</v>
      </c>
      <c r="G43" s="171">
        <v>27</v>
      </c>
      <c r="H43" s="171">
        <v>29</v>
      </c>
      <c r="I43" s="171">
        <v>31</v>
      </c>
      <c r="J43" s="171">
        <v>33</v>
      </c>
      <c r="K43" s="171">
        <v>35</v>
      </c>
      <c r="L43" s="171">
        <v>37</v>
      </c>
      <c r="M43" s="171">
        <v>39</v>
      </c>
      <c r="N43" s="171">
        <v>50</v>
      </c>
    </row>
    <row r="44" spans="1:18" ht="15.95" customHeight="1">
      <c r="B44" s="151">
        <v>0</v>
      </c>
      <c r="C44" s="171">
        <v>0.34</v>
      </c>
      <c r="D44" s="171">
        <v>0.34</v>
      </c>
      <c r="E44" s="171">
        <v>0.34</v>
      </c>
      <c r="F44" s="171">
        <v>0.31</v>
      </c>
      <c r="G44" s="171">
        <v>0.28999999999999998</v>
      </c>
      <c r="H44" s="171">
        <v>0.27</v>
      </c>
      <c r="I44" s="171">
        <v>0.26</v>
      </c>
      <c r="J44" s="171">
        <v>0.25</v>
      </c>
      <c r="K44" s="171">
        <v>0.24</v>
      </c>
      <c r="L44" s="171">
        <v>0.23</v>
      </c>
      <c r="M44" s="171">
        <v>0.22</v>
      </c>
      <c r="N44" s="171">
        <v>0.22</v>
      </c>
    </row>
    <row r="45" spans="1:18" ht="15.95" customHeight="1">
      <c r="B45" s="151">
        <v>0.8</v>
      </c>
      <c r="C45" s="171">
        <v>0.34</v>
      </c>
      <c r="D45" s="171">
        <v>0.34</v>
      </c>
      <c r="E45" s="171">
        <v>0.34</v>
      </c>
      <c r="F45" s="171">
        <v>0.31</v>
      </c>
      <c r="G45" s="171">
        <v>0.28999999999999998</v>
      </c>
      <c r="H45" s="171">
        <v>0.27</v>
      </c>
      <c r="I45" s="171">
        <v>0.26</v>
      </c>
      <c r="J45" s="171">
        <v>0.25</v>
      </c>
      <c r="K45" s="171">
        <v>0.24</v>
      </c>
      <c r="L45" s="171">
        <v>0.23</v>
      </c>
      <c r="M45" s="171">
        <v>0.22</v>
      </c>
      <c r="N45" s="171">
        <v>0.22</v>
      </c>
    </row>
    <row r="46" spans="1:18" ht="15.95" customHeight="1">
      <c r="B46" s="151">
        <v>4</v>
      </c>
      <c r="C46" s="171">
        <v>0.25</v>
      </c>
      <c r="D46" s="171">
        <v>0.25</v>
      </c>
      <c r="E46" s="171">
        <v>0.25</v>
      </c>
      <c r="F46" s="171">
        <v>0.24</v>
      </c>
      <c r="G46" s="171">
        <v>0.23</v>
      </c>
      <c r="H46" s="171">
        <v>0.22</v>
      </c>
      <c r="I46" s="171">
        <v>0.21</v>
      </c>
      <c r="J46" s="171">
        <v>0.2</v>
      </c>
      <c r="K46" s="171">
        <v>0.19</v>
      </c>
      <c r="L46" s="171">
        <v>0.18</v>
      </c>
      <c r="M46" s="171">
        <v>0.17</v>
      </c>
      <c r="N46" s="171">
        <v>0.17</v>
      </c>
    </row>
    <row r="47" spans="1:18" ht="15.95" customHeight="1">
      <c r="B47" s="169">
        <v>1000</v>
      </c>
      <c r="C47" s="171">
        <v>0.25</v>
      </c>
      <c r="D47" s="171">
        <v>0.25</v>
      </c>
      <c r="E47" s="171">
        <v>0.25</v>
      </c>
      <c r="F47" s="171">
        <v>0.24</v>
      </c>
      <c r="G47" s="171">
        <v>0.23</v>
      </c>
      <c r="H47" s="171">
        <v>0.22</v>
      </c>
      <c r="I47" s="171">
        <v>0.21</v>
      </c>
      <c r="J47" s="171">
        <v>0.2</v>
      </c>
      <c r="K47" s="171">
        <v>0.19</v>
      </c>
      <c r="L47" s="171">
        <v>0.18</v>
      </c>
      <c r="M47" s="171">
        <v>0.17</v>
      </c>
      <c r="N47" s="171">
        <v>0.17</v>
      </c>
    </row>
    <row r="48" spans="1:18" ht="15.95" customHeight="1">
      <c r="A48" s="168"/>
      <c r="B48" s="170"/>
      <c r="C48" s="170"/>
      <c r="D48" s="168"/>
      <c r="E48" s="168"/>
      <c r="F48" s="168"/>
      <c r="G48" s="168"/>
      <c r="H48" s="168"/>
      <c r="I48" s="168"/>
      <c r="J48" s="168"/>
      <c r="K48" s="168"/>
      <c r="L48" s="168"/>
      <c r="M48" s="168"/>
      <c r="N48" s="168"/>
      <c r="O48" s="168"/>
      <c r="P48" s="168"/>
      <c r="Q48" s="168"/>
      <c r="R48" s="168"/>
    </row>
    <row r="49" spans="1:18" ht="15.95" customHeight="1">
      <c r="A49" s="168"/>
      <c r="B49" s="170"/>
      <c r="C49" s="170"/>
      <c r="D49" s="168"/>
      <c r="E49" s="168"/>
      <c r="F49" s="168"/>
      <c r="G49" s="168"/>
      <c r="H49" s="168"/>
      <c r="I49" s="168"/>
      <c r="J49" s="168"/>
      <c r="K49" s="168"/>
      <c r="L49" s="168"/>
      <c r="M49" s="168"/>
      <c r="N49" s="168"/>
      <c r="O49" s="168"/>
      <c r="P49" s="168"/>
      <c r="Q49" s="168"/>
      <c r="R49" s="168"/>
    </row>
    <row r="50" spans="1:18" ht="15.95" customHeight="1">
      <c r="A50" s="168"/>
      <c r="B50" s="170"/>
      <c r="C50" s="170"/>
      <c r="D50" s="168"/>
      <c r="E50" s="168"/>
      <c r="F50" s="168"/>
      <c r="G50" s="168"/>
      <c r="H50" s="168"/>
      <c r="I50" s="168"/>
      <c r="J50" s="168"/>
      <c r="K50" s="168"/>
      <c r="L50" s="168"/>
      <c r="M50" s="168"/>
      <c r="N50" s="168"/>
      <c r="O50" s="168"/>
      <c r="P50" s="168"/>
      <c r="Q50" s="168"/>
      <c r="R50" s="168"/>
    </row>
    <row r="51" spans="1:18" ht="15.95" customHeight="1">
      <c r="A51" s="168"/>
      <c r="B51" s="170"/>
      <c r="C51" s="170"/>
      <c r="D51" s="168"/>
      <c r="E51" s="168"/>
      <c r="F51" s="168"/>
      <c r="G51" s="168"/>
      <c r="H51" s="168"/>
      <c r="I51" s="168"/>
      <c r="J51" s="168"/>
      <c r="K51" s="168"/>
      <c r="L51" s="168"/>
      <c r="M51" s="168"/>
      <c r="N51" s="168"/>
      <c r="O51" s="168"/>
      <c r="P51" s="168"/>
      <c r="Q51" s="168"/>
      <c r="R51" s="168"/>
    </row>
    <row r="52" spans="1:18" ht="15.95" customHeight="1">
      <c r="A52" s="168"/>
      <c r="B52" s="170"/>
      <c r="C52" s="170"/>
      <c r="D52" s="168"/>
      <c r="E52" s="168"/>
      <c r="F52" s="168"/>
      <c r="G52" s="168"/>
      <c r="H52" s="168"/>
      <c r="I52" s="168"/>
      <c r="J52" s="168"/>
      <c r="K52" s="168"/>
      <c r="L52" s="168"/>
      <c r="M52" s="168"/>
      <c r="N52" s="168"/>
      <c r="O52" s="168"/>
      <c r="P52" s="168"/>
      <c r="Q52" s="168"/>
      <c r="R52" s="168"/>
    </row>
    <row r="53" spans="1:18" ht="15.95" customHeight="1">
      <c r="A53" s="168"/>
      <c r="B53" s="170"/>
      <c r="C53" s="170"/>
      <c r="D53" s="168"/>
      <c r="E53" s="168"/>
      <c r="F53" s="168"/>
      <c r="G53" s="168"/>
      <c r="H53" s="168"/>
      <c r="I53" s="168"/>
      <c r="J53" s="168"/>
      <c r="K53" s="168"/>
      <c r="L53" s="168"/>
      <c r="M53" s="168"/>
      <c r="N53" s="168"/>
      <c r="O53" s="168"/>
      <c r="P53" s="168"/>
      <c r="Q53" s="168"/>
      <c r="R53" s="168"/>
    </row>
    <row r="54" spans="1:18" ht="15.95" customHeight="1">
      <c r="A54" s="168"/>
      <c r="B54" s="170"/>
      <c r="C54" s="170"/>
      <c r="D54" s="168"/>
      <c r="E54" s="168"/>
      <c r="F54" s="168"/>
      <c r="G54" s="168"/>
      <c r="H54" s="168"/>
      <c r="I54" s="168"/>
      <c r="J54" s="168"/>
      <c r="K54" s="168"/>
      <c r="L54" s="168"/>
      <c r="M54" s="168"/>
      <c r="N54" s="168"/>
      <c r="O54" s="168"/>
      <c r="P54" s="168"/>
      <c r="Q54" s="168"/>
      <c r="R54" s="168"/>
    </row>
    <row r="55" spans="1:18" ht="15.95" customHeight="1">
      <c r="A55" s="168"/>
      <c r="B55" s="170"/>
      <c r="C55" s="170"/>
      <c r="D55" s="168"/>
      <c r="E55" s="168"/>
      <c r="F55" s="168"/>
      <c r="G55" s="168"/>
      <c r="H55" s="168"/>
      <c r="I55" s="168"/>
      <c r="J55" s="168"/>
      <c r="K55" s="168"/>
      <c r="L55" s="168"/>
      <c r="M55" s="168"/>
      <c r="N55" s="168"/>
      <c r="O55" s="168"/>
      <c r="P55" s="168"/>
      <c r="Q55" s="168"/>
      <c r="R55" s="168"/>
    </row>
    <row r="56" spans="1:18" ht="15.95" customHeight="1">
      <c r="A56" s="168"/>
      <c r="B56" s="168"/>
      <c r="C56" s="168"/>
      <c r="D56" s="168"/>
      <c r="E56" s="168"/>
      <c r="F56" s="168"/>
      <c r="G56" s="168"/>
      <c r="H56" s="168"/>
      <c r="I56" s="168"/>
      <c r="J56" s="168"/>
      <c r="K56" s="168"/>
      <c r="L56" s="168"/>
      <c r="M56" s="168"/>
      <c r="N56" s="168"/>
      <c r="O56" s="168"/>
      <c r="P56" s="168"/>
      <c r="Q56" s="168"/>
      <c r="R56" s="168"/>
    </row>
    <row r="57" spans="1:18" ht="15.95" customHeight="1">
      <c r="A57" s="168"/>
      <c r="B57" s="168"/>
      <c r="C57" s="168"/>
      <c r="D57" s="168"/>
      <c r="E57" s="168"/>
      <c r="F57" s="168"/>
      <c r="G57" s="168"/>
      <c r="H57" s="168"/>
      <c r="I57" s="168"/>
      <c r="J57" s="168"/>
      <c r="K57" s="168"/>
      <c r="L57" s="168"/>
      <c r="M57" s="168"/>
      <c r="N57" s="168"/>
      <c r="O57" s="168"/>
      <c r="P57" s="168"/>
      <c r="Q57" s="168"/>
      <c r="R57" s="168"/>
    </row>
    <row r="58" spans="1:18" ht="15.95" customHeight="1">
      <c r="A58" s="168"/>
      <c r="B58" s="168"/>
      <c r="C58" s="168"/>
      <c r="D58" s="168"/>
      <c r="E58" s="168"/>
      <c r="F58" s="168"/>
      <c r="G58" s="168"/>
      <c r="H58" s="168"/>
      <c r="I58" s="168"/>
      <c r="J58" s="168"/>
      <c r="K58" s="168"/>
      <c r="L58" s="168"/>
      <c r="M58" s="168"/>
      <c r="N58" s="168"/>
      <c r="O58" s="168"/>
      <c r="P58" s="168"/>
      <c r="Q58" s="168"/>
      <c r="R58" s="168"/>
    </row>
  </sheetData>
  <mergeCells count="27">
    <mergeCell ref="AI11:AJ11"/>
    <mergeCell ref="AJ13:AJ14"/>
    <mergeCell ref="C42:N42"/>
    <mergeCell ref="AB3:AG3"/>
    <mergeCell ref="Q3:Y3"/>
    <mergeCell ref="Q18:Y18"/>
    <mergeCell ref="C3:N3"/>
    <mergeCell ref="P17:X17"/>
    <mergeCell ref="C27:N27"/>
    <mergeCell ref="C21:N21"/>
    <mergeCell ref="AJ17:AJ18"/>
    <mergeCell ref="AJ15:AJ16"/>
    <mergeCell ref="AM7:AM8"/>
    <mergeCell ref="AM9:AM10"/>
    <mergeCell ref="AR3:AS3"/>
    <mergeCell ref="AM5:AM6"/>
    <mergeCell ref="B2:N2"/>
    <mergeCell ref="AA2:AG2"/>
    <mergeCell ref="AI2:AJ2"/>
    <mergeCell ref="P2:X2"/>
    <mergeCell ref="AV3:AX3"/>
    <mergeCell ref="AN2:AS2"/>
    <mergeCell ref="AT2:AX2"/>
    <mergeCell ref="AM2:AM4"/>
    <mergeCell ref="AN3:AO3"/>
    <mergeCell ref="AP3:AQ3"/>
    <mergeCell ref="AT3:AU3"/>
  </mergeCells>
  <phoneticPr fontId="11"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22"/>
  </sheetPr>
  <dimension ref="A1:AD171"/>
  <sheetViews>
    <sheetView topLeftCell="A24" workbookViewId="0">
      <selection activeCell="A15" sqref="A15"/>
    </sheetView>
  </sheetViews>
  <sheetFormatPr defaultColWidth="7.109375" defaultRowHeight="18" customHeight="1"/>
  <cols>
    <col min="1" max="1" width="7.109375" style="93" bestFit="1" customWidth="1"/>
    <col min="2" max="2" width="18.88671875" style="93" bestFit="1" customWidth="1"/>
    <col min="3" max="3" width="8.6640625" style="93" bestFit="1" customWidth="1"/>
    <col min="4" max="4" width="9.5546875" style="93" bestFit="1" customWidth="1"/>
    <col min="5" max="5" width="9.77734375" style="93" customWidth="1"/>
    <col min="6" max="6" width="7.33203125" style="93" bestFit="1" customWidth="1"/>
    <col min="7" max="8" width="4.88671875" style="93" bestFit="1" customWidth="1"/>
    <col min="9" max="9" width="4.6640625" style="93" customWidth="1"/>
    <col min="10" max="10" width="6.33203125" style="93" customWidth="1"/>
    <col min="11" max="11" width="4.6640625" style="93" customWidth="1"/>
    <col min="12" max="13" width="5.44140625" style="93" customWidth="1"/>
    <col min="14" max="14" width="7.44140625" style="93" customWidth="1"/>
    <col min="15" max="15" width="6" style="93" bestFit="1" customWidth="1"/>
    <col min="16" max="16" width="5.88671875" style="93" customWidth="1"/>
    <col min="17" max="20" width="7.44140625" style="93" bestFit="1" customWidth="1"/>
    <col min="21" max="22" width="7.33203125" style="93" bestFit="1" customWidth="1"/>
    <col min="23" max="23" width="8.77734375" style="93" bestFit="1" customWidth="1"/>
    <col min="24" max="24" width="7.33203125" style="93" bestFit="1" customWidth="1"/>
    <col min="25" max="28" width="7.21875" style="93" bestFit="1" customWidth="1"/>
    <col min="29" max="16384" width="7.109375" style="93"/>
  </cols>
  <sheetData>
    <row r="1" spans="1:29" ht="18" customHeight="1">
      <c r="A1" s="423" t="s">
        <v>117</v>
      </c>
      <c r="B1" s="423"/>
      <c r="C1" s="423"/>
      <c r="D1" s="91"/>
      <c r="E1" s="91"/>
      <c r="F1" s="424" t="s">
        <v>248</v>
      </c>
      <c r="G1" s="425"/>
      <c r="H1" s="425"/>
      <c r="I1" s="425"/>
      <c r="J1" s="425"/>
      <c r="K1" s="425"/>
      <c r="L1" s="425"/>
      <c r="M1" s="425"/>
      <c r="N1" s="425"/>
      <c r="O1" s="92" t="s">
        <v>118</v>
      </c>
      <c r="P1" s="91"/>
      <c r="Q1" s="417" t="s">
        <v>249</v>
      </c>
      <c r="R1" s="418"/>
      <c r="S1" s="418"/>
      <c r="T1" s="419"/>
      <c r="U1" s="419"/>
      <c r="V1" s="419"/>
      <c r="W1" s="419"/>
      <c r="X1" s="419"/>
      <c r="Y1" s="419"/>
      <c r="Z1" s="420"/>
      <c r="AA1" s="420"/>
      <c r="AC1" s="94"/>
    </row>
    <row r="2" spans="1:29" ht="18" customHeight="1">
      <c r="A2" s="95" t="s">
        <v>119</v>
      </c>
      <c r="B2" s="96" t="s">
        <v>120</v>
      </c>
      <c r="C2" s="97" t="s">
        <v>1</v>
      </c>
      <c r="F2" s="426" t="s">
        <v>121</v>
      </c>
      <c r="G2" s="412" t="s">
        <v>250</v>
      </c>
      <c r="H2" s="412"/>
      <c r="I2" s="412"/>
      <c r="J2" s="412"/>
      <c r="K2" s="412"/>
      <c r="L2" s="412"/>
      <c r="M2" s="184"/>
      <c r="N2" s="428" t="s">
        <v>251</v>
      </c>
      <c r="O2" s="92" t="s">
        <v>252</v>
      </c>
      <c r="Q2" s="98"/>
      <c r="R2" s="98" t="str">
        <f>IF(AND($AC$1&gt;=R3,$AC$1&lt;=S3),"1","")</f>
        <v/>
      </c>
      <c r="S2" s="98" t="str">
        <f t="shared" ref="S2:Z2" si="0">IF(AND($AC$1&gt;=R3,$AC$1&lt;=S3),"2",IF(AND($AC$1&gt;=S3,$AC$1&lt;=T3),"1",""))</f>
        <v/>
      </c>
      <c r="T2" s="98" t="str">
        <f t="shared" si="0"/>
        <v/>
      </c>
      <c r="U2" s="98" t="str">
        <f t="shared" si="0"/>
        <v/>
      </c>
      <c r="V2" s="98" t="str">
        <f t="shared" si="0"/>
        <v/>
      </c>
      <c r="W2" s="98" t="str">
        <f t="shared" si="0"/>
        <v/>
      </c>
      <c r="X2" s="98" t="str">
        <f t="shared" si="0"/>
        <v/>
      </c>
      <c r="Y2" s="98" t="str">
        <f t="shared" si="0"/>
        <v/>
      </c>
      <c r="Z2" s="98" t="str">
        <f t="shared" si="0"/>
        <v/>
      </c>
      <c r="AA2" s="98" t="str">
        <f>IF(AND($AC$1&gt;=Z3,$AC$1&lt;=AA3),"2","")</f>
        <v/>
      </c>
      <c r="AC2" s="99"/>
    </row>
    <row r="3" spans="1:29" ht="18" customHeight="1">
      <c r="A3" s="100">
        <v>1</v>
      </c>
      <c r="B3" s="100" t="s">
        <v>122</v>
      </c>
      <c r="C3" s="100">
        <v>2</v>
      </c>
      <c r="D3" s="91"/>
      <c r="E3" s="91"/>
      <c r="F3" s="426"/>
      <c r="G3" s="421" t="s">
        <v>253</v>
      </c>
      <c r="H3" s="427"/>
      <c r="I3" s="421" t="s">
        <v>254</v>
      </c>
      <c r="J3" s="421"/>
      <c r="K3" s="421" t="s">
        <v>255</v>
      </c>
      <c r="L3" s="421"/>
      <c r="M3" s="218"/>
      <c r="N3" s="429"/>
      <c r="O3" s="92"/>
      <c r="P3" s="91"/>
      <c r="Q3" s="101" t="s">
        <v>123</v>
      </c>
      <c r="R3" s="102">
        <v>0.2</v>
      </c>
      <c r="S3" s="103">
        <v>0.5</v>
      </c>
      <c r="T3" s="103">
        <v>0.6</v>
      </c>
      <c r="U3" s="103">
        <v>0.7</v>
      </c>
      <c r="V3" s="103">
        <v>0.75</v>
      </c>
      <c r="W3" s="103">
        <v>0.8</v>
      </c>
      <c r="X3" s="103">
        <v>0.85</v>
      </c>
      <c r="Y3" s="103">
        <v>0.9</v>
      </c>
      <c r="Z3" s="103">
        <v>0.95</v>
      </c>
      <c r="AA3" s="103">
        <v>1</v>
      </c>
    </row>
    <row r="4" spans="1:29" ht="18" customHeight="1">
      <c r="A4" s="100">
        <v>2</v>
      </c>
      <c r="B4" s="100" t="s">
        <v>124</v>
      </c>
      <c r="C4" s="100">
        <v>1</v>
      </c>
      <c r="D4" s="91"/>
      <c r="E4" s="91"/>
      <c r="F4" s="426"/>
      <c r="G4" s="104" t="s">
        <v>256</v>
      </c>
      <c r="H4" s="104" t="s">
        <v>125</v>
      </c>
      <c r="I4" s="104" t="s">
        <v>256</v>
      </c>
      <c r="J4" s="104" t="s">
        <v>125</v>
      </c>
      <c r="K4" s="104" t="s">
        <v>256</v>
      </c>
      <c r="L4" s="104" t="s">
        <v>125</v>
      </c>
      <c r="M4" s="219"/>
      <c r="N4" s="430"/>
      <c r="O4" s="92"/>
      <c r="P4" s="91"/>
      <c r="Q4" s="105" t="s">
        <v>126</v>
      </c>
      <c r="R4" s="101">
        <v>1</v>
      </c>
      <c r="S4" s="103">
        <v>1.01</v>
      </c>
      <c r="T4" s="103">
        <v>1.02</v>
      </c>
      <c r="U4" s="103">
        <v>1.03</v>
      </c>
      <c r="V4" s="103">
        <v>1.04</v>
      </c>
      <c r="W4" s="103">
        <v>1.05</v>
      </c>
      <c r="X4" s="103">
        <v>1.06</v>
      </c>
      <c r="Y4" s="103">
        <v>1.08</v>
      </c>
      <c r="Z4" s="103">
        <v>1.1100000000000001</v>
      </c>
      <c r="AA4" s="103">
        <v>1.22</v>
      </c>
    </row>
    <row r="5" spans="1:29" s="106" customFormat="1" ht="18" customHeight="1">
      <c r="A5" s="100">
        <v>3</v>
      </c>
      <c r="B5" s="100" t="s">
        <v>127</v>
      </c>
      <c r="C5" s="100">
        <v>0.7</v>
      </c>
      <c r="D5" s="91"/>
      <c r="E5" s="91"/>
      <c r="F5" s="101" t="s">
        <v>128</v>
      </c>
      <c r="G5" s="101">
        <v>220</v>
      </c>
      <c r="H5" s="101">
        <v>210</v>
      </c>
      <c r="I5" s="101">
        <v>210</v>
      </c>
      <c r="J5" s="101">
        <v>200</v>
      </c>
      <c r="K5" s="101">
        <v>200</v>
      </c>
      <c r="L5" s="101">
        <v>190</v>
      </c>
      <c r="M5" s="101"/>
      <c r="N5" s="101">
        <v>340</v>
      </c>
      <c r="O5" s="92"/>
      <c r="P5" s="91"/>
    </row>
    <row r="6" spans="1:29" s="106" customFormat="1" ht="18" customHeight="1">
      <c r="A6" s="100">
        <v>4</v>
      </c>
      <c r="B6" s="100" t="s">
        <v>129</v>
      </c>
      <c r="C6" s="100">
        <v>0.5</v>
      </c>
      <c r="D6" s="91"/>
      <c r="E6" s="91"/>
      <c r="F6" s="101" t="s">
        <v>130</v>
      </c>
      <c r="G6" s="101">
        <v>240</v>
      </c>
      <c r="H6" s="101">
        <v>230</v>
      </c>
      <c r="I6" s="101">
        <v>230</v>
      </c>
      <c r="J6" s="101">
        <v>220</v>
      </c>
      <c r="K6" s="101">
        <v>220</v>
      </c>
      <c r="L6" s="101">
        <v>210</v>
      </c>
      <c r="M6" s="101"/>
      <c r="N6" s="101">
        <v>380</v>
      </c>
      <c r="O6" s="92"/>
      <c r="P6" s="91"/>
    </row>
    <row r="7" spans="1:29" s="106" customFormat="1" ht="18" customHeight="1">
      <c r="A7" s="92"/>
      <c r="B7" s="92"/>
      <c r="C7" s="92"/>
      <c r="D7" s="92"/>
      <c r="E7" s="92"/>
      <c r="F7" s="101" t="s">
        <v>131</v>
      </c>
      <c r="G7" s="101">
        <v>260</v>
      </c>
      <c r="H7" s="101">
        <v>245</v>
      </c>
      <c r="I7" s="101">
        <v>250</v>
      </c>
      <c r="J7" s="101">
        <v>240</v>
      </c>
      <c r="K7" s="101">
        <v>240</v>
      </c>
      <c r="L7" s="101">
        <v>230</v>
      </c>
      <c r="M7" s="101"/>
      <c r="N7" s="101">
        <v>420</v>
      </c>
      <c r="O7" s="92"/>
      <c r="P7" s="92"/>
    </row>
    <row r="8" spans="1:29" s="106" customFormat="1" ht="18" customHeight="1">
      <c r="A8" s="92"/>
      <c r="B8" s="92"/>
      <c r="C8" s="92"/>
      <c r="D8" s="92"/>
      <c r="E8" s="92"/>
      <c r="P8" s="92"/>
      <c r="Q8" s="92"/>
      <c r="R8" s="92"/>
      <c r="S8" s="107"/>
      <c r="T8" s="108"/>
      <c r="U8" s="109"/>
    </row>
    <row r="9" spans="1:29" ht="18" customHeight="1">
      <c r="A9" s="431" t="s">
        <v>257</v>
      </c>
      <c r="B9" s="432"/>
      <c r="C9" s="432"/>
      <c r="D9" s="432"/>
      <c r="E9" s="433"/>
      <c r="Q9" s="434" t="s">
        <v>132</v>
      </c>
      <c r="R9" s="435"/>
      <c r="S9" s="435"/>
      <c r="T9" s="436"/>
      <c r="U9" s="436"/>
      <c r="V9" s="436"/>
      <c r="W9" s="436"/>
      <c r="X9" s="436"/>
      <c r="Y9" s="436"/>
      <c r="Z9" s="92" t="s">
        <v>118</v>
      </c>
    </row>
    <row r="10" spans="1:29" ht="18" customHeight="1">
      <c r="A10" s="412" t="s">
        <v>258</v>
      </c>
      <c r="B10" s="412" t="s">
        <v>259</v>
      </c>
      <c r="C10" s="412"/>
      <c r="D10" s="416" t="s">
        <v>260</v>
      </c>
      <c r="E10" s="412"/>
      <c r="F10" s="110"/>
      <c r="G10" s="110"/>
      <c r="H10" s="110"/>
      <c r="I10" s="111"/>
      <c r="Q10" s="412" t="s">
        <v>133</v>
      </c>
      <c r="R10" s="412" t="s">
        <v>134</v>
      </c>
      <c r="S10" s="412" t="s">
        <v>98</v>
      </c>
      <c r="T10" s="412"/>
      <c r="U10" s="412"/>
      <c r="V10" s="412"/>
      <c r="W10" s="412"/>
      <c r="X10" s="412"/>
      <c r="Y10" s="412"/>
      <c r="Z10" s="92" t="s">
        <v>252</v>
      </c>
    </row>
    <row r="11" spans="1:29" ht="18" customHeight="1">
      <c r="A11" s="412"/>
      <c r="B11" s="95" t="s">
        <v>261</v>
      </c>
      <c r="C11" s="95" t="s">
        <v>262</v>
      </c>
      <c r="D11" s="95" t="s">
        <v>261</v>
      </c>
      <c r="E11" s="95" t="s">
        <v>262</v>
      </c>
      <c r="F11" s="110"/>
      <c r="G11" s="110"/>
      <c r="H11" s="110"/>
      <c r="I11" s="111"/>
      <c r="Q11" s="412"/>
      <c r="R11" s="412"/>
      <c r="S11" s="112">
        <v>4.5999999999999996</v>
      </c>
      <c r="T11" s="112">
        <v>4.8</v>
      </c>
      <c r="U11" s="112">
        <v>5.6</v>
      </c>
      <c r="V11" s="112">
        <v>5.8</v>
      </c>
      <c r="W11" s="112">
        <v>6.6</v>
      </c>
      <c r="X11" s="112">
        <v>8.8000000000000007</v>
      </c>
      <c r="Y11" s="112">
        <v>10.9</v>
      </c>
    </row>
    <row r="12" spans="1:29" ht="18" customHeight="1">
      <c r="A12" s="101">
        <v>0.25</v>
      </c>
      <c r="B12" s="113">
        <f>(1.45-0.05*F10)-0.01*(5-F10)*F11</f>
        <v>1.45</v>
      </c>
      <c r="C12" s="101">
        <v>1.2</v>
      </c>
      <c r="D12" s="421">
        <v>1.2</v>
      </c>
      <c r="E12" s="421"/>
      <c r="F12" s="110"/>
      <c r="G12" s="110"/>
      <c r="H12" s="110"/>
      <c r="I12" s="111"/>
      <c r="Q12" s="101" t="s">
        <v>135</v>
      </c>
      <c r="R12" s="101" t="s">
        <v>263</v>
      </c>
      <c r="S12" s="114">
        <v>150</v>
      </c>
      <c r="T12" s="114">
        <v>160</v>
      </c>
      <c r="U12" s="114">
        <v>190</v>
      </c>
      <c r="V12" s="114">
        <v>200</v>
      </c>
      <c r="W12" s="114">
        <v>230</v>
      </c>
      <c r="X12" s="114">
        <v>320</v>
      </c>
      <c r="Y12" s="114">
        <v>400</v>
      </c>
    </row>
    <row r="13" spans="1:29" ht="18" customHeight="1">
      <c r="A13" s="101">
        <v>0.5</v>
      </c>
      <c r="B13" s="113">
        <f>(1.75-0.1*F10)-0.02*(5-F10)*F11</f>
        <v>1.75</v>
      </c>
      <c r="C13" s="101">
        <v>1.25</v>
      </c>
      <c r="D13" s="421">
        <v>1.25</v>
      </c>
      <c r="E13" s="421"/>
      <c r="F13" s="110"/>
      <c r="G13" s="110"/>
      <c r="H13" s="110"/>
      <c r="I13" s="111"/>
      <c r="P13" s="92"/>
      <c r="Q13" s="101" t="s">
        <v>136</v>
      </c>
      <c r="R13" s="101" t="s">
        <v>264</v>
      </c>
      <c r="S13" s="114">
        <v>170</v>
      </c>
      <c r="T13" s="114">
        <v>180</v>
      </c>
      <c r="U13" s="114">
        <v>210</v>
      </c>
      <c r="V13" s="114">
        <v>200</v>
      </c>
      <c r="W13" s="114">
        <v>250</v>
      </c>
      <c r="X13" s="114">
        <v>400</v>
      </c>
      <c r="Y13" s="114">
        <v>500</v>
      </c>
    </row>
    <row r="14" spans="1:29" ht="18" customHeight="1">
      <c r="A14" s="101">
        <v>1</v>
      </c>
      <c r="B14" s="113">
        <f>(1.9-0.1*F10)-0.02*(6-F10)*F11</f>
        <v>1.9</v>
      </c>
      <c r="C14" s="115">
        <f>1.4-0.2*A18</f>
        <v>1.4</v>
      </c>
      <c r="D14" s="421">
        <v>1.3</v>
      </c>
      <c r="E14" s="421"/>
      <c r="F14" s="110"/>
      <c r="G14" s="110"/>
      <c r="H14" s="110"/>
      <c r="I14" s="111"/>
      <c r="P14" s="92"/>
      <c r="Q14" s="92"/>
      <c r="R14" s="92"/>
    </row>
    <row r="15" spans="1:29" ht="18" customHeight="1">
      <c r="A15" s="92"/>
      <c r="B15" s="92"/>
      <c r="C15" s="92"/>
      <c r="D15" s="92"/>
      <c r="E15" s="92"/>
      <c r="F15" s="116"/>
      <c r="G15" s="116"/>
      <c r="H15" s="116"/>
      <c r="I15" s="116"/>
      <c r="J15" s="92"/>
      <c r="K15" s="92"/>
      <c r="L15" s="92"/>
      <c r="M15" s="92"/>
      <c r="N15" s="92"/>
      <c r="O15" s="92"/>
      <c r="P15" s="92"/>
      <c r="Q15" s="92"/>
      <c r="R15" s="92"/>
    </row>
    <row r="16" spans="1:29" ht="18" customHeight="1">
      <c r="A16" s="441" t="s">
        <v>137</v>
      </c>
      <c r="B16" s="441"/>
      <c r="C16" s="441"/>
      <c r="D16" s="442"/>
      <c r="E16" s="442"/>
      <c r="F16" s="442"/>
      <c r="G16" s="442"/>
      <c r="H16" s="442"/>
      <c r="I16" s="442"/>
      <c r="J16" s="442"/>
      <c r="K16" s="442"/>
      <c r="L16" s="442"/>
      <c r="M16" s="442"/>
      <c r="N16" s="442"/>
      <c r="O16" s="92"/>
      <c r="P16" s="92"/>
      <c r="Q16" s="92"/>
      <c r="R16" s="92"/>
    </row>
    <row r="17" spans="1:23" ht="18" customHeight="1">
      <c r="A17" s="422" t="s">
        <v>138</v>
      </c>
      <c r="B17" s="422" t="s">
        <v>139</v>
      </c>
      <c r="C17" s="446"/>
      <c r="D17" s="446"/>
      <c r="E17" s="446"/>
      <c r="F17" s="446"/>
      <c r="G17" s="446"/>
      <c r="H17" s="446"/>
      <c r="I17" s="446"/>
      <c r="J17" s="446"/>
      <c r="K17" s="446"/>
      <c r="L17" s="446"/>
      <c r="M17" s="446"/>
      <c r="N17" s="446"/>
      <c r="P17" s="421" t="s">
        <v>140</v>
      </c>
      <c r="Q17" s="406"/>
      <c r="R17" s="406"/>
      <c r="S17" s="117"/>
      <c r="T17" s="118"/>
      <c r="U17" s="421" t="s">
        <v>141</v>
      </c>
      <c r="V17" s="406"/>
      <c r="W17" s="406"/>
    </row>
    <row r="18" spans="1:23" ht="18" customHeight="1">
      <c r="A18" s="422"/>
      <c r="B18" s="119">
        <v>2000</v>
      </c>
      <c r="C18" s="119">
        <f t="shared" ref="C18:L18" si="1">B18+400</f>
        <v>2400</v>
      </c>
      <c r="D18" s="119">
        <f t="shared" si="1"/>
        <v>2800</v>
      </c>
      <c r="E18" s="119">
        <f t="shared" si="1"/>
        <v>3200</v>
      </c>
      <c r="F18" s="119">
        <f t="shared" si="1"/>
        <v>3600</v>
      </c>
      <c r="G18" s="119">
        <f t="shared" si="1"/>
        <v>4000</v>
      </c>
      <c r="H18" s="119">
        <f t="shared" si="1"/>
        <v>4400</v>
      </c>
      <c r="I18" s="119">
        <f t="shared" si="1"/>
        <v>4800</v>
      </c>
      <c r="J18" s="119">
        <f t="shared" si="1"/>
        <v>5200</v>
      </c>
      <c r="K18" s="119">
        <f t="shared" si="1"/>
        <v>5600</v>
      </c>
      <c r="L18" s="119">
        <f t="shared" si="1"/>
        <v>6000</v>
      </c>
      <c r="M18" s="119"/>
      <c r="N18" s="119">
        <f>L18+400</f>
        <v>6400</v>
      </c>
      <c r="P18" s="120"/>
      <c r="Q18" s="121" t="s">
        <v>265</v>
      </c>
      <c r="R18" s="121" t="s">
        <v>266</v>
      </c>
      <c r="S18" s="122"/>
      <c r="T18" s="92"/>
      <c r="U18" s="415" t="s">
        <v>142</v>
      </c>
      <c r="V18" s="444" t="s">
        <v>267</v>
      </c>
      <c r="W18" s="445"/>
    </row>
    <row r="19" spans="1:23" ht="18" customHeight="1">
      <c r="A19" s="123">
        <v>10</v>
      </c>
      <c r="B19" s="123">
        <v>988</v>
      </c>
      <c r="C19" s="123">
        <v>987</v>
      </c>
      <c r="D19" s="123">
        <v>985</v>
      </c>
      <c r="E19" s="123">
        <v>984</v>
      </c>
      <c r="F19" s="123">
        <v>983</v>
      </c>
      <c r="G19" s="123">
        <v>982</v>
      </c>
      <c r="H19" s="123">
        <v>981</v>
      </c>
      <c r="I19" s="123">
        <v>980</v>
      </c>
      <c r="J19" s="123">
        <v>979</v>
      </c>
      <c r="K19" s="123">
        <v>978</v>
      </c>
      <c r="L19" s="123">
        <v>977</v>
      </c>
      <c r="M19" s="123"/>
      <c r="N19" s="123">
        <v>977</v>
      </c>
      <c r="P19" s="114" t="s">
        <v>143</v>
      </c>
      <c r="Q19" s="114">
        <v>4100</v>
      </c>
      <c r="R19" s="114">
        <v>1800</v>
      </c>
      <c r="T19" s="92"/>
      <c r="U19" s="415"/>
      <c r="V19" s="112" t="s">
        <v>144</v>
      </c>
      <c r="W19" s="112" t="s">
        <v>145</v>
      </c>
    </row>
    <row r="20" spans="1:23" ht="18" customHeight="1">
      <c r="A20" s="123">
        <f t="shared" ref="A20:A40" si="2">A19+10</f>
        <v>20</v>
      </c>
      <c r="B20" s="123">
        <v>967</v>
      </c>
      <c r="C20" s="123">
        <v>962</v>
      </c>
      <c r="D20" s="123">
        <v>959</v>
      </c>
      <c r="E20" s="123">
        <v>955</v>
      </c>
      <c r="F20" s="123">
        <v>952</v>
      </c>
      <c r="G20" s="123">
        <v>949</v>
      </c>
      <c r="H20" s="123">
        <v>946</v>
      </c>
      <c r="I20" s="123">
        <v>943</v>
      </c>
      <c r="J20" s="123">
        <v>941</v>
      </c>
      <c r="K20" s="123">
        <v>938</v>
      </c>
      <c r="L20" s="123">
        <v>936</v>
      </c>
      <c r="M20" s="123"/>
      <c r="N20" s="123">
        <v>934</v>
      </c>
      <c r="P20" s="114" t="s">
        <v>146</v>
      </c>
      <c r="Q20" s="114">
        <v>4100</v>
      </c>
      <c r="R20" s="114">
        <v>1800</v>
      </c>
      <c r="T20" s="92"/>
      <c r="U20" s="114">
        <v>3400</v>
      </c>
      <c r="V20" s="114">
        <v>4350</v>
      </c>
      <c r="W20" s="114">
        <v>3950</v>
      </c>
    </row>
    <row r="21" spans="1:23" ht="18" customHeight="1">
      <c r="A21" s="123">
        <f t="shared" si="2"/>
        <v>30</v>
      </c>
      <c r="B21" s="123">
        <v>939</v>
      </c>
      <c r="C21" s="123">
        <v>931</v>
      </c>
      <c r="D21" s="123">
        <v>924</v>
      </c>
      <c r="E21" s="123">
        <v>917</v>
      </c>
      <c r="F21" s="123">
        <v>911</v>
      </c>
      <c r="G21" s="123">
        <v>905</v>
      </c>
      <c r="H21" s="123">
        <v>900</v>
      </c>
      <c r="I21" s="123">
        <v>895</v>
      </c>
      <c r="J21" s="123">
        <v>891</v>
      </c>
      <c r="K21" s="123">
        <v>887</v>
      </c>
      <c r="L21" s="123">
        <v>883</v>
      </c>
      <c r="M21" s="123"/>
      <c r="N21" s="123">
        <v>879</v>
      </c>
      <c r="P21" s="114" t="s">
        <v>147</v>
      </c>
      <c r="Q21" s="114">
        <v>4500</v>
      </c>
      <c r="R21" s="114">
        <v>2000</v>
      </c>
      <c r="U21" s="114">
        <v>3800</v>
      </c>
      <c r="V21" s="114">
        <v>5150</v>
      </c>
      <c r="W21" s="114">
        <v>4650</v>
      </c>
    </row>
    <row r="22" spans="1:23" ht="18" customHeight="1">
      <c r="A22" s="123">
        <f t="shared" si="2"/>
        <v>40</v>
      </c>
      <c r="B22" s="123">
        <v>906</v>
      </c>
      <c r="C22" s="123">
        <v>894</v>
      </c>
      <c r="D22" s="123">
        <v>883</v>
      </c>
      <c r="E22" s="123">
        <v>873</v>
      </c>
      <c r="F22" s="123">
        <v>863</v>
      </c>
      <c r="G22" s="123">
        <v>854</v>
      </c>
      <c r="H22" s="123">
        <v>846</v>
      </c>
      <c r="I22" s="123">
        <v>839</v>
      </c>
      <c r="J22" s="123">
        <v>832</v>
      </c>
      <c r="K22" s="123">
        <v>825</v>
      </c>
      <c r="L22" s="123">
        <v>820</v>
      </c>
      <c r="M22" s="123">
        <v>814</v>
      </c>
      <c r="N22" s="123">
        <v>50</v>
      </c>
      <c r="P22" s="114" t="s">
        <v>148</v>
      </c>
      <c r="Q22" s="114">
        <v>4500</v>
      </c>
      <c r="R22" s="114">
        <v>2000</v>
      </c>
      <c r="U22" s="114">
        <v>4000</v>
      </c>
      <c r="V22" s="114">
        <v>5600</v>
      </c>
      <c r="W22" s="114">
        <v>5050</v>
      </c>
    </row>
    <row r="23" spans="1:23" ht="18" customHeight="1">
      <c r="A23" s="123">
        <f t="shared" si="2"/>
        <v>50</v>
      </c>
      <c r="B23" s="123">
        <v>869</v>
      </c>
      <c r="C23" s="123">
        <v>852</v>
      </c>
      <c r="D23" s="123">
        <v>836</v>
      </c>
      <c r="E23" s="123">
        <v>822</v>
      </c>
      <c r="F23" s="123">
        <v>809</v>
      </c>
      <c r="G23" s="123">
        <v>796</v>
      </c>
      <c r="H23" s="123">
        <v>785</v>
      </c>
      <c r="I23" s="123">
        <v>775</v>
      </c>
      <c r="J23" s="123">
        <v>764</v>
      </c>
      <c r="K23" s="123">
        <v>746</v>
      </c>
      <c r="L23" s="123">
        <v>729</v>
      </c>
      <c r="M23" s="123">
        <v>712</v>
      </c>
      <c r="N23" s="123">
        <v>712</v>
      </c>
      <c r="P23" s="114" t="s">
        <v>149</v>
      </c>
      <c r="Q23" s="114">
        <v>4900</v>
      </c>
      <c r="R23" s="114">
        <v>2150</v>
      </c>
      <c r="U23" s="114">
        <v>4200</v>
      </c>
      <c r="V23" s="114">
        <v>6000</v>
      </c>
      <c r="W23" s="114">
        <v>5400</v>
      </c>
    </row>
    <row r="24" spans="1:23" ht="18" customHeight="1">
      <c r="A24" s="123">
        <f t="shared" si="2"/>
        <v>60</v>
      </c>
      <c r="B24" s="123">
        <v>827</v>
      </c>
      <c r="C24" s="123">
        <v>805</v>
      </c>
      <c r="D24" s="123">
        <v>785</v>
      </c>
      <c r="E24" s="123">
        <v>766</v>
      </c>
      <c r="F24" s="123">
        <v>749</v>
      </c>
      <c r="G24" s="123">
        <v>721</v>
      </c>
      <c r="H24" s="123">
        <v>696</v>
      </c>
      <c r="I24" s="123">
        <v>672</v>
      </c>
      <c r="J24" s="123">
        <v>650</v>
      </c>
      <c r="K24" s="123">
        <v>628</v>
      </c>
      <c r="L24" s="123">
        <v>608</v>
      </c>
      <c r="M24" s="123">
        <v>588</v>
      </c>
      <c r="N24" s="123">
        <v>588</v>
      </c>
      <c r="P24" s="114" t="s">
        <v>150</v>
      </c>
      <c r="Q24" s="114">
        <v>4900</v>
      </c>
      <c r="R24" s="114">
        <v>2150</v>
      </c>
      <c r="U24" s="114">
        <v>4400</v>
      </c>
      <c r="V24" s="114">
        <v>6500</v>
      </c>
      <c r="W24" s="114">
        <v>5850</v>
      </c>
    </row>
    <row r="25" spans="1:23" ht="18" customHeight="1">
      <c r="A25" s="123">
        <f t="shared" si="2"/>
        <v>70</v>
      </c>
      <c r="B25" s="123">
        <v>782</v>
      </c>
      <c r="C25" s="123">
        <v>754</v>
      </c>
      <c r="D25" s="123">
        <v>724</v>
      </c>
      <c r="E25" s="123">
        <v>687</v>
      </c>
      <c r="F25" s="123">
        <v>654</v>
      </c>
      <c r="G25" s="123">
        <v>623</v>
      </c>
      <c r="H25" s="123">
        <v>595</v>
      </c>
      <c r="I25" s="123">
        <v>568</v>
      </c>
      <c r="J25" s="123">
        <v>542</v>
      </c>
      <c r="K25" s="123">
        <v>518</v>
      </c>
      <c r="L25" s="123">
        <v>494</v>
      </c>
      <c r="M25" s="123"/>
      <c r="N25" s="123">
        <v>470</v>
      </c>
      <c r="U25" s="114">
        <v>4500</v>
      </c>
      <c r="V25" s="114">
        <v>6750</v>
      </c>
      <c r="W25" s="114">
        <v>6050</v>
      </c>
    </row>
    <row r="26" spans="1:23" ht="18" customHeight="1">
      <c r="A26" s="123">
        <f t="shared" si="2"/>
        <v>80</v>
      </c>
      <c r="B26" s="123">
        <v>734</v>
      </c>
      <c r="C26" s="123">
        <v>686</v>
      </c>
      <c r="D26" s="123">
        <v>641</v>
      </c>
      <c r="E26" s="123">
        <v>602</v>
      </c>
      <c r="F26" s="123">
        <v>566</v>
      </c>
      <c r="G26" s="123">
        <v>532</v>
      </c>
      <c r="H26" s="123">
        <v>501</v>
      </c>
      <c r="I26" s="123">
        <v>471</v>
      </c>
      <c r="J26" s="123">
        <v>442</v>
      </c>
      <c r="K26" s="123">
        <v>414</v>
      </c>
      <c r="L26" s="123">
        <v>386</v>
      </c>
      <c r="M26" s="123"/>
      <c r="N26" s="123">
        <v>359</v>
      </c>
      <c r="U26" s="114">
        <v>4800</v>
      </c>
      <c r="V26" s="114">
        <v>7450</v>
      </c>
      <c r="W26" s="114">
        <v>6700</v>
      </c>
    </row>
    <row r="27" spans="1:23" ht="18" customHeight="1">
      <c r="A27" s="123">
        <f t="shared" si="2"/>
        <v>90</v>
      </c>
      <c r="B27" s="123">
        <v>665</v>
      </c>
      <c r="C27" s="123">
        <v>612</v>
      </c>
      <c r="D27" s="123">
        <v>565</v>
      </c>
      <c r="E27" s="123">
        <v>522</v>
      </c>
      <c r="F27" s="123">
        <v>483</v>
      </c>
      <c r="G27" s="123">
        <v>447</v>
      </c>
      <c r="H27" s="123">
        <v>413</v>
      </c>
      <c r="I27" s="123">
        <v>380</v>
      </c>
      <c r="J27" s="123">
        <v>349</v>
      </c>
      <c r="K27" s="123">
        <v>326</v>
      </c>
      <c r="L27" s="123">
        <v>305</v>
      </c>
      <c r="M27" s="123"/>
      <c r="N27" s="123">
        <v>287</v>
      </c>
      <c r="U27" s="114">
        <v>5000</v>
      </c>
      <c r="V27" s="114">
        <v>7950</v>
      </c>
      <c r="W27" s="114">
        <v>7100</v>
      </c>
    </row>
    <row r="28" spans="1:23" ht="18" customHeight="1">
      <c r="A28" s="123">
        <f t="shared" si="2"/>
        <v>100</v>
      </c>
      <c r="B28" s="123">
        <v>599</v>
      </c>
      <c r="C28" s="123">
        <v>542</v>
      </c>
      <c r="D28" s="123">
        <v>493</v>
      </c>
      <c r="E28" s="123">
        <v>448</v>
      </c>
      <c r="F28" s="123">
        <v>408</v>
      </c>
      <c r="G28" s="123">
        <v>369</v>
      </c>
      <c r="H28" s="123">
        <v>335</v>
      </c>
      <c r="I28" s="123">
        <v>309</v>
      </c>
      <c r="J28" s="123">
        <v>286</v>
      </c>
      <c r="K28" s="123">
        <v>267</v>
      </c>
      <c r="L28" s="123">
        <v>250</v>
      </c>
      <c r="M28" s="123">
        <v>235</v>
      </c>
      <c r="N28" s="123">
        <v>50</v>
      </c>
      <c r="U28" s="114">
        <v>5200</v>
      </c>
      <c r="V28" s="114">
        <v>8500</v>
      </c>
      <c r="W28" s="114">
        <v>7600</v>
      </c>
    </row>
    <row r="29" spans="1:23" ht="18" customHeight="1">
      <c r="A29" s="123">
        <f t="shared" si="2"/>
        <v>110</v>
      </c>
      <c r="B29" s="123">
        <v>537</v>
      </c>
      <c r="C29" s="123">
        <v>478</v>
      </c>
      <c r="D29" s="123">
        <v>427</v>
      </c>
      <c r="E29" s="123">
        <v>381</v>
      </c>
      <c r="F29" s="123">
        <v>338</v>
      </c>
      <c r="G29" s="123">
        <v>306</v>
      </c>
      <c r="H29" s="123">
        <v>280</v>
      </c>
      <c r="I29" s="123">
        <v>258</v>
      </c>
      <c r="J29" s="123">
        <v>239</v>
      </c>
      <c r="K29" s="123">
        <v>223</v>
      </c>
      <c r="L29" s="123">
        <v>209</v>
      </c>
      <c r="M29" s="123">
        <v>197</v>
      </c>
      <c r="N29" s="123">
        <v>197</v>
      </c>
      <c r="U29" s="114">
        <v>5400</v>
      </c>
      <c r="V29" s="114">
        <v>9050</v>
      </c>
      <c r="W29" s="114">
        <v>8050</v>
      </c>
    </row>
    <row r="30" spans="1:23" ht="18" customHeight="1">
      <c r="A30" s="123">
        <f t="shared" si="2"/>
        <v>120</v>
      </c>
      <c r="B30" s="123">
        <v>479</v>
      </c>
      <c r="C30" s="123">
        <v>419</v>
      </c>
      <c r="D30" s="123">
        <v>366</v>
      </c>
      <c r="E30" s="123">
        <v>321</v>
      </c>
      <c r="F30" s="123">
        <v>287</v>
      </c>
      <c r="G30" s="123">
        <v>260</v>
      </c>
      <c r="H30" s="123">
        <v>237</v>
      </c>
      <c r="I30" s="123">
        <v>219</v>
      </c>
      <c r="J30" s="123">
        <v>203</v>
      </c>
      <c r="K30" s="123">
        <v>190</v>
      </c>
      <c r="L30" s="123">
        <v>178</v>
      </c>
      <c r="M30" s="123">
        <v>167</v>
      </c>
      <c r="N30" s="123">
        <v>167</v>
      </c>
    </row>
    <row r="31" spans="1:23" ht="18" customHeight="1">
      <c r="A31" s="123">
        <f t="shared" si="2"/>
        <v>130</v>
      </c>
      <c r="B31" s="123">
        <v>425</v>
      </c>
      <c r="C31" s="123">
        <v>364</v>
      </c>
      <c r="D31" s="123">
        <v>313</v>
      </c>
      <c r="E31" s="123">
        <v>276</v>
      </c>
      <c r="F31" s="123">
        <v>247</v>
      </c>
      <c r="G31" s="123">
        <v>223</v>
      </c>
      <c r="H31" s="123">
        <v>204</v>
      </c>
      <c r="I31" s="123">
        <v>189</v>
      </c>
      <c r="J31" s="123">
        <v>175</v>
      </c>
      <c r="K31" s="123">
        <v>163</v>
      </c>
      <c r="L31" s="123">
        <v>153</v>
      </c>
      <c r="M31" s="123">
        <v>145</v>
      </c>
      <c r="N31" s="123">
        <v>145</v>
      </c>
    </row>
    <row r="32" spans="1:23" ht="18" customHeight="1">
      <c r="A32" s="123">
        <f t="shared" si="2"/>
        <v>140</v>
      </c>
      <c r="B32" s="123">
        <v>376</v>
      </c>
      <c r="C32" s="123">
        <v>315</v>
      </c>
      <c r="D32" s="123">
        <v>272</v>
      </c>
      <c r="E32" s="123">
        <v>240</v>
      </c>
      <c r="F32" s="123">
        <v>215</v>
      </c>
      <c r="G32" s="123">
        <v>195</v>
      </c>
      <c r="H32" s="123">
        <v>178</v>
      </c>
      <c r="I32" s="123">
        <v>164</v>
      </c>
      <c r="J32" s="123">
        <v>153</v>
      </c>
      <c r="K32" s="123">
        <v>143</v>
      </c>
      <c r="L32" s="123">
        <v>134</v>
      </c>
      <c r="M32" s="123">
        <v>126</v>
      </c>
      <c r="N32" s="123">
        <v>126</v>
      </c>
    </row>
    <row r="33" spans="1:28" ht="18" customHeight="1">
      <c r="A33" s="123">
        <f t="shared" si="2"/>
        <v>150</v>
      </c>
      <c r="B33" s="123">
        <v>328</v>
      </c>
      <c r="C33" s="123">
        <v>276</v>
      </c>
      <c r="D33" s="123">
        <v>239</v>
      </c>
      <c r="E33" s="123">
        <v>211</v>
      </c>
      <c r="F33" s="123">
        <v>189</v>
      </c>
      <c r="G33" s="123">
        <v>171</v>
      </c>
      <c r="H33" s="123">
        <v>157</v>
      </c>
      <c r="I33" s="123">
        <v>145</v>
      </c>
      <c r="J33" s="123">
        <v>134</v>
      </c>
      <c r="K33" s="123">
        <v>126</v>
      </c>
      <c r="L33" s="123">
        <v>118</v>
      </c>
      <c r="M33" s="123">
        <v>111</v>
      </c>
      <c r="N33" s="123">
        <v>111</v>
      </c>
    </row>
    <row r="34" spans="1:28" ht="18" customHeight="1">
      <c r="A34" s="123">
        <f t="shared" si="2"/>
        <v>160</v>
      </c>
      <c r="B34" s="123">
        <v>290</v>
      </c>
      <c r="C34" s="123">
        <v>244</v>
      </c>
      <c r="D34" s="123">
        <v>212</v>
      </c>
      <c r="E34" s="123">
        <v>187</v>
      </c>
      <c r="F34" s="123">
        <v>167</v>
      </c>
      <c r="G34" s="123">
        <v>152</v>
      </c>
      <c r="H34" s="123">
        <v>139</v>
      </c>
      <c r="I34" s="123">
        <v>129</v>
      </c>
      <c r="J34" s="123">
        <v>120</v>
      </c>
      <c r="K34" s="123">
        <v>112</v>
      </c>
      <c r="L34" s="123">
        <v>105</v>
      </c>
      <c r="M34" s="123">
        <v>99</v>
      </c>
      <c r="N34" s="123">
        <v>99</v>
      </c>
    </row>
    <row r="35" spans="1:28" ht="18" customHeight="1">
      <c r="A35" s="123">
        <f t="shared" si="2"/>
        <v>170</v>
      </c>
      <c r="B35" s="123">
        <v>259</v>
      </c>
      <c r="C35" s="123">
        <v>218</v>
      </c>
      <c r="D35" s="123">
        <v>189</v>
      </c>
      <c r="E35" s="123">
        <v>167</v>
      </c>
      <c r="F35" s="123">
        <v>150</v>
      </c>
      <c r="G35" s="123">
        <v>136</v>
      </c>
      <c r="H35" s="123">
        <v>125</v>
      </c>
      <c r="I35" s="123">
        <v>115</v>
      </c>
      <c r="J35" s="123">
        <v>107</v>
      </c>
      <c r="K35" s="123">
        <v>100</v>
      </c>
      <c r="L35" s="123">
        <v>94</v>
      </c>
      <c r="M35" s="123">
        <v>89</v>
      </c>
      <c r="N35" s="123">
        <v>89</v>
      </c>
    </row>
    <row r="36" spans="1:28" ht="18" customHeight="1">
      <c r="A36" s="123">
        <f t="shared" si="2"/>
        <v>180</v>
      </c>
      <c r="B36" s="123">
        <v>233</v>
      </c>
      <c r="C36" s="123">
        <v>196</v>
      </c>
      <c r="D36" s="123">
        <v>170</v>
      </c>
      <c r="E36" s="123">
        <v>150</v>
      </c>
      <c r="F36" s="123">
        <v>135</v>
      </c>
      <c r="G36" s="123">
        <v>123</v>
      </c>
      <c r="H36" s="123">
        <v>112</v>
      </c>
      <c r="I36" s="123">
        <v>104</v>
      </c>
      <c r="J36" s="123">
        <v>97</v>
      </c>
      <c r="K36" s="123">
        <v>91</v>
      </c>
      <c r="L36" s="123">
        <v>85</v>
      </c>
      <c r="M36" s="123">
        <v>81</v>
      </c>
      <c r="N36" s="123">
        <v>81</v>
      </c>
    </row>
    <row r="37" spans="1:28" ht="18" customHeight="1">
      <c r="A37" s="123">
        <f t="shared" si="2"/>
        <v>190</v>
      </c>
      <c r="B37" s="123">
        <v>210</v>
      </c>
      <c r="C37" s="123">
        <v>177</v>
      </c>
      <c r="D37" s="123">
        <v>154</v>
      </c>
      <c r="E37" s="123">
        <v>136</v>
      </c>
      <c r="F37" s="123">
        <v>122</v>
      </c>
      <c r="G37" s="123">
        <v>111</v>
      </c>
      <c r="H37" s="123">
        <v>102</v>
      </c>
      <c r="I37" s="123">
        <v>94</v>
      </c>
      <c r="J37" s="123">
        <v>88</v>
      </c>
      <c r="K37" s="123">
        <v>82</v>
      </c>
      <c r="L37" s="123">
        <v>77</v>
      </c>
      <c r="M37" s="123">
        <v>73</v>
      </c>
      <c r="N37" s="123">
        <v>73</v>
      </c>
    </row>
    <row r="38" spans="1:28" ht="18" customHeight="1">
      <c r="A38" s="123">
        <f t="shared" si="2"/>
        <v>200</v>
      </c>
      <c r="B38" s="123">
        <v>191</v>
      </c>
      <c r="C38" s="123">
        <v>161</v>
      </c>
      <c r="D38" s="123">
        <v>140</v>
      </c>
      <c r="E38" s="123">
        <v>124</v>
      </c>
      <c r="F38" s="123">
        <v>111</v>
      </c>
      <c r="G38" s="123">
        <v>101</v>
      </c>
      <c r="H38" s="123">
        <v>93</v>
      </c>
      <c r="I38" s="123">
        <v>86</v>
      </c>
      <c r="J38" s="123">
        <v>80</v>
      </c>
      <c r="K38" s="123">
        <v>75</v>
      </c>
      <c r="L38" s="123">
        <v>71</v>
      </c>
      <c r="M38" s="123">
        <v>67</v>
      </c>
      <c r="N38" s="123">
        <v>67</v>
      </c>
    </row>
    <row r="39" spans="1:28" ht="18" customHeight="1">
      <c r="A39" s="123">
        <f t="shared" si="2"/>
        <v>210</v>
      </c>
      <c r="B39" s="123">
        <v>174</v>
      </c>
      <c r="C39" s="123">
        <v>147</v>
      </c>
      <c r="D39" s="123">
        <v>128</v>
      </c>
      <c r="E39" s="123">
        <v>113</v>
      </c>
      <c r="F39" s="123">
        <v>102</v>
      </c>
      <c r="G39" s="123">
        <v>93</v>
      </c>
      <c r="H39" s="123">
        <v>85</v>
      </c>
      <c r="I39" s="123">
        <v>79</v>
      </c>
      <c r="J39" s="123">
        <v>74</v>
      </c>
      <c r="K39" s="123">
        <v>69</v>
      </c>
      <c r="L39" s="123">
        <v>65</v>
      </c>
      <c r="M39" s="123">
        <v>62</v>
      </c>
      <c r="N39" s="123">
        <v>62</v>
      </c>
    </row>
    <row r="40" spans="1:28" ht="18" customHeight="1">
      <c r="A40" s="123">
        <f t="shared" si="2"/>
        <v>220</v>
      </c>
      <c r="B40" s="123">
        <v>160</v>
      </c>
      <c r="C40" s="123">
        <v>135</v>
      </c>
      <c r="D40" s="123">
        <v>118</v>
      </c>
      <c r="E40" s="123">
        <v>104</v>
      </c>
      <c r="F40" s="123">
        <v>94</v>
      </c>
      <c r="G40" s="123">
        <v>86</v>
      </c>
      <c r="H40" s="123">
        <v>77</v>
      </c>
      <c r="I40" s="123">
        <v>73</v>
      </c>
      <c r="J40" s="123">
        <v>68</v>
      </c>
      <c r="K40" s="123">
        <v>64</v>
      </c>
      <c r="L40" s="123">
        <v>60</v>
      </c>
      <c r="M40" s="123">
        <v>57</v>
      </c>
      <c r="N40" s="123">
        <v>57</v>
      </c>
    </row>
    <row r="42" spans="1:28" ht="18" customHeight="1">
      <c r="A42" s="441" t="s">
        <v>151</v>
      </c>
      <c r="B42" s="441"/>
      <c r="C42" s="441"/>
      <c r="D42" s="442"/>
      <c r="E42" s="442"/>
      <c r="F42" s="442"/>
      <c r="G42" s="442"/>
      <c r="H42" s="442"/>
      <c r="I42" s="442"/>
      <c r="J42" s="442"/>
      <c r="K42" s="442"/>
      <c r="L42" s="442"/>
      <c r="M42" s="442"/>
      <c r="N42" s="442"/>
      <c r="O42" s="443"/>
      <c r="P42" s="443"/>
      <c r="Q42" s="443"/>
      <c r="R42" s="443"/>
      <c r="S42" s="443"/>
      <c r="T42" s="443"/>
      <c r="U42" s="443"/>
      <c r="V42" s="443"/>
      <c r="W42" s="443"/>
      <c r="X42" s="443"/>
      <c r="Y42" s="443"/>
      <c r="Z42" s="443"/>
      <c r="AA42" s="443"/>
      <c r="AB42" s="443"/>
    </row>
    <row r="43" spans="1:28" s="124" customFormat="1" ht="18" customHeight="1">
      <c r="A43" s="422" t="s">
        <v>138</v>
      </c>
      <c r="B43" s="437" t="s">
        <v>268</v>
      </c>
      <c r="C43" s="438"/>
      <c r="D43" s="438"/>
      <c r="E43" s="438"/>
      <c r="F43" s="438"/>
      <c r="G43" s="438"/>
      <c r="H43" s="438"/>
      <c r="I43" s="438"/>
      <c r="J43" s="438"/>
      <c r="K43" s="438"/>
      <c r="L43" s="438"/>
      <c r="M43" s="438"/>
      <c r="N43" s="438"/>
      <c r="O43" s="439"/>
      <c r="P43" s="439"/>
      <c r="Q43" s="439"/>
      <c r="R43" s="439"/>
      <c r="S43" s="439"/>
      <c r="T43" s="439"/>
      <c r="U43" s="439"/>
      <c r="V43" s="439"/>
      <c r="W43" s="439"/>
      <c r="X43" s="439"/>
      <c r="Y43" s="439"/>
      <c r="Z43" s="439"/>
      <c r="AA43" s="439"/>
      <c r="AB43" s="440"/>
    </row>
    <row r="44" spans="1:28" s="124" customFormat="1" ht="18" customHeight="1">
      <c r="A44" s="422"/>
      <c r="B44" s="125">
        <v>0.1</v>
      </c>
      <c r="C44" s="125">
        <v>0.25</v>
      </c>
      <c r="D44" s="125">
        <v>0.5</v>
      </c>
      <c r="E44" s="125">
        <v>0.75</v>
      </c>
      <c r="F44" s="125">
        <v>1</v>
      </c>
      <c r="G44" s="125">
        <v>1.25</v>
      </c>
      <c r="H44" s="125">
        <v>1.5</v>
      </c>
      <c r="I44" s="125">
        <v>1.75</v>
      </c>
      <c r="J44" s="125">
        <v>2</v>
      </c>
      <c r="K44" s="125">
        <v>2.5</v>
      </c>
      <c r="L44" s="125">
        <v>3</v>
      </c>
      <c r="M44" s="125"/>
      <c r="N44" s="125">
        <v>3.5</v>
      </c>
      <c r="O44" s="125">
        <v>4</v>
      </c>
      <c r="P44" s="125">
        <v>4.5</v>
      </c>
      <c r="Q44" s="125">
        <v>5</v>
      </c>
      <c r="R44" s="125">
        <v>5.5</v>
      </c>
      <c r="S44" s="125">
        <v>6</v>
      </c>
      <c r="T44" s="125">
        <v>6.5</v>
      </c>
      <c r="U44" s="125">
        <v>7</v>
      </c>
      <c r="V44" s="125">
        <v>8</v>
      </c>
      <c r="W44" s="125">
        <v>9</v>
      </c>
      <c r="X44" s="125">
        <v>10</v>
      </c>
      <c r="Y44" s="125">
        <v>12</v>
      </c>
      <c r="Z44" s="125">
        <v>14</v>
      </c>
      <c r="AA44" s="125">
        <v>17</v>
      </c>
      <c r="AB44" s="125">
        <v>20</v>
      </c>
    </row>
    <row r="45" spans="1:28" s="124" customFormat="1" ht="18" customHeight="1">
      <c r="A45" s="126">
        <v>0.5</v>
      </c>
      <c r="B45" s="123">
        <v>967</v>
      </c>
      <c r="C45" s="123">
        <v>922</v>
      </c>
      <c r="D45" s="123">
        <v>850</v>
      </c>
      <c r="E45" s="123">
        <v>782</v>
      </c>
      <c r="F45" s="123">
        <v>722</v>
      </c>
      <c r="G45" s="123">
        <v>669</v>
      </c>
      <c r="H45" s="123">
        <v>620</v>
      </c>
      <c r="I45" s="123">
        <v>577</v>
      </c>
      <c r="J45" s="123">
        <v>538</v>
      </c>
      <c r="K45" s="123">
        <v>469</v>
      </c>
      <c r="L45" s="123">
        <v>417</v>
      </c>
      <c r="M45" s="123"/>
      <c r="N45" s="123">
        <v>370</v>
      </c>
      <c r="O45" s="123">
        <v>337</v>
      </c>
      <c r="P45" s="123">
        <v>307</v>
      </c>
      <c r="Q45" s="123">
        <v>280</v>
      </c>
      <c r="R45" s="123">
        <v>260</v>
      </c>
      <c r="S45" s="123">
        <v>237</v>
      </c>
      <c r="T45" s="123">
        <v>222</v>
      </c>
      <c r="U45" s="123">
        <v>210</v>
      </c>
      <c r="V45" s="123">
        <v>183</v>
      </c>
      <c r="W45" s="123">
        <v>164</v>
      </c>
      <c r="X45" s="123">
        <v>150</v>
      </c>
      <c r="Y45" s="123">
        <v>125</v>
      </c>
      <c r="Z45" s="123">
        <v>106</v>
      </c>
      <c r="AA45" s="123">
        <v>90</v>
      </c>
      <c r="AB45" s="123">
        <v>77</v>
      </c>
    </row>
    <row r="46" spans="1:28" s="124" customFormat="1" ht="18" customHeight="1">
      <c r="A46" s="126">
        <f t="shared" ref="A46:A57" si="3">A45+0.5</f>
        <v>1</v>
      </c>
      <c r="B46" s="123">
        <v>925</v>
      </c>
      <c r="C46" s="123">
        <v>854</v>
      </c>
      <c r="D46" s="123">
        <v>787</v>
      </c>
      <c r="E46" s="123">
        <v>711</v>
      </c>
      <c r="F46" s="123">
        <v>653</v>
      </c>
      <c r="G46" s="123">
        <v>600</v>
      </c>
      <c r="H46" s="123">
        <v>563</v>
      </c>
      <c r="I46" s="123">
        <v>520</v>
      </c>
      <c r="J46" s="123">
        <v>484</v>
      </c>
      <c r="K46" s="123">
        <v>427</v>
      </c>
      <c r="L46" s="123">
        <v>382</v>
      </c>
      <c r="M46" s="123"/>
      <c r="N46" s="123">
        <v>341</v>
      </c>
      <c r="O46" s="123">
        <v>307</v>
      </c>
      <c r="P46" s="123">
        <v>283</v>
      </c>
      <c r="Q46" s="123">
        <v>259</v>
      </c>
      <c r="R46" s="123">
        <v>240</v>
      </c>
      <c r="S46" s="123">
        <v>225</v>
      </c>
      <c r="T46" s="123">
        <v>209</v>
      </c>
      <c r="U46" s="123">
        <v>196</v>
      </c>
      <c r="V46" s="123">
        <v>175</v>
      </c>
      <c r="W46" s="123">
        <v>157</v>
      </c>
      <c r="X46" s="123">
        <v>142</v>
      </c>
      <c r="Y46" s="123">
        <v>121</v>
      </c>
      <c r="Z46" s="123">
        <v>103</v>
      </c>
      <c r="AA46" s="123">
        <v>86</v>
      </c>
      <c r="AB46" s="123">
        <v>74</v>
      </c>
    </row>
    <row r="47" spans="1:28" s="124" customFormat="1" ht="18" customHeight="1">
      <c r="A47" s="126">
        <f t="shared" si="3"/>
        <v>1.5</v>
      </c>
      <c r="B47" s="123">
        <v>875</v>
      </c>
      <c r="C47" s="123">
        <v>804</v>
      </c>
      <c r="D47" s="123">
        <v>716</v>
      </c>
      <c r="E47" s="123">
        <v>647</v>
      </c>
      <c r="F47" s="123">
        <v>593</v>
      </c>
      <c r="G47" s="123">
        <v>548</v>
      </c>
      <c r="H47" s="123">
        <v>507</v>
      </c>
      <c r="I47" s="123">
        <v>470</v>
      </c>
      <c r="J47" s="123">
        <v>439</v>
      </c>
      <c r="K47" s="123">
        <v>388</v>
      </c>
      <c r="L47" s="123">
        <v>348</v>
      </c>
      <c r="M47" s="123"/>
      <c r="N47" s="123">
        <v>312</v>
      </c>
      <c r="O47" s="123">
        <v>283</v>
      </c>
      <c r="P47" s="123">
        <v>262</v>
      </c>
      <c r="Q47" s="123">
        <v>240</v>
      </c>
      <c r="R47" s="123">
        <v>223</v>
      </c>
      <c r="S47" s="123">
        <v>207</v>
      </c>
      <c r="T47" s="123">
        <v>195</v>
      </c>
      <c r="U47" s="123">
        <v>182</v>
      </c>
      <c r="V47" s="123">
        <v>163</v>
      </c>
      <c r="W47" s="123">
        <v>148</v>
      </c>
      <c r="X47" s="123">
        <v>134</v>
      </c>
      <c r="Y47" s="123">
        <v>114</v>
      </c>
      <c r="Z47" s="123">
        <v>99</v>
      </c>
      <c r="AA47" s="123">
        <v>82</v>
      </c>
      <c r="AB47" s="123">
        <v>70</v>
      </c>
    </row>
    <row r="48" spans="1:28" s="124" customFormat="1" ht="18" customHeight="1">
      <c r="A48" s="126">
        <f t="shared" si="3"/>
        <v>2</v>
      </c>
      <c r="B48" s="123">
        <v>813</v>
      </c>
      <c r="C48" s="123">
        <v>742</v>
      </c>
      <c r="D48" s="123">
        <v>653</v>
      </c>
      <c r="E48" s="123">
        <v>587</v>
      </c>
      <c r="F48" s="123">
        <v>536</v>
      </c>
      <c r="G48" s="123">
        <v>496</v>
      </c>
      <c r="H48" s="123">
        <v>457</v>
      </c>
      <c r="I48" s="123">
        <v>425</v>
      </c>
      <c r="J48" s="123">
        <v>397</v>
      </c>
      <c r="K48" s="123">
        <v>352</v>
      </c>
      <c r="L48" s="123">
        <v>315</v>
      </c>
      <c r="M48" s="123"/>
      <c r="N48" s="123">
        <v>286</v>
      </c>
      <c r="O48" s="123">
        <v>260</v>
      </c>
      <c r="P48" s="123">
        <v>240</v>
      </c>
      <c r="Q48" s="123">
        <v>222</v>
      </c>
      <c r="R48" s="123">
        <v>206</v>
      </c>
      <c r="S48" s="123">
        <v>193</v>
      </c>
      <c r="T48" s="123">
        <v>182</v>
      </c>
      <c r="U48" s="123">
        <v>170</v>
      </c>
      <c r="V48" s="123">
        <v>153</v>
      </c>
      <c r="W48" s="123">
        <v>138</v>
      </c>
      <c r="X48" s="123">
        <v>125</v>
      </c>
      <c r="Y48" s="123">
        <v>107</v>
      </c>
      <c r="Z48" s="123">
        <v>94</v>
      </c>
      <c r="AA48" s="123">
        <v>78</v>
      </c>
      <c r="AB48" s="123">
        <v>67</v>
      </c>
    </row>
    <row r="49" spans="1:28" s="124" customFormat="1" ht="18" customHeight="1">
      <c r="A49" s="126">
        <f t="shared" si="3"/>
        <v>2.5</v>
      </c>
      <c r="B49" s="123">
        <v>742</v>
      </c>
      <c r="C49" s="123">
        <v>672</v>
      </c>
      <c r="D49" s="123">
        <v>587</v>
      </c>
      <c r="E49" s="123">
        <v>526</v>
      </c>
      <c r="F49" s="123">
        <v>480</v>
      </c>
      <c r="G49" s="123">
        <v>442</v>
      </c>
      <c r="H49" s="123">
        <v>410</v>
      </c>
      <c r="I49" s="123">
        <v>383</v>
      </c>
      <c r="J49" s="123">
        <v>357</v>
      </c>
      <c r="K49" s="123">
        <v>317</v>
      </c>
      <c r="L49" s="123">
        <v>287</v>
      </c>
      <c r="M49" s="123"/>
      <c r="N49" s="123">
        <v>262</v>
      </c>
      <c r="O49" s="123">
        <v>238</v>
      </c>
      <c r="P49" s="123">
        <v>220</v>
      </c>
      <c r="Q49" s="123">
        <v>204</v>
      </c>
      <c r="R49" s="123">
        <v>190</v>
      </c>
      <c r="S49" s="123">
        <v>178</v>
      </c>
      <c r="T49" s="123">
        <v>168</v>
      </c>
      <c r="U49" s="123">
        <v>158</v>
      </c>
      <c r="V49" s="123">
        <v>144</v>
      </c>
      <c r="W49" s="123">
        <v>130</v>
      </c>
      <c r="X49" s="123">
        <v>118</v>
      </c>
      <c r="Y49" s="123">
        <v>101</v>
      </c>
      <c r="Z49" s="123">
        <v>90</v>
      </c>
      <c r="AA49" s="123">
        <v>76</v>
      </c>
      <c r="AB49" s="123">
        <v>65</v>
      </c>
    </row>
    <row r="50" spans="1:28" s="124" customFormat="1" ht="18" customHeight="1">
      <c r="A50" s="126">
        <f t="shared" si="3"/>
        <v>3</v>
      </c>
      <c r="B50" s="123">
        <v>667</v>
      </c>
      <c r="C50" s="123">
        <v>597</v>
      </c>
      <c r="D50" s="123">
        <v>520</v>
      </c>
      <c r="E50" s="123">
        <v>465</v>
      </c>
      <c r="F50" s="123">
        <v>425</v>
      </c>
      <c r="G50" s="123">
        <v>395</v>
      </c>
      <c r="H50" s="123">
        <v>365</v>
      </c>
      <c r="I50" s="123">
        <v>342</v>
      </c>
      <c r="J50" s="123">
        <v>320</v>
      </c>
      <c r="K50" s="123">
        <v>287</v>
      </c>
      <c r="L50" s="123">
        <v>260</v>
      </c>
      <c r="M50" s="123"/>
      <c r="N50" s="123">
        <v>238</v>
      </c>
      <c r="O50" s="123">
        <v>217</v>
      </c>
      <c r="P50" s="123">
        <v>202</v>
      </c>
      <c r="Q50" s="123">
        <v>187</v>
      </c>
      <c r="R50" s="123">
        <v>175</v>
      </c>
      <c r="S50" s="123">
        <v>166</v>
      </c>
      <c r="T50" s="123">
        <v>156</v>
      </c>
      <c r="U50" s="123">
        <v>147</v>
      </c>
      <c r="V50" s="123">
        <v>135</v>
      </c>
      <c r="W50" s="123">
        <v>123</v>
      </c>
      <c r="X50" s="123">
        <v>112</v>
      </c>
      <c r="Y50" s="123">
        <v>97</v>
      </c>
      <c r="Z50" s="123">
        <v>86</v>
      </c>
      <c r="AA50" s="123">
        <v>73</v>
      </c>
      <c r="AB50" s="123">
        <v>63</v>
      </c>
    </row>
    <row r="51" spans="1:28" s="124" customFormat="1" ht="18" customHeight="1">
      <c r="A51" s="126">
        <f t="shared" si="3"/>
        <v>3.5</v>
      </c>
      <c r="B51" s="123">
        <v>587</v>
      </c>
      <c r="C51" s="123">
        <v>522</v>
      </c>
      <c r="D51" s="123">
        <v>455</v>
      </c>
      <c r="E51" s="123">
        <v>408</v>
      </c>
      <c r="F51" s="123">
        <v>375</v>
      </c>
      <c r="G51" s="123">
        <v>350</v>
      </c>
      <c r="H51" s="123">
        <v>325</v>
      </c>
      <c r="I51" s="123">
        <v>303</v>
      </c>
      <c r="J51" s="123">
        <v>287</v>
      </c>
      <c r="K51" s="123">
        <v>258</v>
      </c>
      <c r="L51" s="123">
        <v>233</v>
      </c>
      <c r="M51" s="123"/>
      <c r="N51" s="123">
        <v>216</v>
      </c>
      <c r="O51" s="123">
        <v>198</v>
      </c>
      <c r="P51" s="123">
        <v>183</v>
      </c>
      <c r="Q51" s="123">
        <v>172</v>
      </c>
      <c r="R51" s="123">
        <v>162</v>
      </c>
      <c r="S51" s="123">
        <v>153</v>
      </c>
      <c r="T51" s="123">
        <v>145</v>
      </c>
      <c r="U51" s="123">
        <v>137</v>
      </c>
      <c r="V51" s="123">
        <v>125</v>
      </c>
      <c r="W51" s="123">
        <v>115</v>
      </c>
      <c r="X51" s="123">
        <v>105</v>
      </c>
      <c r="Y51" s="123">
        <v>92</v>
      </c>
      <c r="Z51" s="123">
        <v>82</v>
      </c>
      <c r="AA51" s="123">
        <v>69</v>
      </c>
      <c r="AB51" s="123">
        <v>60</v>
      </c>
    </row>
    <row r="52" spans="1:28" s="124" customFormat="1" ht="18" customHeight="1">
      <c r="A52" s="126">
        <f t="shared" si="3"/>
        <v>4</v>
      </c>
      <c r="B52" s="123">
        <v>505</v>
      </c>
      <c r="C52" s="123">
        <v>447</v>
      </c>
      <c r="D52" s="123">
        <v>394</v>
      </c>
      <c r="E52" s="123">
        <v>356</v>
      </c>
      <c r="F52" s="123">
        <v>330</v>
      </c>
      <c r="G52" s="123">
        <v>309</v>
      </c>
      <c r="H52" s="123">
        <v>289</v>
      </c>
      <c r="I52" s="123">
        <v>270</v>
      </c>
      <c r="J52" s="123">
        <v>256</v>
      </c>
      <c r="K52" s="123">
        <v>232</v>
      </c>
      <c r="L52" s="123">
        <v>212</v>
      </c>
      <c r="M52" s="123"/>
      <c r="N52" s="123">
        <v>197</v>
      </c>
      <c r="O52" s="123">
        <v>181</v>
      </c>
      <c r="P52" s="123">
        <v>168</v>
      </c>
      <c r="Q52" s="123">
        <v>158</v>
      </c>
      <c r="R52" s="123">
        <v>149</v>
      </c>
      <c r="S52" s="123">
        <v>140</v>
      </c>
      <c r="T52" s="123">
        <v>135</v>
      </c>
      <c r="U52" s="123">
        <v>127</v>
      </c>
      <c r="V52" s="123">
        <v>118</v>
      </c>
      <c r="W52" s="123">
        <v>108</v>
      </c>
      <c r="X52" s="123">
        <v>98</v>
      </c>
      <c r="Y52" s="123">
        <v>88</v>
      </c>
      <c r="Z52" s="123">
        <v>78</v>
      </c>
      <c r="AA52" s="123">
        <v>66</v>
      </c>
      <c r="AB52" s="123">
        <v>57</v>
      </c>
    </row>
    <row r="53" spans="1:28" s="124" customFormat="1" ht="18" customHeight="1">
      <c r="A53" s="126">
        <f t="shared" si="3"/>
        <v>4.5</v>
      </c>
      <c r="B53" s="123">
        <v>418</v>
      </c>
      <c r="C53" s="123">
        <v>382</v>
      </c>
      <c r="D53" s="123">
        <v>342</v>
      </c>
      <c r="E53" s="123">
        <v>310</v>
      </c>
      <c r="F53" s="123">
        <v>288</v>
      </c>
      <c r="G53" s="123">
        <v>272</v>
      </c>
      <c r="H53" s="123">
        <v>257</v>
      </c>
      <c r="I53" s="123">
        <v>242</v>
      </c>
      <c r="J53" s="123">
        <v>229</v>
      </c>
      <c r="K53" s="123">
        <v>208</v>
      </c>
      <c r="L53" s="123">
        <v>192</v>
      </c>
      <c r="M53" s="123"/>
      <c r="N53" s="123">
        <v>178</v>
      </c>
      <c r="O53" s="123">
        <v>165</v>
      </c>
      <c r="P53" s="123">
        <v>155</v>
      </c>
      <c r="Q53" s="123">
        <v>146</v>
      </c>
      <c r="R53" s="123">
        <v>137</v>
      </c>
      <c r="S53" s="123">
        <v>130</v>
      </c>
      <c r="T53" s="123">
        <v>125</v>
      </c>
      <c r="U53" s="123">
        <v>118</v>
      </c>
      <c r="V53" s="123">
        <v>110</v>
      </c>
      <c r="W53" s="123">
        <v>101</v>
      </c>
      <c r="X53" s="123">
        <v>93</v>
      </c>
      <c r="Y53" s="123">
        <v>83</v>
      </c>
      <c r="Z53" s="123">
        <v>75</v>
      </c>
      <c r="AA53" s="123">
        <v>64</v>
      </c>
      <c r="AB53" s="123">
        <v>55</v>
      </c>
    </row>
    <row r="54" spans="1:28" s="124" customFormat="1" ht="18" customHeight="1">
      <c r="A54" s="126">
        <f t="shared" si="3"/>
        <v>5</v>
      </c>
      <c r="B54" s="123">
        <v>354</v>
      </c>
      <c r="C54" s="123">
        <v>326</v>
      </c>
      <c r="D54" s="123">
        <v>295</v>
      </c>
      <c r="E54" s="123">
        <v>273</v>
      </c>
      <c r="F54" s="123">
        <v>253</v>
      </c>
      <c r="G54" s="123">
        <v>239</v>
      </c>
      <c r="H54" s="123">
        <v>225</v>
      </c>
      <c r="I54" s="123">
        <v>245</v>
      </c>
      <c r="J54" s="123">
        <v>205</v>
      </c>
      <c r="K54" s="123">
        <v>188</v>
      </c>
      <c r="L54" s="123">
        <v>175</v>
      </c>
      <c r="M54" s="123"/>
      <c r="N54" s="123">
        <v>162</v>
      </c>
      <c r="O54" s="123">
        <v>150</v>
      </c>
      <c r="P54" s="123">
        <v>143</v>
      </c>
      <c r="Q54" s="123">
        <v>135</v>
      </c>
      <c r="R54" s="123">
        <v>126</v>
      </c>
      <c r="S54" s="123">
        <v>120</v>
      </c>
      <c r="T54" s="123">
        <v>117</v>
      </c>
      <c r="U54" s="123">
        <v>111</v>
      </c>
      <c r="V54" s="123">
        <v>103</v>
      </c>
      <c r="W54" s="123">
        <v>95</v>
      </c>
      <c r="X54" s="123">
        <v>88</v>
      </c>
      <c r="Y54" s="123">
        <v>79</v>
      </c>
      <c r="Z54" s="123">
        <v>72</v>
      </c>
      <c r="AA54" s="123">
        <v>62</v>
      </c>
      <c r="AB54" s="123">
        <v>53</v>
      </c>
    </row>
    <row r="55" spans="1:28" s="124" customFormat="1" ht="18" customHeight="1">
      <c r="A55" s="126">
        <f t="shared" si="3"/>
        <v>5.5</v>
      </c>
      <c r="B55" s="123">
        <v>302</v>
      </c>
      <c r="C55" s="123">
        <v>280</v>
      </c>
      <c r="D55" s="123">
        <v>256</v>
      </c>
      <c r="E55" s="123">
        <v>240</v>
      </c>
      <c r="F55" s="123">
        <v>224</v>
      </c>
      <c r="G55" s="123">
        <v>212</v>
      </c>
      <c r="H55" s="123">
        <v>200</v>
      </c>
      <c r="I55" s="123">
        <v>192</v>
      </c>
      <c r="J55" s="123">
        <v>184</v>
      </c>
      <c r="K55" s="123">
        <v>170</v>
      </c>
      <c r="L55" s="123">
        <v>158</v>
      </c>
      <c r="M55" s="123"/>
      <c r="N55" s="123">
        <v>148</v>
      </c>
      <c r="O55" s="123">
        <v>138</v>
      </c>
      <c r="P55" s="123">
        <v>132</v>
      </c>
      <c r="Q55" s="123">
        <v>124</v>
      </c>
      <c r="R55" s="123">
        <v>117</v>
      </c>
      <c r="S55" s="123">
        <v>112</v>
      </c>
      <c r="T55" s="123">
        <v>108</v>
      </c>
      <c r="U55" s="123">
        <v>104</v>
      </c>
      <c r="V55" s="123">
        <v>95</v>
      </c>
      <c r="W55" s="123">
        <v>89</v>
      </c>
      <c r="X55" s="123">
        <v>84</v>
      </c>
      <c r="Y55" s="123">
        <v>75</v>
      </c>
      <c r="Z55" s="123">
        <v>69</v>
      </c>
      <c r="AA55" s="123">
        <v>60</v>
      </c>
      <c r="AB55" s="123">
        <v>51</v>
      </c>
    </row>
    <row r="56" spans="1:28" s="124" customFormat="1" ht="18" customHeight="1">
      <c r="A56" s="126">
        <f t="shared" si="3"/>
        <v>6</v>
      </c>
      <c r="B56" s="123">
        <v>258</v>
      </c>
      <c r="C56" s="123">
        <v>244</v>
      </c>
      <c r="D56" s="123">
        <v>223</v>
      </c>
      <c r="E56" s="123">
        <v>210</v>
      </c>
      <c r="F56" s="123">
        <v>198</v>
      </c>
      <c r="G56" s="123">
        <v>190</v>
      </c>
      <c r="H56" s="123">
        <v>178</v>
      </c>
      <c r="I56" s="123">
        <v>172</v>
      </c>
      <c r="J56" s="123">
        <v>166</v>
      </c>
      <c r="K56" s="123">
        <v>153</v>
      </c>
      <c r="L56" s="123">
        <v>145</v>
      </c>
      <c r="M56" s="123"/>
      <c r="N56" s="123">
        <v>137</v>
      </c>
      <c r="O56" s="123">
        <v>128</v>
      </c>
      <c r="P56" s="123">
        <v>120</v>
      </c>
      <c r="Q56" s="123">
        <v>115</v>
      </c>
      <c r="R56" s="123">
        <v>109</v>
      </c>
      <c r="S56" s="123">
        <v>104</v>
      </c>
      <c r="T56" s="123">
        <v>100</v>
      </c>
      <c r="U56" s="123">
        <v>96</v>
      </c>
      <c r="V56" s="123">
        <v>89</v>
      </c>
      <c r="W56" s="123">
        <v>84</v>
      </c>
      <c r="X56" s="123">
        <v>79</v>
      </c>
      <c r="Y56" s="123">
        <v>72</v>
      </c>
      <c r="Z56" s="123">
        <v>66</v>
      </c>
      <c r="AA56" s="123">
        <v>57</v>
      </c>
      <c r="AB56" s="123">
        <v>49</v>
      </c>
    </row>
    <row r="57" spans="1:28" s="124" customFormat="1" ht="18" customHeight="1">
      <c r="A57" s="126">
        <f t="shared" si="3"/>
        <v>6.5</v>
      </c>
      <c r="B57" s="123">
        <v>223</v>
      </c>
      <c r="C57" s="123">
        <v>213</v>
      </c>
      <c r="D57" s="123">
        <v>196</v>
      </c>
      <c r="E57" s="123">
        <v>185</v>
      </c>
      <c r="F57" s="123">
        <v>176</v>
      </c>
      <c r="G57" s="123">
        <v>170</v>
      </c>
      <c r="H57" s="123">
        <v>160</v>
      </c>
      <c r="I57" s="123">
        <v>155</v>
      </c>
      <c r="J57" s="123">
        <v>149</v>
      </c>
      <c r="K57" s="123">
        <v>140</v>
      </c>
      <c r="L57" s="123">
        <v>132</v>
      </c>
      <c r="M57" s="123"/>
      <c r="N57" s="123">
        <v>125</v>
      </c>
      <c r="O57" s="123">
        <v>117</v>
      </c>
      <c r="P57" s="123">
        <v>112</v>
      </c>
      <c r="Q57" s="123">
        <v>106</v>
      </c>
      <c r="R57" s="123">
        <v>101</v>
      </c>
      <c r="S57" s="123">
        <v>97</v>
      </c>
      <c r="T57" s="123">
        <v>94</v>
      </c>
      <c r="U57" s="123">
        <v>89</v>
      </c>
      <c r="V57" s="123">
        <v>83</v>
      </c>
      <c r="W57" s="123">
        <v>80</v>
      </c>
      <c r="X57" s="123">
        <v>74</v>
      </c>
      <c r="Y57" s="123">
        <v>68</v>
      </c>
      <c r="Z57" s="123">
        <v>62</v>
      </c>
      <c r="AA57" s="123">
        <v>54</v>
      </c>
      <c r="AB57" s="123">
        <v>47</v>
      </c>
    </row>
    <row r="58" spans="1:28" s="124" customFormat="1" ht="18" customHeight="1">
      <c r="A58" s="126">
        <v>7</v>
      </c>
      <c r="B58" s="123">
        <v>194</v>
      </c>
      <c r="C58" s="123">
        <v>186</v>
      </c>
      <c r="D58" s="123">
        <v>173</v>
      </c>
      <c r="E58" s="123">
        <v>163</v>
      </c>
      <c r="F58" s="123">
        <v>157</v>
      </c>
      <c r="G58" s="123">
        <v>152</v>
      </c>
      <c r="H58" s="123">
        <v>145</v>
      </c>
      <c r="I58" s="123">
        <v>141</v>
      </c>
      <c r="J58" s="123">
        <v>136</v>
      </c>
      <c r="K58" s="123">
        <v>127</v>
      </c>
      <c r="L58" s="123">
        <v>121</v>
      </c>
      <c r="M58" s="123"/>
      <c r="N58" s="123">
        <v>115</v>
      </c>
      <c r="O58" s="123">
        <v>108</v>
      </c>
      <c r="P58" s="123">
        <v>102</v>
      </c>
      <c r="Q58" s="123">
        <v>98</v>
      </c>
      <c r="R58" s="123">
        <v>94</v>
      </c>
      <c r="S58" s="123">
        <v>91</v>
      </c>
      <c r="T58" s="123">
        <v>87</v>
      </c>
      <c r="U58" s="123">
        <v>83</v>
      </c>
      <c r="V58" s="123">
        <v>78</v>
      </c>
      <c r="W58" s="123">
        <v>74</v>
      </c>
      <c r="X58" s="123">
        <v>70</v>
      </c>
      <c r="Y58" s="123">
        <v>64</v>
      </c>
      <c r="Z58" s="123">
        <v>59</v>
      </c>
      <c r="AA58" s="123">
        <v>52</v>
      </c>
      <c r="AB58" s="123">
        <v>45</v>
      </c>
    </row>
    <row r="59" spans="1:28" s="124" customFormat="1" ht="18" customHeight="1">
      <c r="A59" s="126">
        <f t="shared" ref="A59:A65" si="4">A58+1</f>
        <v>8</v>
      </c>
      <c r="B59" s="123">
        <v>152</v>
      </c>
      <c r="C59" s="123">
        <v>146</v>
      </c>
      <c r="D59" s="123">
        <v>138</v>
      </c>
      <c r="E59" s="123">
        <v>133</v>
      </c>
      <c r="F59" s="123">
        <v>128</v>
      </c>
      <c r="G59" s="123">
        <v>121</v>
      </c>
      <c r="H59" s="123">
        <v>117</v>
      </c>
      <c r="I59" s="123">
        <v>115</v>
      </c>
      <c r="J59" s="123">
        <v>113</v>
      </c>
      <c r="K59" s="123">
        <v>106</v>
      </c>
      <c r="L59" s="123">
        <v>100</v>
      </c>
      <c r="M59" s="123"/>
      <c r="N59" s="123">
        <v>95</v>
      </c>
      <c r="O59" s="123">
        <v>91</v>
      </c>
      <c r="P59" s="123">
        <v>87</v>
      </c>
      <c r="Q59" s="123">
        <v>83</v>
      </c>
      <c r="R59" s="123">
        <v>81</v>
      </c>
      <c r="S59" s="123">
        <v>78</v>
      </c>
      <c r="T59" s="123">
        <v>76</v>
      </c>
      <c r="U59" s="123">
        <v>74</v>
      </c>
      <c r="V59" s="123">
        <v>68</v>
      </c>
      <c r="W59" s="123">
        <v>65</v>
      </c>
      <c r="X59" s="123">
        <v>62</v>
      </c>
      <c r="Y59" s="123">
        <v>57</v>
      </c>
      <c r="Z59" s="123">
        <v>53</v>
      </c>
      <c r="AA59" s="123">
        <v>47</v>
      </c>
      <c r="AB59" s="123">
        <v>41</v>
      </c>
    </row>
    <row r="60" spans="1:28" s="124" customFormat="1" ht="18" customHeight="1">
      <c r="A60" s="126">
        <f t="shared" si="4"/>
        <v>9</v>
      </c>
      <c r="B60" s="123">
        <v>122</v>
      </c>
      <c r="C60" s="123">
        <v>117</v>
      </c>
      <c r="D60" s="123">
        <v>112</v>
      </c>
      <c r="E60" s="123">
        <v>107</v>
      </c>
      <c r="F60" s="123">
        <v>103</v>
      </c>
      <c r="G60" s="123">
        <v>100</v>
      </c>
      <c r="H60" s="123">
        <v>98</v>
      </c>
      <c r="I60" s="123">
        <v>96</v>
      </c>
      <c r="J60" s="123">
        <v>93</v>
      </c>
      <c r="K60" s="123">
        <v>88</v>
      </c>
      <c r="L60" s="123">
        <v>85</v>
      </c>
      <c r="M60" s="123"/>
      <c r="N60" s="123">
        <v>82</v>
      </c>
      <c r="O60" s="123">
        <v>79</v>
      </c>
      <c r="P60" s="123">
        <v>75</v>
      </c>
      <c r="Q60" s="123">
        <v>72</v>
      </c>
      <c r="R60" s="123">
        <v>69</v>
      </c>
      <c r="S60" s="123">
        <v>66</v>
      </c>
      <c r="T60" s="123">
        <v>65</v>
      </c>
      <c r="U60" s="123">
        <v>64</v>
      </c>
      <c r="V60" s="123">
        <v>61</v>
      </c>
      <c r="W60" s="123">
        <v>58</v>
      </c>
      <c r="X60" s="123">
        <v>55</v>
      </c>
      <c r="Y60" s="123">
        <v>51</v>
      </c>
      <c r="Z60" s="123">
        <v>48</v>
      </c>
      <c r="AA60" s="123">
        <v>43</v>
      </c>
      <c r="AB60" s="123">
        <v>38</v>
      </c>
    </row>
    <row r="61" spans="1:28" s="124" customFormat="1" ht="18" customHeight="1">
      <c r="A61" s="126">
        <f t="shared" si="4"/>
        <v>10</v>
      </c>
      <c r="B61" s="123">
        <v>100</v>
      </c>
      <c r="C61" s="123">
        <v>97</v>
      </c>
      <c r="D61" s="123">
        <v>93</v>
      </c>
      <c r="E61" s="123">
        <v>91</v>
      </c>
      <c r="F61" s="123">
        <v>90</v>
      </c>
      <c r="G61" s="123">
        <v>85</v>
      </c>
      <c r="H61" s="123">
        <v>81</v>
      </c>
      <c r="I61" s="123">
        <v>80</v>
      </c>
      <c r="J61" s="123">
        <v>79</v>
      </c>
      <c r="K61" s="123">
        <v>75</v>
      </c>
      <c r="L61" s="123">
        <v>72</v>
      </c>
      <c r="M61" s="123"/>
      <c r="N61" s="123">
        <v>70</v>
      </c>
      <c r="O61" s="123">
        <v>69</v>
      </c>
      <c r="P61" s="123">
        <v>65</v>
      </c>
      <c r="Q61" s="123">
        <v>62</v>
      </c>
      <c r="R61" s="123">
        <v>60</v>
      </c>
      <c r="S61" s="123">
        <v>59</v>
      </c>
      <c r="T61" s="123">
        <v>58</v>
      </c>
      <c r="U61" s="123">
        <v>57</v>
      </c>
      <c r="V61" s="123">
        <v>55</v>
      </c>
      <c r="W61" s="123">
        <v>52</v>
      </c>
      <c r="X61" s="123">
        <v>49</v>
      </c>
      <c r="Y61" s="123">
        <v>46</v>
      </c>
      <c r="Z61" s="123">
        <v>43</v>
      </c>
      <c r="AA61" s="123">
        <v>39</v>
      </c>
      <c r="AB61" s="123">
        <v>35</v>
      </c>
    </row>
    <row r="62" spans="1:28" s="124" customFormat="1" ht="18" customHeight="1">
      <c r="A62" s="126">
        <f t="shared" si="4"/>
        <v>11</v>
      </c>
      <c r="B62" s="123">
        <v>83</v>
      </c>
      <c r="C62" s="123">
        <v>79</v>
      </c>
      <c r="D62" s="123">
        <v>77</v>
      </c>
      <c r="E62" s="123">
        <v>76</v>
      </c>
      <c r="F62" s="123">
        <v>75</v>
      </c>
      <c r="G62" s="123">
        <v>73</v>
      </c>
      <c r="H62" s="123">
        <v>71</v>
      </c>
      <c r="I62" s="123">
        <v>96</v>
      </c>
      <c r="J62" s="123">
        <v>68</v>
      </c>
      <c r="K62" s="123">
        <v>67</v>
      </c>
      <c r="L62" s="123">
        <v>62</v>
      </c>
      <c r="M62" s="123"/>
      <c r="N62" s="123">
        <v>61</v>
      </c>
      <c r="O62" s="123">
        <v>60</v>
      </c>
      <c r="P62" s="123">
        <v>57</v>
      </c>
      <c r="Q62" s="123">
        <v>55</v>
      </c>
      <c r="R62" s="123">
        <v>53</v>
      </c>
      <c r="S62" s="123">
        <v>52</v>
      </c>
      <c r="T62" s="123">
        <v>51</v>
      </c>
      <c r="U62" s="123">
        <v>50</v>
      </c>
      <c r="V62" s="123">
        <v>48</v>
      </c>
      <c r="W62" s="123">
        <v>46</v>
      </c>
      <c r="X62" s="123">
        <v>44</v>
      </c>
      <c r="Y62" s="123">
        <v>40</v>
      </c>
      <c r="Z62" s="123">
        <v>38</v>
      </c>
      <c r="AA62" s="123">
        <v>35</v>
      </c>
      <c r="AB62" s="123">
        <v>32</v>
      </c>
    </row>
    <row r="63" spans="1:28" s="124" customFormat="1" ht="18" customHeight="1">
      <c r="A63" s="126">
        <f t="shared" si="4"/>
        <v>12</v>
      </c>
      <c r="B63" s="123">
        <v>69</v>
      </c>
      <c r="C63" s="123">
        <v>67</v>
      </c>
      <c r="D63" s="123">
        <v>64</v>
      </c>
      <c r="E63" s="123">
        <v>63</v>
      </c>
      <c r="F63" s="123">
        <v>62</v>
      </c>
      <c r="G63" s="123">
        <v>60</v>
      </c>
      <c r="H63" s="123">
        <v>59</v>
      </c>
      <c r="I63" s="123">
        <v>59</v>
      </c>
      <c r="J63" s="123">
        <v>58</v>
      </c>
      <c r="K63" s="123">
        <v>55</v>
      </c>
      <c r="L63" s="123">
        <v>54</v>
      </c>
      <c r="M63" s="123"/>
      <c r="N63" s="123">
        <v>53</v>
      </c>
      <c r="O63" s="123">
        <v>52</v>
      </c>
      <c r="P63" s="123">
        <v>51</v>
      </c>
      <c r="Q63" s="123">
        <v>50</v>
      </c>
      <c r="R63" s="123">
        <v>49</v>
      </c>
      <c r="S63" s="123">
        <v>48</v>
      </c>
      <c r="T63" s="123">
        <v>47</v>
      </c>
      <c r="U63" s="123">
        <v>46</v>
      </c>
      <c r="V63" s="123">
        <v>44</v>
      </c>
      <c r="W63" s="123">
        <v>42</v>
      </c>
      <c r="X63" s="123">
        <v>40</v>
      </c>
      <c r="Y63" s="123">
        <v>37</v>
      </c>
      <c r="Z63" s="123">
        <v>35</v>
      </c>
      <c r="AA63" s="123">
        <v>32</v>
      </c>
      <c r="AB63" s="123">
        <v>29</v>
      </c>
    </row>
    <row r="64" spans="1:28" s="124" customFormat="1" ht="18" customHeight="1">
      <c r="A64" s="126">
        <f t="shared" si="4"/>
        <v>13</v>
      </c>
      <c r="B64" s="123">
        <v>62</v>
      </c>
      <c r="C64" s="123">
        <v>61</v>
      </c>
      <c r="D64" s="123">
        <v>54</v>
      </c>
      <c r="E64" s="123">
        <v>53</v>
      </c>
      <c r="F64" s="123">
        <v>52</v>
      </c>
      <c r="G64" s="123">
        <v>51</v>
      </c>
      <c r="H64" s="123">
        <v>51</v>
      </c>
      <c r="I64" s="123">
        <v>50</v>
      </c>
      <c r="J64" s="123">
        <v>49</v>
      </c>
      <c r="K64" s="123">
        <v>49</v>
      </c>
      <c r="L64" s="123">
        <v>48</v>
      </c>
      <c r="M64" s="123"/>
      <c r="N64" s="123">
        <v>48</v>
      </c>
      <c r="O64" s="123">
        <v>47</v>
      </c>
      <c r="P64" s="123">
        <v>45</v>
      </c>
      <c r="Q64" s="123">
        <v>44</v>
      </c>
      <c r="R64" s="123">
        <v>43</v>
      </c>
      <c r="S64" s="123">
        <v>42</v>
      </c>
      <c r="T64" s="123">
        <v>41</v>
      </c>
      <c r="U64" s="123">
        <v>41</v>
      </c>
      <c r="V64" s="123">
        <v>39</v>
      </c>
      <c r="W64" s="123">
        <v>38</v>
      </c>
      <c r="X64" s="123">
        <v>37</v>
      </c>
      <c r="Y64" s="123">
        <v>35</v>
      </c>
      <c r="Z64" s="123">
        <v>33</v>
      </c>
      <c r="AA64" s="123">
        <v>30</v>
      </c>
      <c r="AB64" s="123">
        <v>27</v>
      </c>
    </row>
    <row r="65" spans="1:30" ht="18" customHeight="1">
      <c r="A65" s="126">
        <f t="shared" si="4"/>
        <v>14</v>
      </c>
      <c r="B65" s="123">
        <v>52</v>
      </c>
      <c r="C65" s="123">
        <v>49</v>
      </c>
      <c r="D65" s="123">
        <v>49</v>
      </c>
      <c r="E65" s="123">
        <v>48</v>
      </c>
      <c r="F65" s="123">
        <v>48</v>
      </c>
      <c r="G65" s="123">
        <v>47</v>
      </c>
      <c r="H65" s="123">
        <v>47</v>
      </c>
      <c r="I65" s="123">
        <v>46</v>
      </c>
      <c r="J65" s="123">
        <v>45</v>
      </c>
      <c r="K65" s="123">
        <v>44</v>
      </c>
      <c r="L65" s="123">
        <v>43</v>
      </c>
      <c r="M65" s="123"/>
      <c r="N65" s="123">
        <v>43</v>
      </c>
      <c r="O65" s="123">
        <v>42</v>
      </c>
      <c r="P65" s="123">
        <v>41</v>
      </c>
      <c r="Q65" s="123">
        <v>40</v>
      </c>
      <c r="R65" s="123">
        <v>40</v>
      </c>
      <c r="S65" s="123">
        <v>39</v>
      </c>
      <c r="T65" s="123">
        <v>39</v>
      </c>
      <c r="U65" s="123">
        <v>38</v>
      </c>
      <c r="V65" s="123">
        <v>37</v>
      </c>
      <c r="W65" s="123">
        <v>36</v>
      </c>
      <c r="X65" s="123">
        <v>36</v>
      </c>
      <c r="Y65" s="123">
        <v>34</v>
      </c>
      <c r="Z65" s="123">
        <v>32</v>
      </c>
      <c r="AA65" s="123">
        <v>29</v>
      </c>
      <c r="AB65" s="123">
        <v>26</v>
      </c>
    </row>
    <row r="68" spans="1:30" s="124" customFormat="1" ht="18" customHeight="1">
      <c r="C68" s="413" t="s">
        <v>152</v>
      </c>
      <c r="D68" s="414"/>
      <c r="E68" s="414"/>
      <c r="F68" s="414"/>
      <c r="G68" s="414"/>
      <c r="H68" s="414"/>
      <c r="I68" s="414"/>
      <c r="J68" s="414"/>
      <c r="K68" s="414"/>
      <c r="L68" s="414"/>
      <c r="M68" s="414"/>
      <c r="N68" s="414"/>
      <c r="O68" s="414"/>
      <c r="P68" s="414"/>
      <c r="Q68" s="414"/>
      <c r="R68" s="414"/>
      <c r="S68" s="414"/>
      <c r="T68" s="414"/>
      <c r="U68" s="414"/>
      <c r="V68" s="414"/>
      <c r="W68" s="127"/>
      <c r="X68" s="127"/>
      <c r="Y68" s="127"/>
      <c r="Z68" s="127"/>
      <c r="AA68" s="127"/>
      <c r="AB68" s="127"/>
      <c r="AC68" s="127"/>
      <c r="AD68" s="127"/>
    </row>
    <row r="69" spans="1:30" s="124" customFormat="1" ht="18" customHeight="1">
      <c r="C69" s="405" t="s">
        <v>153</v>
      </c>
      <c r="D69" s="405" t="s">
        <v>154</v>
      </c>
      <c r="E69" s="405" t="s">
        <v>155</v>
      </c>
      <c r="F69" s="405" t="s">
        <v>156</v>
      </c>
      <c r="G69" s="405"/>
      <c r="H69" s="405"/>
      <c r="I69" s="405"/>
      <c r="J69" s="405" t="s">
        <v>157</v>
      </c>
      <c r="K69" s="405"/>
      <c r="L69" s="405"/>
      <c r="M69" s="405"/>
      <c r="N69" s="405"/>
      <c r="O69" s="405" t="s">
        <v>158</v>
      </c>
      <c r="P69" s="405"/>
      <c r="Q69" s="405"/>
      <c r="R69" s="405"/>
      <c r="S69" s="405"/>
      <c r="T69" s="405"/>
      <c r="U69" s="405"/>
      <c r="V69" s="405"/>
    </row>
    <row r="70" spans="1:30" s="124" customFormat="1" ht="18" customHeight="1">
      <c r="C70" s="405"/>
      <c r="D70" s="405"/>
      <c r="E70" s="405"/>
      <c r="F70" s="405"/>
      <c r="G70" s="405"/>
      <c r="H70" s="405"/>
      <c r="I70" s="405"/>
      <c r="J70" s="405"/>
      <c r="K70" s="405"/>
      <c r="L70" s="405"/>
      <c r="M70" s="405"/>
      <c r="N70" s="405"/>
      <c r="O70" s="410" t="s">
        <v>159</v>
      </c>
      <c r="P70" s="411"/>
      <c r="Q70" s="410" t="s">
        <v>160</v>
      </c>
      <c r="R70" s="411"/>
      <c r="S70" s="410" t="s">
        <v>161</v>
      </c>
      <c r="T70" s="411"/>
      <c r="U70" s="410" t="s">
        <v>162</v>
      </c>
      <c r="V70" s="411"/>
    </row>
    <row r="71" spans="1:30" s="124" customFormat="1" ht="18" customHeight="1">
      <c r="C71" s="405"/>
      <c r="D71" s="128"/>
      <c r="E71" s="121"/>
      <c r="F71" s="121" t="s">
        <v>163</v>
      </c>
      <c r="G71" s="121" t="s">
        <v>78</v>
      </c>
      <c r="H71" s="121" t="s">
        <v>164</v>
      </c>
      <c r="I71" s="121" t="s">
        <v>77</v>
      </c>
      <c r="J71" s="121" t="s">
        <v>269</v>
      </c>
      <c r="K71" s="121" t="s">
        <v>270</v>
      </c>
      <c r="L71" s="121" t="s">
        <v>271</v>
      </c>
      <c r="M71" s="121"/>
      <c r="N71" s="121" t="s">
        <v>272</v>
      </c>
      <c r="O71" s="121" t="s">
        <v>273</v>
      </c>
      <c r="P71" s="121" t="s">
        <v>274</v>
      </c>
      <c r="Q71" s="121" t="s">
        <v>275</v>
      </c>
      <c r="R71" s="121" t="s">
        <v>276</v>
      </c>
      <c r="S71" s="121" t="s">
        <v>277</v>
      </c>
      <c r="T71" s="121" t="s">
        <v>278</v>
      </c>
      <c r="U71" s="121" t="s">
        <v>279</v>
      </c>
      <c r="V71" s="121" t="s">
        <v>280</v>
      </c>
    </row>
    <row r="72" spans="1:30" s="124" customFormat="1" ht="18" customHeight="1">
      <c r="B72" s="129" t="str">
        <f t="shared" ref="B72:B103" si="5">"L "&amp;C72</f>
        <v>L 30x20x3</v>
      </c>
      <c r="C72" s="130" t="s">
        <v>165</v>
      </c>
      <c r="D72" s="130">
        <v>1.1200000000000001</v>
      </c>
      <c r="E72" s="130">
        <v>1.43</v>
      </c>
      <c r="F72" s="130">
        <v>30</v>
      </c>
      <c r="G72" s="130">
        <v>20</v>
      </c>
      <c r="H72" s="130">
        <v>3</v>
      </c>
      <c r="I72" s="130">
        <v>4</v>
      </c>
      <c r="J72" s="130">
        <v>0.99</v>
      </c>
      <c r="K72" s="130">
        <v>0.502</v>
      </c>
      <c r="L72" s="130">
        <v>2.0499999999999998</v>
      </c>
      <c r="M72" s="130"/>
      <c r="N72" s="130">
        <v>1.04</v>
      </c>
      <c r="O72" s="130">
        <v>1.25</v>
      </c>
      <c r="P72" s="130">
        <v>0.93500000000000005</v>
      </c>
      <c r="Q72" s="130">
        <v>0.437</v>
      </c>
      <c r="R72" s="130">
        <v>0.55300000000000005</v>
      </c>
      <c r="S72" s="130">
        <v>1.43</v>
      </c>
      <c r="T72" s="130">
        <v>1</v>
      </c>
      <c r="U72" s="130">
        <v>0.25600000000000001</v>
      </c>
      <c r="V72" s="130">
        <v>0.42399999999999999</v>
      </c>
    </row>
    <row r="73" spans="1:30" s="124" customFormat="1" ht="18" customHeight="1">
      <c r="B73" s="129" t="str">
        <f t="shared" si="5"/>
        <v>L 30x20x4</v>
      </c>
      <c r="C73" s="130" t="s">
        <v>166</v>
      </c>
      <c r="D73" s="130">
        <v>1.6</v>
      </c>
      <c r="E73" s="130">
        <v>1.86</v>
      </c>
      <c r="F73" s="130">
        <v>30</v>
      </c>
      <c r="G73" s="130">
        <v>20</v>
      </c>
      <c r="H73" s="130">
        <v>4</v>
      </c>
      <c r="I73" s="130">
        <v>4</v>
      </c>
      <c r="J73" s="130">
        <v>1.03</v>
      </c>
      <c r="K73" s="130">
        <v>0.54100000000000004</v>
      </c>
      <c r="L73" s="130">
        <v>2.02</v>
      </c>
      <c r="M73" s="130"/>
      <c r="N73" s="130">
        <v>1.04</v>
      </c>
      <c r="O73" s="130">
        <v>1.59</v>
      </c>
      <c r="P73" s="130">
        <v>0.92500000000000004</v>
      </c>
      <c r="Q73" s="130">
        <v>0.55300000000000005</v>
      </c>
      <c r="R73" s="130">
        <v>0.54600000000000004</v>
      </c>
      <c r="S73" s="130">
        <v>1.81</v>
      </c>
      <c r="T73" s="130">
        <v>0.98799999999999999</v>
      </c>
      <c r="U73" s="130">
        <v>0.33</v>
      </c>
      <c r="V73" s="130">
        <v>0.42099999999999999</v>
      </c>
    </row>
    <row r="74" spans="1:30" s="124" customFormat="1" ht="18" customHeight="1">
      <c r="B74" s="129" t="str">
        <f t="shared" si="5"/>
        <v>L 40x20x4</v>
      </c>
      <c r="C74" s="130" t="s">
        <v>167</v>
      </c>
      <c r="D74" s="130">
        <v>1.77</v>
      </c>
      <c r="E74" s="130">
        <v>2.2599999999999998</v>
      </c>
      <c r="F74" s="130">
        <v>40</v>
      </c>
      <c r="G74" s="130">
        <v>20</v>
      </c>
      <c r="H74" s="130">
        <v>4</v>
      </c>
      <c r="I74" s="130">
        <v>4</v>
      </c>
      <c r="J74" s="130">
        <v>1.47</v>
      </c>
      <c r="K74" s="130">
        <v>0.48</v>
      </c>
      <c r="L74" s="130">
        <v>2.58</v>
      </c>
      <c r="M74" s="130"/>
      <c r="N74" s="130">
        <v>1.17</v>
      </c>
      <c r="O74" s="130">
        <v>3.59</v>
      </c>
      <c r="P74" s="130">
        <v>1.26</v>
      </c>
      <c r="Q74" s="130">
        <v>0.06</v>
      </c>
      <c r="R74" s="130">
        <v>0.51400000000000001</v>
      </c>
      <c r="S74" s="130">
        <v>3.8</v>
      </c>
      <c r="T74" s="130">
        <v>1.3</v>
      </c>
      <c r="U74" s="130">
        <v>0.39300000000000002</v>
      </c>
      <c r="V74" s="130">
        <v>0.41699999999999998</v>
      </c>
    </row>
    <row r="75" spans="1:30" s="124" customFormat="1" ht="18" customHeight="1">
      <c r="B75" s="129" t="str">
        <f t="shared" si="5"/>
        <v>L 40x25x4</v>
      </c>
      <c r="C75" s="130" t="s">
        <v>168</v>
      </c>
      <c r="D75" s="130">
        <v>1.93</v>
      </c>
      <c r="E75" s="130">
        <v>2.46</v>
      </c>
      <c r="F75" s="130">
        <v>40</v>
      </c>
      <c r="G75" s="130">
        <v>25</v>
      </c>
      <c r="H75" s="130">
        <v>4</v>
      </c>
      <c r="I75" s="130">
        <v>4</v>
      </c>
      <c r="J75" s="130">
        <v>1.36</v>
      </c>
      <c r="K75" s="130">
        <v>0.623</v>
      </c>
      <c r="L75" s="130">
        <v>2.69</v>
      </c>
      <c r="M75" s="130"/>
      <c r="N75" s="130">
        <v>1.35</v>
      </c>
      <c r="O75" s="130">
        <v>3.89</v>
      </c>
      <c r="P75" s="130">
        <v>1.26</v>
      </c>
      <c r="Q75" s="130">
        <v>1.1599999999999999</v>
      </c>
      <c r="R75" s="130">
        <v>0.68700000000000006</v>
      </c>
      <c r="S75" s="130">
        <v>4.3499999999999996</v>
      </c>
      <c r="T75" s="130">
        <v>1.33</v>
      </c>
      <c r="U75" s="130">
        <v>0.7</v>
      </c>
      <c r="V75" s="130">
        <v>0.53400000000000003</v>
      </c>
    </row>
    <row r="76" spans="1:30" s="124" customFormat="1" ht="18" customHeight="1">
      <c r="B76" s="129" t="str">
        <f t="shared" si="5"/>
        <v>L 45x30x5</v>
      </c>
      <c r="C76" s="130" t="s">
        <v>169</v>
      </c>
      <c r="D76" s="130">
        <v>2.76</v>
      </c>
      <c r="E76" s="130">
        <v>3.52</v>
      </c>
      <c r="F76" s="130">
        <v>45</v>
      </c>
      <c r="G76" s="130">
        <v>30</v>
      </c>
      <c r="H76" s="130">
        <v>5</v>
      </c>
      <c r="I76" s="130">
        <v>4</v>
      </c>
      <c r="J76" s="130">
        <v>1.52</v>
      </c>
      <c r="K76" s="130">
        <v>0.77900000000000003</v>
      </c>
      <c r="L76" s="130">
        <v>3.04</v>
      </c>
      <c r="M76" s="130"/>
      <c r="N76" s="130">
        <v>1.58</v>
      </c>
      <c r="O76" s="130">
        <v>6.98</v>
      </c>
      <c r="P76" s="130">
        <v>1.41</v>
      </c>
      <c r="Q76" s="130">
        <v>2.4700000000000002</v>
      </c>
      <c r="R76" s="130">
        <v>0.83699999999999997</v>
      </c>
      <c r="S76" s="130">
        <v>8</v>
      </c>
      <c r="T76" s="130">
        <v>1.51</v>
      </c>
      <c r="U76" s="130">
        <v>1.45</v>
      </c>
      <c r="V76" s="130">
        <v>0.64100000000000001</v>
      </c>
    </row>
    <row r="77" spans="1:30" s="124" customFormat="1" ht="18" customHeight="1">
      <c r="B77" s="129" t="str">
        <f t="shared" si="5"/>
        <v>L 50x30x4</v>
      </c>
      <c r="C77" s="130" t="s">
        <v>170</v>
      </c>
      <c r="D77" s="130">
        <v>2.41</v>
      </c>
      <c r="E77" s="130">
        <v>3.07</v>
      </c>
      <c r="F77" s="130">
        <v>50</v>
      </c>
      <c r="G77" s="130">
        <v>30</v>
      </c>
      <c r="H77" s="130">
        <v>4</v>
      </c>
      <c r="I77" s="130">
        <v>5</v>
      </c>
      <c r="J77" s="130">
        <v>1.68</v>
      </c>
      <c r="K77" s="130">
        <v>0.70099999999999996</v>
      </c>
      <c r="L77" s="130">
        <v>3.36</v>
      </c>
      <c r="M77" s="130"/>
      <c r="N77" s="130">
        <v>1.67</v>
      </c>
      <c r="O77" s="130">
        <v>7.71</v>
      </c>
      <c r="P77" s="130">
        <v>1.59</v>
      </c>
      <c r="Q77" s="130">
        <v>2.09</v>
      </c>
      <c r="R77" s="130">
        <v>0.82499999999999996</v>
      </c>
      <c r="S77" s="130">
        <v>8.5299999999999994</v>
      </c>
      <c r="T77" s="130">
        <v>1.67</v>
      </c>
      <c r="U77" s="130">
        <v>1.27</v>
      </c>
      <c r="V77" s="130">
        <v>0.64400000000000002</v>
      </c>
    </row>
    <row r="78" spans="1:30" s="124" customFormat="1" ht="18" customHeight="1">
      <c r="B78" s="129" t="str">
        <f t="shared" si="5"/>
        <v>L 50x30x5</v>
      </c>
      <c r="C78" s="130" t="s">
        <v>171</v>
      </c>
      <c r="D78" s="130">
        <v>2.96</v>
      </c>
      <c r="E78" s="130">
        <v>3.8</v>
      </c>
      <c r="F78" s="130">
        <v>50</v>
      </c>
      <c r="G78" s="130">
        <v>30</v>
      </c>
      <c r="H78" s="130">
        <v>5</v>
      </c>
      <c r="I78" s="130">
        <v>5</v>
      </c>
      <c r="J78" s="130">
        <v>1.73</v>
      </c>
      <c r="K78" s="130">
        <v>0.74099999999999999</v>
      </c>
      <c r="L78" s="130">
        <v>3.33</v>
      </c>
      <c r="M78" s="130"/>
      <c r="N78" s="130">
        <v>1.65</v>
      </c>
      <c r="O78" s="130">
        <v>9.36</v>
      </c>
      <c r="P78" s="130">
        <v>1.57</v>
      </c>
      <c r="Q78" s="130">
        <v>2.5099999999999998</v>
      </c>
      <c r="R78" s="130">
        <v>0.81599999999999995</v>
      </c>
      <c r="S78" s="130">
        <v>10.3</v>
      </c>
      <c r="T78" s="130">
        <v>1.65</v>
      </c>
      <c r="U78" s="130">
        <v>1.54</v>
      </c>
      <c r="V78" s="130">
        <v>0.63900000000000001</v>
      </c>
    </row>
    <row r="79" spans="1:30" s="124" customFormat="1" ht="18" customHeight="1">
      <c r="B79" s="129" t="str">
        <f t="shared" si="5"/>
        <v>L 50x40x5</v>
      </c>
      <c r="C79" s="130" t="s">
        <v>172</v>
      </c>
      <c r="D79" s="130">
        <v>3.36</v>
      </c>
      <c r="E79" s="130">
        <v>4.28</v>
      </c>
      <c r="F79" s="130">
        <v>50</v>
      </c>
      <c r="G79" s="130">
        <v>40</v>
      </c>
      <c r="H79" s="130">
        <v>5</v>
      </c>
      <c r="I79" s="130">
        <v>5</v>
      </c>
      <c r="J79" s="130">
        <v>1.55</v>
      </c>
      <c r="K79" s="130">
        <v>1.06</v>
      </c>
      <c r="L79" s="130">
        <v>3.49</v>
      </c>
      <c r="M79" s="130"/>
      <c r="N79" s="130">
        <v>1.85</v>
      </c>
      <c r="O79" s="130">
        <v>10.3</v>
      </c>
      <c r="P79" s="130">
        <v>1.55</v>
      </c>
      <c r="Q79" s="130">
        <v>5.85</v>
      </c>
      <c r="R79" s="130">
        <v>1.17</v>
      </c>
      <c r="S79" s="130">
        <v>13.2</v>
      </c>
      <c r="T79" s="130">
        <v>1.75</v>
      </c>
      <c r="U79" s="130">
        <v>3.03</v>
      </c>
      <c r="V79" s="130">
        <v>0.84199999999999997</v>
      </c>
    </row>
    <row r="80" spans="1:30" s="124" customFormat="1" ht="18" customHeight="1">
      <c r="B80" s="129" t="str">
        <f t="shared" si="5"/>
        <v>L 60x30x5</v>
      </c>
      <c r="C80" s="130" t="s">
        <v>173</v>
      </c>
      <c r="D80" s="130">
        <v>3.36</v>
      </c>
      <c r="E80" s="130">
        <v>4.28</v>
      </c>
      <c r="F80" s="130">
        <v>60</v>
      </c>
      <c r="G80" s="130">
        <v>30</v>
      </c>
      <c r="H80" s="130">
        <v>5</v>
      </c>
      <c r="I80" s="130">
        <v>5</v>
      </c>
      <c r="J80" s="130">
        <v>2.17</v>
      </c>
      <c r="K80" s="130">
        <v>0.68400000000000005</v>
      </c>
      <c r="L80" s="130">
        <v>3.88</v>
      </c>
      <c r="M80" s="130"/>
      <c r="N80" s="130">
        <v>1.77</v>
      </c>
      <c r="O80" s="130">
        <v>15.6</v>
      </c>
      <c r="P80" s="130">
        <v>1.91</v>
      </c>
      <c r="Q80" s="130">
        <v>2.63</v>
      </c>
      <c r="R80" s="130">
        <v>0.78400000000000003</v>
      </c>
      <c r="S80" s="130">
        <v>16.5</v>
      </c>
      <c r="T80" s="130">
        <v>1.97</v>
      </c>
      <c r="U80" s="130">
        <v>1.71</v>
      </c>
      <c r="V80" s="130">
        <v>0.63300000000000001</v>
      </c>
    </row>
    <row r="81" spans="2:22" s="124" customFormat="1" ht="18" customHeight="1">
      <c r="B81" s="129" t="str">
        <f t="shared" si="5"/>
        <v>L 60x30x6</v>
      </c>
      <c r="C81" s="130" t="s">
        <v>174</v>
      </c>
      <c r="D81" s="130">
        <v>3.98</v>
      </c>
      <c r="E81" s="130">
        <v>5.07</v>
      </c>
      <c r="F81" s="130">
        <v>60</v>
      </c>
      <c r="G81" s="130">
        <v>30</v>
      </c>
      <c r="H81" s="130">
        <v>6</v>
      </c>
      <c r="I81" s="130">
        <v>5</v>
      </c>
      <c r="J81" s="130">
        <v>2.2000000000000002</v>
      </c>
      <c r="K81" s="130">
        <v>0.72299999999999998</v>
      </c>
      <c r="L81" s="130">
        <v>3.85</v>
      </c>
      <c r="M81" s="130"/>
      <c r="N81" s="130">
        <v>1.76</v>
      </c>
      <c r="O81" s="130">
        <v>18.2</v>
      </c>
      <c r="P81" s="130">
        <v>1.9</v>
      </c>
      <c r="Q81" s="130">
        <v>3.05</v>
      </c>
      <c r="R81" s="130">
        <v>0.77600000000000002</v>
      </c>
      <c r="S81" s="130">
        <v>19.3</v>
      </c>
      <c r="T81" s="130">
        <v>1.95</v>
      </c>
      <c r="U81" s="130">
        <v>2.0099999999999998</v>
      </c>
      <c r="V81" s="130">
        <v>0.63</v>
      </c>
    </row>
    <row r="82" spans="2:22" s="124" customFormat="1" ht="18" customHeight="1">
      <c r="B82" s="129" t="str">
        <f t="shared" si="5"/>
        <v>L 60x40x5</v>
      </c>
      <c r="C82" s="130" t="s">
        <v>175</v>
      </c>
      <c r="D82" s="130">
        <v>3.76</v>
      </c>
      <c r="E82" s="130">
        <v>4.79</v>
      </c>
      <c r="F82" s="130">
        <v>60</v>
      </c>
      <c r="G82" s="130">
        <v>40</v>
      </c>
      <c r="H82" s="130">
        <v>5</v>
      </c>
      <c r="I82" s="130">
        <v>6</v>
      </c>
      <c r="J82" s="130">
        <v>1.96</v>
      </c>
      <c r="K82" s="130">
        <v>0.97199999999999998</v>
      </c>
      <c r="L82" s="130">
        <v>4.2</v>
      </c>
      <c r="M82" s="130"/>
      <c r="N82" s="130">
        <v>2.11</v>
      </c>
      <c r="O82" s="130">
        <v>17.2</v>
      </c>
      <c r="P82" s="130">
        <v>1.89</v>
      </c>
      <c r="Q82" s="130">
        <v>6.11</v>
      </c>
      <c r="R82" s="130">
        <v>1.1299999999999999</v>
      </c>
      <c r="S82" s="130">
        <v>19.7</v>
      </c>
      <c r="T82" s="130">
        <v>2.0299999999999998</v>
      </c>
      <c r="U82" s="130">
        <v>3.54</v>
      </c>
      <c r="V82" s="130">
        <v>0.86</v>
      </c>
    </row>
    <row r="83" spans="2:22" s="124" customFormat="1" ht="18" customHeight="1">
      <c r="B83" s="129" t="str">
        <f t="shared" si="5"/>
        <v>L 60x40x6</v>
      </c>
      <c r="C83" s="130" t="s">
        <v>176</v>
      </c>
      <c r="D83" s="130">
        <v>4.46</v>
      </c>
      <c r="E83" s="130">
        <v>5.68</v>
      </c>
      <c r="F83" s="130">
        <v>60</v>
      </c>
      <c r="G83" s="130">
        <v>40</v>
      </c>
      <c r="H83" s="130">
        <v>6</v>
      </c>
      <c r="I83" s="130">
        <v>6</v>
      </c>
      <c r="J83" s="130">
        <v>2</v>
      </c>
      <c r="K83" s="130">
        <v>1.01</v>
      </c>
      <c r="L83" s="130">
        <v>4.08</v>
      </c>
      <c r="M83" s="130"/>
      <c r="N83" s="130">
        <v>2.1</v>
      </c>
      <c r="O83" s="130">
        <v>20.100000000000001</v>
      </c>
      <c r="P83" s="130">
        <v>1.88</v>
      </c>
      <c r="Q83" s="130">
        <v>7.12</v>
      </c>
      <c r="R83" s="130">
        <v>1.1200000000000001</v>
      </c>
      <c r="S83" s="130">
        <v>23.1</v>
      </c>
      <c r="T83" s="130">
        <v>2.02</v>
      </c>
      <c r="U83" s="130">
        <v>4.16</v>
      </c>
      <c r="V83" s="130">
        <v>0.85499999999999998</v>
      </c>
    </row>
    <row r="84" spans="2:22" s="124" customFormat="1" ht="18" customHeight="1">
      <c r="B84" s="129" t="str">
        <f t="shared" si="5"/>
        <v>L 60x50x6</v>
      </c>
      <c r="C84" s="130" t="s">
        <v>177</v>
      </c>
      <c r="D84" s="130">
        <v>4.93</v>
      </c>
      <c r="E84" s="130">
        <v>6.28</v>
      </c>
      <c r="F84" s="130">
        <v>60</v>
      </c>
      <c r="G84" s="130">
        <v>50</v>
      </c>
      <c r="H84" s="130">
        <v>6</v>
      </c>
      <c r="I84" s="130">
        <v>6</v>
      </c>
      <c r="J84" s="130">
        <v>1.84</v>
      </c>
      <c r="K84" s="130">
        <v>1.34</v>
      </c>
      <c r="L84" s="130">
        <v>4.2</v>
      </c>
      <c r="M84" s="130"/>
      <c r="N84" s="130">
        <v>2.2200000000000002</v>
      </c>
      <c r="O84" s="130">
        <v>21.7</v>
      </c>
      <c r="P84" s="130">
        <v>1.86</v>
      </c>
      <c r="Q84" s="130">
        <v>13.7</v>
      </c>
      <c r="R84" s="130">
        <v>1.47</v>
      </c>
      <c r="S84" s="130">
        <v>28.5</v>
      </c>
      <c r="T84" s="130">
        <v>2.13</v>
      </c>
      <c r="U84" s="130">
        <v>6.84</v>
      </c>
      <c r="V84" s="130">
        <v>1.04</v>
      </c>
    </row>
    <row r="85" spans="2:22" s="124" customFormat="1" ht="18" customHeight="1">
      <c r="B85" s="129" t="str">
        <f t="shared" si="5"/>
        <v>L 60x50x8</v>
      </c>
      <c r="C85" s="130" t="s">
        <v>178</v>
      </c>
      <c r="D85" s="130">
        <v>6.44</v>
      </c>
      <c r="E85" s="130">
        <v>8.1999999999999993</v>
      </c>
      <c r="F85" s="130">
        <v>60</v>
      </c>
      <c r="G85" s="130">
        <v>50</v>
      </c>
      <c r="H85" s="130">
        <v>8</v>
      </c>
      <c r="I85" s="130">
        <v>6</v>
      </c>
      <c r="J85" s="130">
        <v>1.91</v>
      </c>
      <c r="K85" s="130">
        <v>1.42</v>
      </c>
      <c r="L85" s="130">
        <v>4.1900000000000004</v>
      </c>
      <c r="M85" s="130"/>
      <c r="N85" s="130">
        <v>2.2400000000000002</v>
      </c>
      <c r="O85" s="130">
        <v>27.7</v>
      </c>
      <c r="P85" s="130">
        <v>1.84</v>
      </c>
      <c r="Q85" s="130">
        <v>17.3</v>
      </c>
      <c r="R85" s="130">
        <v>1.45</v>
      </c>
      <c r="S85" s="130">
        <v>36.200000000000003</v>
      </c>
      <c r="T85" s="130">
        <v>2.1</v>
      </c>
      <c r="U85" s="130">
        <v>8.81</v>
      </c>
      <c r="V85" s="130">
        <v>1.04</v>
      </c>
    </row>
    <row r="86" spans="2:22" s="124" customFormat="1" ht="18" customHeight="1">
      <c r="B86" s="129" t="str">
        <f t="shared" si="5"/>
        <v>L 65x50x5</v>
      </c>
      <c r="C86" s="130" t="s">
        <v>179</v>
      </c>
      <c r="D86" s="130">
        <v>4.3499999999999996</v>
      </c>
      <c r="E86" s="130">
        <v>5.54</v>
      </c>
      <c r="F86" s="130">
        <v>65</v>
      </c>
      <c r="G86" s="130">
        <v>50</v>
      </c>
      <c r="H86" s="130">
        <v>5</v>
      </c>
      <c r="I86" s="130">
        <v>6</v>
      </c>
      <c r="J86" s="130">
        <v>1.99</v>
      </c>
      <c r="K86" s="130">
        <v>1.25</v>
      </c>
      <c r="L86" s="130">
        <v>4.53</v>
      </c>
      <c r="M86" s="130"/>
      <c r="N86" s="130">
        <v>2.39</v>
      </c>
      <c r="O86" s="130">
        <v>23.2</v>
      </c>
      <c r="P86" s="130">
        <v>2.0499999999999998</v>
      </c>
      <c r="Q86" s="130">
        <v>11.9</v>
      </c>
      <c r="R86" s="130">
        <v>1.47</v>
      </c>
      <c r="S86" s="130">
        <v>28.8</v>
      </c>
      <c r="T86" s="130">
        <v>2.2799999999999998</v>
      </c>
      <c r="U86" s="130">
        <v>6.32</v>
      </c>
      <c r="V86" s="130">
        <v>1.07</v>
      </c>
    </row>
    <row r="87" spans="2:22" s="124" customFormat="1" ht="18" customHeight="1">
      <c r="B87" s="129" t="str">
        <f t="shared" si="5"/>
        <v>L 65x50x6</v>
      </c>
      <c r="C87" s="130" t="s">
        <v>180</v>
      </c>
      <c r="D87" s="130">
        <v>5.16</v>
      </c>
      <c r="E87" s="130">
        <v>6.58</v>
      </c>
      <c r="F87" s="130">
        <v>65</v>
      </c>
      <c r="G87" s="130">
        <v>50</v>
      </c>
      <c r="H87" s="130">
        <v>6</v>
      </c>
      <c r="I87" s="130">
        <v>6</v>
      </c>
      <c r="J87" s="130">
        <v>2.04</v>
      </c>
      <c r="K87" s="130">
        <v>1.29</v>
      </c>
      <c r="L87" s="130">
        <v>4.5199999999999996</v>
      </c>
      <c r="M87" s="130"/>
      <c r="N87" s="130">
        <v>2.39</v>
      </c>
      <c r="O87" s="130">
        <v>27.2</v>
      </c>
      <c r="P87" s="130">
        <v>2.0299999999999998</v>
      </c>
      <c r="Q87" s="130">
        <v>14</v>
      </c>
      <c r="R87" s="130">
        <v>1.46</v>
      </c>
      <c r="S87" s="130">
        <v>33.799999999999997</v>
      </c>
      <c r="T87" s="130">
        <v>2.27</v>
      </c>
      <c r="U87" s="130">
        <v>7.43</v>
      </c>
      <c r="V87" s="130">
        <v>1.06</v>
      </c>
    </row>
    <row r="88" spans="2:22" s="124" customFormat="1" ht="18" customHeight="1">
      <c r="B88" s="129" t="str">
        <f t="shared" si="5"/>
        <v>L 65x50x8</v>
      </c>
      <c r="C88" s="130" t="s">
        <v>181</v>
      </c>
      <c r="D88" s="130">
        <v>6.75</v>
      </c>
      <c r="E88" s="130">
        <v>8.6</v>
      </c>
      <c r="F88" s="130">
        <v>65</v>
      </c>
      <c r="G88" s="130">
        <v>50</v>
      </c>
      <c r="H88" s="130">
        <v>8</v>
      </c>
      <c r="I88" s="130">
        <v>6</v>
      </c>
      <c r="J88" s="130">
        <v>2.11</v>
      </c>
      <c r="K88" s="130">
        <v>1.37</v>
      </c>
      <c r="L88" s="130">
        <v>4.49</v>
      </c>
      <c r="M88" s="130"/>
      <c r="N88" s="130">
        <v>2.39</v>
      </c>
      <c r="O88" s="130">
        <v>34.799999999999997</v>
      </c>
      <c r="P88" s="130">
        <v>2.0099999999999998</v>
      </c>
      <c r="Q88" s="130">
        <v>17.7</v>
      </c>
      <c r="R88" s="130">
        <v>1.44</v>
      </c>
      <c r="S88" s="130">
        <v>43</v>
      </c>
      <c r="T88" s="130">
        <v>2.23</v>
      </c>
      <c r="U88" s="130">
        <v>9.57</v>
      </c>
      <c r="V88" s="130">
        <v>1.05</v>
      </c>
    </row>
    <row r="89" spans="2:22" ht="18" customHeight="1">
      <c r="B89" s="129" t="str">
        <f t="shared" si="5"/>
        <v>L 70x50x6</v>
      </c>
      <c r="C89" s="130" t="s">
        <v>182</v>
      </c>
      <c r="D89" s="130">
        <v>5.41</v>
      </c>
      <c r="E89" s="130">
        <v>6.89</v>
      </c>
      <c r="F89" s="130">
        <v>70</v>
      </c>
      <c r="G89" s="130">
        <v>50</v>
      </c>
      <c r="H89" s="130">
        <v>6</v>
      </c>
      <c r="I89" s="130">
        <v>7</v>
      </c>
      <c r="J89" s="130">
        <v>2.23</v>
      </c>
      <c r="K89" s="130">
        <v>1.25</v>
      </c>
      <c r="L89" s="130">
        <v>4.83</v>
      </c>
      <c r="M89" s="130"/>
      <c r="N89" s="130">
        <v>2.52</v>
      </c>
      <c r="O89" s="130">
        <v>33.4</v>
      </c>
      <c r="P89" s="130">
        <v>2.2000000000000002</v>
      </c>
      <c r="Q89" s="130">
        <v>14.2</v>
      </c>
      <c r="R89" s="130">
        <v>1.43</v>
      </c>
      <c r="S89" s="130">
        <v>39.700000000000003</v>
      </c>
      <c r="T89" s="130">
        <v>2.4</v>
      </c>
      <c r="U89" s="130">
        <v>7.92</v>
      </c>
      <c r="V89" s="130">
        <v>1.07</v>
      </c>
    </row>
    <row r="90" spans="2:22" ht="18" customHeight="1">
      <c r="B90" s="129" t="str">
        <f t="shared" si="5"/>
        <v>L 70x50x7</v>
      </c>
      <c r="C90" s="130" t="s">
        <v>183</v>
      </c>
      <c r="D90" s="130">
        <v>6.25</v>
      </c>
      <c r="E90" s="130">
        <v>7.96</v>
      </c>
      <c r="F90" s="130">
        <v>70</v>
      </c>
      <c r="G90" s="130">
        <v>50</v>
      </c>
      <c r="H90" s="130">
        <v>7</v>
      </c>
      <c r="I90" s="130">
        <v>7</v>
      </c>
      <c r="J90" s="130">
        <v>2.27</v>
      </c>
      <c r="K90" s="130">
        <v>1.29</v>
      </c>
      <c r="L90" s="130">
        <v>4.8099999999999996</v>
      </c>
      <c r="M90" s="130"/>
      <c r="N90" s="130">
        <v>2.52</v>
      </c>
      <c r="O90" s="130">
        <v>38.200000000000003</v>
      </c>
      <c r="P90" s="130">
        <v>2.19</v>
      </c>
      <c r="Q90" s="130">
        <v>16</v>
      </c>
      <c r="R90" s="130">
        <v>1.42</v>
      </c>
      <c r="S90" s="130">
        <v>45.3</v>
      </c>
      <c r="T90" s="130">
        <v>2.39</v>
      </c>
      <c r="U90" s="130">
        <v>9.06</v>
      </c>
      <c r="V90" s="130">
        <v>1.07</v>
      </c>
    </row>
    <row r="91" spans="2:22" ht="18" customHeight="1">
      <c r="B91" s="129" t="str">
        <f t="shared" si="5"/>
        <v>L 75x50x6</v>
      </c>
      <c r="C91" s="130" t="s">
        <v>184</v>
      </c>
      <c r="D91" s="130">
        <v>5.65</v>
      </c>
      <c r="E91" s="130">
        <v>7.19</v>
      </c>
      <c r="F91" s="130">
        <v>75</v>
      </c>
      <c r="G91" s="130">
        <v>50</v>
      </c>
      <c r="H91" s="130">
        <v>6</v>
      </c>
      <c r="I91" s="130">
        <v>7</v>
      </c>
      <c r="J91" s="130">
        <v>2.44</v>
      </c>
      <c r="K91" s="130">
        <v>1.21</v>
      </c>
      <c r="L91" s="130">
        <v>5.12</v>
      </c>
      <c r="M91" s="130"/>
      <c r="N91" s="130">
        <v>2.64</v>
      </c>
      <c r="O91" s="130">
        <v>40.5</v>
      </c>
      <c r="P91" s="130">
        <v>2.37</v>
      </c>
      <c r="Q91" s="130">
        <v>174.4</v>
      </c>
      <c r="R91" s="130">
        <v>1.42</v>
      </c>
      <c r="S91" s="130">
        <v>46.6</v>
      </c>
      <c r="T91" s="130">
        <v>2.5499999999999998</v>
      </c>
      <c r="U91" s="130">
        <v>8.36</v>
      </c>
      <c r="V91" s="130">
        <v>1.08</v>
      </c>
    </row>
    <row r="92" spans="2:22" ht="18" customHeight="1">
      <c r="B92" s="129" t="str">
        <f t="shared" si="5"/>
        <v>L 75x50x8</v>
      </c>
      <c r="C92" s="130" t="s">
        <v>185</v>
      </c>
      <c r="D92" s="130">
        <v>7.39</v>
      </c>
      <c r="E92" s="130">
        <v>9.41</v>
      </c>
      <c r="F92" s="130">
        <v>75</v>
      </c>
      <c r="G92" s="130">
        <v>50</v>
      </c>
      <c r="H92" s="130">
        <v>8</v>
      </c>
      <c r="I92" s="130">
        <v>7</v>
      </c>
      <c r="J92" s="130">
        <v>2.52</v>
      </c>
      <c r="K92" s="130">
        <v>1.29</v>
      </c>
      <c r="L92" s="130">
        <v>5.08</v>
      </c>
      <c r="M92" s="130"/>
      <c r="N92" s="130">
        <v>2.62</v>
      </c>
      <c r="O92" s="130">
        <v>52</v>
      </c>
      <c r="P92" s="130">
        <v>2.35</v>
      </c>
      <c r="Q92" s="130">
        <v>18.399999999999999</v>
      </c>
      <c r="R92" s="130">
        <v>1.4</v>
      </c>
      <c r="S92" s="130">
        <v>59.6</v>
      </c>
      <c r="T92" s="130">
        <v>2.52</v>
      </c>
      <c r="U92" s="130">
        <v>10.8</v>
      </c>
      <c r="V92" s="130">
        <v>1.07</v>
      </c>
    </row>
    <row r="93" spans="2:22" ht="18" customHeight="1">
      <c r="B93" s="129" t="str">
        <f t="shared" si="5"/>
        <v>L 80x40x6</v>
      </c>
      <c r="C93" s="130" t="s">
        <v>186</v>
      </c>
      <c r="D93" s="130">
        <v>5.41</v>
      </c>
      <c r="E93" s="130">
        <v>6.89</v>
      </c>
      <c r="F93" s="130">
        <v>80</v>
      </c>
      <c r="G93" s="130">
        <v>40</v>
      </c>
      <c r="H93" s="130">
        <v>6</v>
      </c>
      <c r="I93" s="130">
        <v>7</v>
      </c>
      <c r="J93" s="130">
        <v>2.85</v>
      </c>
      <c r="K93" s="130">
        <v>0.88400000000000001</v>
      </c>
      <c r="L93" s="130">
        <v>5.2</v>
      </c>
      <c r="M93" s="130"/>
      <c r="N93" s="130">
        <v>2.38</v>
      </c>
      <c r="O93" s="130">
        <v>44.9</v>
      </c>
      <c r="P93" s="130">
        <v>2.5499999999999998</v>
      </c>
      <c r="Q93" s="130">
        <v>7.59</v>
      </c>
      <c r="R93" s="130">
        <v>1.05</v>
      </c>
      <c r="S93" s="130">
        <v>47.6</v>
      </c>
      <c r="T93" s="130">
        <v>2.63</v>
      </c>
      <c r="U93" s="130">
        <v>4.93</v>
      </c>
      <c r="V93" s="130">
        <v>0.84499999999999997</v>
      </c>
    </row>
    <row r="94" spans="2:22" ht="18" customHeight="1">
      <c r="B94" s="129" t="str">
        <f t="shared" si="5"/>
        <v>L 80x40x8</v>
      </c>
      <c r="C94" s="130" t="s">
        <v>187</v>
      </c>
      <c r="D94" s="130">
        <v>7.07</v>
      </c>
      <c r="E94" s="130">
        <v>9.01</v>
      </c>
      <c r="F94" s="130">
        <v>80</v>
      </c>
      <c r="G94" s="130">
        <v>40</v>
      </c>
      <c r="H94" s="130">
        <v>8</v>
      </c>
      <c r="I94" s="130">
        <v>7</v>
      </c>
      <c r="J94" s="130">
        <v>2.94</v>
      </c>
      <c r="K94" s="130">
        <v>0.96299999999999997</v>
      </c>
      <c r="L94" s="130">
        <v>5.14</v>
      </c>
      <c r="M94" s="130"/>
      <c r="N94" s="130">
        <v>2.34</v>
      </c>
      <c r="O94" s="130">
        <v>57.6</v>
      </c>
      <c r="P94" s="130">
        <v>2.5299999999999998</v>
      </c>
      <c r="Q94" s="130">
        <v>9.61</v>
      </c>
      <c r="R94" s="130">
        <v>1.03</v>
      </c>
      <c r="S94" s="130">
        <v>60.9</v>
      </c>
      <c r="T94" s="130">
        <v>2.6</v>
      </c>
      <c r="U94" s="130">
        <v>6.34</v>
      </c>
      <c r="V94" s="130">
        <v>0.83799999999999997</v>
      </c>
    </row>
    <row r="95" spans="2:22" ht="18" customHeight="1">
      <c r="B95" s="129" t="str">
        <f t="shared" si="5"/>
        <v>L 80x60x6</v>
      </c>
      <c r="C95" s="130" t="s">
        <v>188</v>
      </c>
      <c r="D95" s="130">
        <v>6.37</v>
      </c>
      <c r="E95" s="130">
        <v>8.11</v>
      </c>
      <c r="F95" s="130">
        <v>80</v>
      </c>
      <c r="G95" s="130">
        <v>60</v>
      </c>
      <c r="H95" s="130">
        <v>6</v>
      </c>
      <c r="I95" s="130">
        <v>8</v>
      </c>
      <c r="J95" s="130">
        <v>2.4700000000000002</v>
      </c>
      <c r="K95" s="130">
        <v>1.48</v>
      </c>
      <c r="L95" s="130">
        <v>5.57</v>
      </c>
      <c r="M95" s="130"/>
      <c r="N95" s="130">
        <v>2.92</v>
      </c>
      <c r="O95" s="130">
        <v>51.4</v>
      </c>
      <c r="P95" s="130">
        <v>2.52</v>
      </c>
      <c r="Q95" s="130">
        <v>24.8</v>
      </c>
      <c r="R95" s="130">
        <v>1.75</v>
      </c>
      <c r="S95" s="130">
        <v>62.8</v>
      </c>
      <c r="T95" s="130">
        <v>2.78</v>
      </c>
      <c r="U95" s="130">
        <v>13.4</v>
      </c>
      <c r="V95" s="130">
        <v>1.29</v>
      </c>
    </row>
    <row r="96" spans="2:22" ht="18" customHeight="1">
      <c r="B96" s="129" t="str">
        <f t="shared" si="5"/>
        <v>L 80x60x7</v>
      </c>
      <c r="C96" s="130" t="s">
        <v>189</v>
      </c>
      <c r="D96" s="130">
        <v>7.36</v>
      </c>
      <c r="E96" s="130">
        <v>9.3800000000000008</v>
      </c>
      <c r="F96" s="130">
        <v>80</v>
      </c>
      <c r="G96" s="130">
        <v>60</v>
      </c>
      <c r="H96" s="130">
        <v>7</v>
      </c>
      <c r="I96" s="130">
        <v>8</v>
      </c>
      <c r="J96" s="130">
        <v>2.5099999999999998</v>
      </c>
      <c r="K96" s="130">
        <v>1.52</v>
      </c>
      <c r="L96" s="130">
        <v>5.55</v>
      </c>
      <c r="M96" s="130"/>
      <c r="N96" s="130">
        <v>2.92</v>
      </c>
      <c r="O96" s="130">
        <v>59</v>
      </c>
      <c r="P96" s="130">
        <v>2.5099999999999998</v>
      </c>
      <c r="Q96" s="130">
        <v>28.4</v>
      </c>
      <c r="R96" s="130">
        <v>1.74</v>
      </c>
      <c r="S96" s="130">
        <v>72</v>
      </c>
      <c r="T96" s="130">
        <v>2.77</v>
      </c>
      <c r="U96" s="130">
        <v>15.4</v>
      </c>
      <c r="V96" s="130">
        <v>1.28</v>
      </c>
    </row>
    <row r="97" spans="2:22" ht="18" customHeight="1">
      <c r="B97" s="129" t="str">
        <f t="shared" si="5"/>
        <v>L 80x60x8</v>
      </c>
      <c r="C97" s="130" t="s">
        <v>190</v>
      </c>
      <c r="D97" s="130">
        <v>8.34</v>
      </c>
      <c r="E97" s="130">
        <v>10.6</v>
      </c>
      <c r="F97" s="130">
        <v>80</v>
      </c>
      <c r="G97" s="130">
        <v>60</v>
      </c>
      <c r="H97" s="130">
        <v>8</v>
      </c>
      <c r="I97" s="130">
        <v>8</v>
      </c>
      <c r="J97" s="130">
        <v>2.5499999999999998</v>
      </c>
      <c r="K97" s="130">
        <v>1.56</v>
      </c>
      <c r="L97" s="130">
        <v>5.53</v>
      </c>
      <c r="M97" s="130"/>
      <c r="N97" s="130">
        <v>2.92</v>
      </c>
      <c r="O97" s="130">
        <v>66.3</v>
      </c>
      <c r="P97" s="130">
        <v>2.5</v>
      </c>
      <c r="Q97" s="130">
        <v>31.8</v>
      </c>
      <c r="R97" s="130">
        <v>1.73</v>
      </c>
      <c r="S97" s="130">
        <v>80.8</v>
      </c>
      <c r="T97" s="130">
        <v>2.76</v>
      </c>
      <c r="U97" s="130">
        <v>17.3</v>
      </c>
      <c r="V97" s="130">
        <v>1.27</v>
      </c>
    </row>
    <row r="98" spans="2:22" ht="18" customHeight="1">
      <c r="B98" s="129" t="str">
        <f t="shared" si="5"/>
        <v>L 90x60x8</v>
      </c>
      <c r="C98" s="130" t="s">
        <v>191</v>
      </c>
      <c r="D98" s="130">
        <v>8.9700000000000006</v>
      </c>
      <c r="E98" s="130">
        <v>11.4</v>
      </c>
      <c r="F98" s="130">
        <v>90</v>
      </c>
      <c r="G98" s="130">
        <v>60</v>
      </c>
      <c r="H98" s="130">
        <v>8</v>
      </c>
      <c r="I98" s="130">
        <v>8</v>
      </c>
      <c r="J98" s="130">
        <v>2.96</v>
      </c>
      <c r="K98" s="130">
        <v>1.48</v>
      </c>
      <c r="L98" s="130">
        <v>6.13</v>
      </c>
      <c r="M98" s="130"/>
      <c r="N98" s="130">
        <v>3.16</v>
      </c>
      <c r="O98" s="130">
        <v>92.3</v>
      </c>
      <c r="P98" s="130">
        <v>2.84</v>
      </c>
      <c r="Q98" s="130">
        <v>32.799999999999997</v>
      </c>
      <c r="R98" s="130">
        <v>1.7</v>
      </c>
      <c r="S98" s="130">
        <v>106</v>
      </c>
      <c r="T98" s="130">
        <v>3.05</v>
      </c>
      <c r="U98" s="130">
        <v>19</v>
      </c>
      <c r="V98" s="130">
        <v>1.29</v>
      </c>
    </row>
    <row r="99" spans="2:22" ht="18" customHeight="1">
      <c r="B99" s="129" t="str">
        <f t="shared" si="5"/>
        <v>L 90x65x6</v>
      </c>
      <c r="C99" s="130" t="s">
        <v>192</v>
      </c>
      <c r="D99" s="130">
        <v>7.07</v>
      </c>
      <c r="E99" s="130">
        <v>9.01</v>
      </c>
      <c r="F99" s="130">
        <v>90</v>
      </c>
      <c r="G99" s="130">
        <v>65</v>
      </c>
      <c r="H99" s="130">
        <v>6</v>
      </c>
      <c r="I99" s="130">
        <v>8</v>
      </c>
      <c r="J99" s="130">
        <v>2.79</v>
      </c>
      <c r="K99" s="130">
        <v>1.56</v>
      </c>
      <c r="L99" s="130">
        <v>6.24</v>
      </c>
      <c r="M99" s="130"/>
      <c r="N99" s="130">
        <v>3.27</v>
      </c>
      <c r="O99" s="130">
        <v>73.400000000000006</v>
      </c>
      <c r="P99" s="130">
        <v>2.85</v>
      </c>
      <c r="Q99" s="130">
        <v>32.299999999999997</v>
      </c>
      <c r="R99" s="130">
        <v>1.89</v>
      </c>
      <c r="S99" s="130">
        <v>87.9</v>
      </c>
      <c r="T99" s="130">
        <v>3.12</v>
      </c>
      <c r="U99" s="130">
        <v>17.8</v>
      </c>
      <c r="V99" s="130">
        <v>1.41</v>
      </c>
    </row>
    <row r="100" spans="2:22" ht="18" customHeight="1">
      <c r="B100" s="129" t="str">
        <f t="shared" si="5"/>
        <v>L 90x65x8</v>
      </c>
      <c r="C100" s="130" t="s">
        <v>193</v>
      </c>
      <c r="D100" s="130">
        <v>9.2899999999999991</v>
      </c>
      <c r="E100" s="130">
        <v>11.8</v>
      </c>
      <c r="F100" s="130">
        <v>90</v>
      </c>
      <c r="G100" s="130">
        <v>65</v>
      </c>
      <c r="H100" s="130">
        <v>8</v>
      </c>
      <c r="I100" s="130">
        <v>8</v>
      </c>
      <c r="J100" s="130">
        <v>2.88</v>
      </c>
      <c r="K100" s="130">
        <v>1.64</v>
      </c>
      <c r="L100" s="130">
        <v>6.2</v>
      </c>
      <c r="M100" s="130"/>
      <c r="N100" s="130">
        <v>3.26</v>
      </c>
      <c r="O100" s="130">
        <v>94.9</v>
      </c>
      <c r="P100" s="130">
        <v>2.83</v>
      </c>
      <c r="Q100" s="130">
        <v>41.5</v>
      </c>
      <c r="R100" s="130">
        <v>1.87</v>
      </c>
      <c r="S100" s="130">
        <v>113</v>
      </c>
      <c r="T100" s="130">
        <v>3.1</v>
      </c>
      <c r="U100" s="130">
        <v>23</v>
      </c>
      <c r="V100" s="130">
        <v>1.39</v>
      </c>
    </row>
    <row r="101" spans="2:22" ht="18" customHeight="1">
      <c r="B101" s="129" t="str">
        <f t="shared" si="5"/>
        <v>L 90x75x8</v>
      </c>
      <c r="C101" s="130" t="s">
        <v>194</v>
      </c>
      <c r="D101" s="130">
        <v>9.91</v>
      </c>
      <c r="E101" s="130">
        <v>12.6</v>
      </c>
      <c r="F101" s="130">
        <v>90</v>
      </c>
      <c r="G101" s="130">
        <v>75</v>
      </c>
      <c r="H101" s="130">
        <v>8</v>
      </c>
      <c r="I101" s="130">
        <v>8</v>
      </c>
      <c r="J101" s="130">
        <v>2.72</v>
      </c>
      <c r="K101" s="130">
        <v>1.98</v>
      </c>
      <c r="L101" s="130">
        <v>6.31</v>
      </c>
      <c r="M101" s="130"/>
      <c r="N101" s="130">
        <v>3.35</v>
      </c>
      <c r="O101" s="130">
        <v>99.5</v>
      </c>
      <c r="P101" s="130">
        <v>2.81</v>
      </c>
      <c r="Q101" s="130">
        <v>62.7</v>
      </c>
      <c r="R101" s="130">
        <v>2.23</v>
      </c>
      <c r="S101" s="130">
        <v>131</v>
      </c>
      <c r="T101" s="130">
        <v>3.22</v>
      </c>
      <c r="U101" s="130">
        <v>31.2</v>
      </c>
      <c r="V101" s="130">
        <v>1.57</v>
      </c>
    </row>
    <row r="102" spans="2:22" ht="18" customHeight="1">
      <c r="B102" s="129" t="str">
        <f t="shared" si="5"/>
        <v>L 90x75x10</v>
      </c>
      <c r="C102" s="130" t="s">
        <v>195</v>
      </c>
      <c r="D102" s="130">
        <v>12.2</v>
      </c>
      <c r="E102" s="130">
        <v>15.6</v>
      </c>
      <c r="F102" s="130">
        <v>90</v>
      </c>
      <c r="G102" s="130">
        <v>75</v>
      </c>
      <c r="H102" s="130">
        <v>10</v>
      </c>
      <c r="I102" s="130">
        <v>8</v>
      </c>
      <c r="J102" s="130">
        <v>2.8</v>
      </c>
      <c r="K102" s="130">
        <v>2.06</v>
      </c>
      <c r="L102" s="130">
        <v>6.29</v>
      </c>
      <c r="M102" s="130"/>
      <c r="N102" s="130">
        <v>3.35</v>
      </c>
      <c r="O102" s="130">
        <v>121</v>
      </c>
      <c r="P102" s="130">
        <v>2.79</v>
      </c>
      <c r="Q102" s="130">
        <v>75.8</v>
      </c>
      <c r="R102" s="130">
        <v>2.21</v>
      </c>
      <c r="S102" s="130">
        <v>159</v>
      </c>
      <c r="T102" s="130">
        <v>3.19</v>
      </c>
      <c r="U102" s="130">
        <v>38.1</v>
      </c>
      <c r="V102" s="130">
        <v>1.56</v>
      </c>
    </row>
    <row r="103" spans="2:22" ht="18" customHeight="1">
      <c r="B103" s="129" t="str">
        <f t="shared" si="5"/>
        <v>L 90x75x13</v>
      </c>
      <c r="C103" s="130" t="s">
        <v>196</v>
      </c>
      <c r="D103" s="130">
        <v>15.6</v>
      </c>
      <c r="E103" s="130">
        <v>19.8</v>
      </c>
      <c r="F103" s="130">
        <v>90</v>
      </c>
      <c r="G103" s="130">
        <v>75</v>
      </c>
      <c r="H103" s="130">
        <v>13</v>
      </c>
      <c r="I103" s="130">
        <v>8</v>
      </c>
      <c r="J103" s="130">
        <v>2.91</v>
      </c>
      <c r="K103" s="130">
        <v>2.17</v>
      </c>
      <c r="L103" s="130">
        <v>6.26</v>
      </c>
      <c r="M103" s="130"/>
      <c r="N103" s="130">
        <v>3.38</v>
      </c>
      <c r="O103" s="130">
        <v>150</v>
      </c>
      <c r="P103" s="130">
        <v>2.75</v>
      </c>
      <c r="Q103" s="130">
        <v>93.7</v>
      </c>
      <c r="R103" s="130">
        <v>2.17</v>
      </c>
      <c r="S103" s="130">
        <v>196</v>
      </c>
      <c r="T103" s="130">
        <v>3.14</v>
      </c>
      <c r="U103" s="130">
        <v>47.9</v>
      </c>
      <c r="V103" s="130">
        <v>1.55</v>
      </c>
    </row>
    <row r="104" spans="2:22" ht="18" customHeight="1">
      <c r="B104" s="129" t="str">
        <f t="shared" ref="B104:B135" si="6">"L "&amp;C104</f>
        <v>L 100x50x6</v>
      </c>
      <c r="C104" s="130" t="s">
        <v>197</v>
      </c>
      <c r="D104" s="130">
        <v>6.84</v>
      </c>
      <c r="E104" s="130">
        <v>8.7100000000000009</v>
      </c>
      <c r="F104" s="130">
        <v>100</v>
      </c>
      <c r="G104" s="130">
        <v>50</v>
      </c>
      <c r="H104" s="130">
        <v>6</v>
      </c>
      <c r="I104" s="130">
        <v>8</v>
      </c>
      <c r="J104" s="130">
        <v>3.51</v>
      </c>
      <c r="K104" s="130">
        <v>1.05</v>
      </c>
      <c r="L104" s="130">
        <v>6.55</v>
      </c>
      <c r="M104" s="130"/>
      <c r="N104" s="130">
        <v>3</v>
      </c>
      <c r="O104" s="130">
        <v>89.9</v>
      </c>
      <c r="P104" s="130">
        <v>3.21</v>
      </c>
      <c r="Q104" s="130">
        <v>15.4</v>
      </c>
      <c r="R104" s="130">
        <v>1.33</v>
      </c>
      <c r="S104" s="130">
        <v>95.4</v>
      </c>
      <c r="T104" s="130">
        <v>3.31</v>
      </c>
      <c r="U104" s="130">
        <v>9.92</v>
      </c>
      <c r="V104" s="130">
        <v>1.07</v>
      </c>
    </row>
    <row r="105" spans="2:22" ht="18" customHeight="1">
      <c r="B105" s="129" t="str">
        <f t="shared" si="6"/>
        <v>L 100x50x8</v>
      </c>
      <c r="C105" s="130" t="s">
        <v>198</v>
      </c>
      <c r="D105" s="130">
        <v>8.9700000000000006</v>
      </c>
      <c r="E105" s="130">
        <v>11.4</v>
      </c>
      <c r="F105" s="130">
        <v>100</v>
      </c>
      <c r="G105" s="130">
        <v>50</v>
      </c>
      <c r="H105" s="130">
        <v>8</v>
      </c>
      <c r="I105" s="130">
        <v>8</v>
      </c>
      <c r="J105" s="130">
        <v>3.6</v>
      </c>
      <c r="K105" s="130">
        <v>1.1299999999999999</v>
      </c>
      <c r="L105" s="130">
        <v>6.48</v>
      </c>
      <c r="M105" s="130"/>
      <c r="N105" s="130">
        <v>2.96</v>
      </c>
      <c r="O105" s="130">
        <v>116</v>
      </c>
      <c r="P105" s="130">
        <v>3.19</v>
      </c>
      <c r="Q105" s="130">
        <v>19.7</v>
      </c>
      <c r="R105" s="130">
        <v>1.31</v>
      </c>
      <c r="S105" s="130">
        <v>123</v>
      </c>
      <c r="T105" s="130">
        <v>3.28</v>
      </c>
      <c r="U105" s="130">
        <v>12.8</v>
      </c>
      <c r="V105" s="130">
        <v>1.06</v>
      </c>
    </row>
    <row r="106" spans="2:22" ht="18" customHeight="1">
      <c r="B106" s="129" t="str">
        <f t="shared" si="6"/>
        <v>L 100x50x10</v>
      </c>
      <c r="C106" s="130" t="s">
        <v>199</v>
      </c>
      <c r="D106" s="130">
        <v>11</v>
      </c>
      <c r="E106" s="130">
        <v>14.1</v>
      </c>
      <c r="F106" s="130">
        <v>100</v>
      </c>
      <c r="G106" s="130">
        <v>50</v>
      </c>
      <c r="H106" s="130">
        <v>10</v>
      </c>
      <c r="I106" s="130">
        <v>8</v>
      </c>
      <c r="J106" s="130">
        <v>3.68</v>
      </c>
      <c r="K106" s="130">
        <v>1.21</v>
      </c>
      <c r="L106" s="130">
        <v>6.42</v>
      </c>
      <c r="M106" s="130"/>
      <c r="N106" s="130">
        <v>2.93</v>
      </c>
      <c r="O106" s="130">
        <v>141</v>
      </c>
      <c r="P106" s="130">
        <v>3.16</v>
      </c>
      <c r="Q106" s="130">
        <v>23.6</v>
      </c>
      <c r="R106" s="130">
        <v>1.29</v>
      </c>
      <c r="S106" s="130">
        <v>149</v>
      </c>
      <c r="T106" s="130">
        <v>3.25</v>
      </c>
      <c r="U106" s="130">
        <v>15.5</v>
      </c>
      <c r="V106" s="130">
        <v>1.05</v>
      </c>
    </row>
    <row r="107" spans="2:22" ht="18" customHeight="1">
      <c r="B107" s="129" t="str">
        <f t="shared" si="6"/>
        <v>L 100x65x7</v>
      </c>
      <c r="C107" s="130" t="s">
        <v>200</v>
      </c>
      <c r="D107" s="130">
        <v>8.77</v>
      </c>
      <c r="E107" s="130">
        <v>11.2</v>
      </c>
      <c r="F107" s="130">
        <v>100</v>
      </c>
      <c r="G107" s="130">
        <v>65</v>
      </c>
      <c r="H107" s="130">
        <v>7</v>
      </c>
      <c r="I107" s="130">
        <v>10</v>
      </c>
      <c r="J107" s="130">
        <v>3.23</v>
      </c>
      <c r="K107" s="130">
        <v>1.51</v>
      </c>
      <c r="L107" s="130">
        <v>6.83</v>
      </c>
      <c r="M107" s="130"/>
      <c r="N107" s="130">
        <v>3.49</v>
      </c>
      <c r="O107" s="130">
        <v>113</v>
      </c>
      <c r="P107" s="130">
        <v>3.17</v>
      </c>
      <c r="Q107" s="130">
        <v>38.6</v>
      </c>
      <c r="R107" s="130">
        <v>1.83</v>
      </c>
      <c r="S107" s="130">
        <v>128</v>
      </c>
      <c r="T107" s="130">
        <v>3.39</v>
      </c>
      <c r="U107" s="130">
        <v>22</v>
      </c>
      <c r="V107" s="130">
        <v>1.4</v>
      </c>
    </row>
    <row r="108" spans="2:22" ht="18" customHeight="1">
      <c r="B108" s="129" t="str">
        <f t="shared" si="6"/>
        <v>L 100x65x8</v>
      </c>
      <c r="C108" s="130" t="s">
        <v>201</v>
      </c>
      <c r="D108" s="130">
        <v>9.94</v>
      </c>
      <c r="E108" s="130">
        <v>12.7</v>
      </c>
      <c r="F108" s="130">
        <v>100</v>
      </c>
      <c r="G108" s="130">
        <v>65</v>
      </c>
      <c r="H108" s="130">
        <v>8</v>
      </c>
      <c r="I108" s="130">
        <v>10</v>
      </c>
      <c r="J108" s="130">
        <v>3.27</v>
      </c>
      <c r="K108" s="130">
        <v>1.55</v>
      </c>
      <c r="L108" s="130">
        <v>6.81</v>
      </c>
      <c r="M108" s="130"/>
      <c r="N108" s="130">
        <v>3.47</v>
      </c>
      <c r="O108" s="130">
        <v>127</v>
      </c>
      <c r="P108" s="130">
        <v>3.16</v>
      </c>
      <c r="Q108" s="130">
        <v>42.2</v>
      </c>
      <c r="R108" s="130">
        <v>1.83</v>
      </c>
      <c r="S108" s="130">
        <v>144</v>
      </c>
      <c r="T108" s="130">
        <v>3.37</v>
      </c>
      <c r="U108" s="130">
        <v>24.8</v>
      </c>
      <c r="V108" s="130">
        <v>1.4</v>
      </c>
    </row>
    <row r="109" spans="2:22" ht="18" customHeight="1">
      <c r="B109" s="129" t="str">
        <f t="shared" si="6"/>
        <v>L 100x65x10</v>
      </c>
      <c r="C109" s="130" t="s">
        <v>202</v>
      </c>
      <c r="D109" s="130">
        <v>12.3</v>
      </c>
      <c r="E109" s="130">
        <v>15.06</v>
      </c>
      <c r="F109" s="130">
        <v>100</v>
      </c>
      <c r="G109" s="130">
        <v>65</v>
      </c>
      <c r="H109" s="130">
        <v>10</v>
      </c>
      <c r="I109" s="130">
        <v>10</v>
      </c>
      <c r="J109" s="130">
        <v>3.36</v>
      </c>
      <c r="K109" s="130">
        <v>1.63</v>
      </c>
      <c r="L109" s="130">
        <v>6.76</v>
      </c>
      <c r="M109" s="130"/>
      <c r="N109" s="130">
        <v>3.45</v>
      </c>
      <c r="O109" s="130">
        <v>154</v>
      </c>
      <c r="P109" s="130">
        <v>3.14</v>
      </c>
      <c r="Q109" s="130">
        <v>51</v>
      </c>
      <c r="R109" s="130">
        <v>1.81</v>
      </c>
      <c r="S109" s="130">
        <v>175</v>
      </c>
      <c r="T109" s="130">
        <v>3.35</v>
      </c>
      <c r="U109" s="130">
        <v>30.1</v>
      </c>
      <c r="V109" s="130">
        <v>1.39</v>
      </c>
    </row>
    <row r="110" spans="2:22" ht="18" customHeight="1">
      <c r="B110" s="129" t="str">
        <f t="shared" si="6"/>
        <v>L 100x75x8</v>
      </c>
      <c r="C110" s="130" t="s">
        <v>203</v>
      </c>
      <c r="D110" s="130">
        <v>10.3</v>
      </c>
      <c r="E110" s="130">
        <v>13.5</v>
      </c>
      <c r="F110" s="130">
        <v>100</v>
      </c>
      <c r="G110" s="130">
        <v>75</v>
      </c>
      <c r="H110" s="130">
        <v>8</v>
      </c>
      <c r="I110" s="130">
        <v>10</v>
      </c>
      <c r="J110" s="130">
        <v>3.1</v>
      </c>
      <c r="K110" s="130">
        <v>1.87</v>
      </c>
      <c r="L110" s="130">
        <v>6.95</v>
      </c>
      <c r="M110" s="130"/>
      <c r="N110" s="130">
        <v>3.65</v>
      </c>
      <c r="O110" s="130">
        <v>133</v>
      </c>
      <c r="P110" s="130">
        <v>3.14</v>
      </c>
      <c r="Q110" s="130">
        <v>64.099999999999994</v>
      </c>
      <c r="R110" s="130">
        <v>2.1800000000000002</v>
      </c>
      <c r="S110" s="130">
        <v>162</v>
      </c>
      <c r="T110" s="130">
        <v>3.47</v>
      </c>
      <c r="U110" s="130">
        <v>34.6</v>
      </c>
      <c r="V110" s="130">
        <v>1.6</v>
      </c>
    </row>
    <row r="111" spans="2:22" ht="18" customHeight="1">
      <c r="B111" s="129" t="str">
        <f t="shared" si="6"/>
        <v>L 100x75x10</v>
      </c>
      <c r="C111" s="130" t="s">
        <v>204</v>
      </c>
      <c r="D111" s="130">
        <v>13</v>
      </c>
      <c r="E111" s="130">
        <v>16.600000000000001</v>
      </c>
      <c r="F111" s="130">
        <v>100</v>
      </c>
      <c r="G111" s="130">
        <v>75</v>
      </c>
      <c r="H111" s="130">
        <v>10</v>
      </c>
      <c r="I111" s="130">
        <v>10</v>
      </c>
      <c r="J111" s="130">
        <v>3.19</v>
      </c>
      <c r="K111" s="130">
        <v>1.95</v>
      </c>
      <c r="L111" s="130">
        <v>6.92</v>
      </c>
      <c r="M111" s="130"/>
      <c r="N111" s="130">
        <v>3.65</v>
      </c>
      <c r="O111" s="130">
        <v>162</v>
      </c>
      <c r="P111" s="130">
        <v>3.12</v>
      </c>
      <c r="Q111" s="130">
        <v>77.599999999999994</v>
      </c>
      <c r="R111" s="130">
        <v>2.16</v>
      </c>
      <c r="S111" s="130">
        <v>197</v>
      </c>
      <c r="T111" s="130">
        <v>3.45</v>
      </c>
      <c r="U111" s="130">
        <v>32.200000000000003</v>
      </c>
      <c r="V111" s="130">
        <v>1.59</v>
      </c>
    </row>
    <row r="112" spans="2:22" ht="18" customHeight="1">
      <c r="B112" s="129" t="str">
        <f t="shared" si="6"/>
        <v>L 100x75x12</v>
      </c>
      <c r="C112" s="130" t="s">
        <v>205</v>
      </c>
      <c r="D112" s="130">
        <v>15.4</v>
      </c>
      <c r="E112" s="130">
        <v>19.7</v>
      </c>
      <c r="F112" s="130">
        <v>100</v>
      </c>
      <c r="G112" s="130">
        <v>75</v>
      </c>
      <c r="H112" s="130">
        <v>12</v>
      </c>
      <c r="I112" s="130">
        <v>10</v>
      </c>
      <c r="J112" s="130">
        <v>3.27</v>
      </c>
      <c r="K112" s="130">
        <v>2.0299999999999998</v>
      </c>
      <c r="L112" s="130">
        <v>6.89</v>
      </c>
      <c r="M112" s="130"/>
      <c r="N112" s="130">
        <v>3.65</v>
      </c>
      <c r="O112" s="130">
        <v>189</v>
      </c>
      <c r="P112" s="130">
        <v>3.1</v>
      </c>
      <c r="Q112" s="130">
        <v>90.2</v>
      </c>
      <c r="R112" s="130">
        <v>2.14</v>
      </c>
      <c r="S112" s="130">
        <v>230</v>
      </c>
      <c r="T112" s="130">
        <v>3.42</v>
      </c>
      <c r="U112" s="130">
        <v>49.5</v>
      </c>
      <c r="V112" s="130">
        <v>1.59</v>
      </c>
    </row>
    <row r="113" spans="2:22" ht="18" customHeight="1">
      <c r="B113" s="129" t="str">
        <f t="shared" si="6"/>
        <v>L 100x90x10</v>
      </c>
      <c r="C113" s="130" t="s">
        <v>206</v>
      </c>
      <c r="D113" s="130">
        <v>14.2</v>
      </c>
      <c r="E113" s="130">
        <v>18.100000000000001</v>
      </c>
      <c r="F113" s="130">
        <v>100</v>
      </c>
      <c r="G113" s="130">
        <v>90</v>
      </c>
      <c r="H113" s="130">
        <v>10</v>
      </c>
      <c r="I113" s="130">
        <v>10</v>
      </c>
      <c r="J113" s="130">
        <v>2.96</v>
      </c>
      <c r="K113" s="130">
        <v>2.4700000000000002</v>
      </c>
      <c r="L113" s="130">
        <v>7.04</v>
      </c>
      <c r="M113" s="130"/>
      <c r="N113" s="130">
        <v>3.68</v>
      </c>
      <c r="O113" s="130">
        <v>172</v>
      </c>
      <c r="P113" s="130">
        <v>3.08</v>
      </c>
      <c r="Q113" s="130">
        <v>132</v>
      </c>
      <c r="R113" s="130">
        <v>2.69</v>
      </c>
      <c r="S113" s="130">
        <v>242</v>
      </c>
      <c r="T113" s="130">
        <v>3.66</v>
      </c>
      <c r="U113" s="130">
        <v>61.2</v>
      </c>
      <c r="V113" s="130">
        <v>1.84</v>
      </c>
    </row>
    <row r="114" spans="2:22" ht="18" customHeight="1">
      <c r="B114" s="129" t="str">
        <f t="shared" si="6"/>
        <v>L 100x90x13</v>
      </c>
      <c r="C114" s="130" t="s">
        <v>207</v>
      </c>
      <c r="D114" s="130">
        <v>18.100000000000001</v>
      </c>
      <c r="E114" s="130">
        <v>23.1</v>
      </c>
      <c r="F114" s="130">
        <v>100</v>
      </c>
      <c r="G114" s="130">
        <v>90</v>
      </c>
      <c r="H114" s="130">
        <v>13</v>
      </c>
      <c r="I114" s="130">
        <v>10</v>
      </c>
      <c r="J114" s="130">
        <v>3.08</v>
      </c>
      <c r="K114" s="130">
        <v>2.59</v>
      </c>
      <c r="L114" s="130">
        <v>7.03</v>
      </c>
      <c r="M114" s="130"/>
      <c r="N114" s="130">
        <v>3.71</v>
      </c>
      <c r="O114" s="130">
        <v>215</v>
      </c>
      <c r="P114" s="130">
        <v>3.05</v>
      </c>
      <c r="Q114" s="130">
        <v>164</v>
      </c>
      <c r="R114" s="130">
        <v>2.66</v>
      </c>
      <c r="S114" s="130">
        <v>301</v>
      </c>
      <c r="T114" s="130">
        <v>3.61</v>
      </c>
      <c r="U114" s="130">
        <v>77.099999999999994</v>
      </c>
      <c r="V114" s="130">
        <v>1.83</v>
      </c>
    </row>
    <row r="115" spans="2:22" ht="18" customHeight="1">
      <c r="B115" s="129" t="str">
        <f t="shared" si="6"/>
        <v>L 120x80x8</v>
      </c>
      <c r="C115" s="130" t="s">
        <v>208</v>
      </c>
      <c r="D115" s="130">
        <v>12.2</v>
      </c>
      <c r="E115" s="130">
        <v>15.5</v>
      </c>
      <c r="F115" s="130">
        <v>120</v>
      </c>
      <c r="G115" s="130">
        <v>80</v>
      </c>
      <c r="H115" s="130">
        <v>8</v>
      </c>
      <c r="I115" s="130">
        <v>11</v>
      </c>
      <c r="J115" s="130">
        <v>3.83</v>
      </c>
      <c r="K115" s="130">
        <v>1.87</v>
      </c>
      <c r="L115" s="130">
        <v>8.23</v>
      </c>
      <c r="M115" s="130"/>
      <c r="N115" s="130">
        <v>4.2300000000000004</v>
      </c>
      <c r="O115" s="130">
        <v>226</v>
      </c>
      <c r="P115" s="130">
        <v>3.82</v>
      </c>
      <c r="Q115" s="130">
        <v>80.8</v>
      </c>
      <c r="R115" s="130">
        <v>2.2799999999999998</v>
      </c>
      <c r="S115" s="130">
        <v>260</v>
      </c>
      <c r="T115" s="130">
        <v>4.0999999999999996</v>
      </c>
      <c r="U115" s="130">
        <v>46.6</v>
      </c>
      <c r="V115" s="130">
        <v>1.74</v>
      </c>
    </row>
    <row r="116" spans="2:22" ht="18" customHeight="1">
      <c r="B116" s="129" t="str">
        <f t="shared" si="6"/>
        <v>L 120x80x10</v>
      </c>
      <c r="C116" s="130" t="s">
        <v>209</v>
      </c>
      <c r="D116" s="130">
        <v>15</v>
      </c>
      <c r="E116" s="130">
        <v>19.100000000000001</v>
      </c>
      <c r="F116" s="130">
        <v>120</v>
      </c>
      <c r="G116" s="130">
        <v>80</v>
      </c>
      <c r="H116" s="130">
        <v>10</v>
      </c>
      <c r="I116" s="130">
        <v>11</v>
      </c>
      <c r="J116" s="130">
        <v>3.92</v>
      </c>
      <c r="K116" s="130">
        <v>1.95</v>
      </c>
      <c r="L116" s="130">
        <v>8.19</v>
      </c>
      <c r="M116" s="130"/>
      <c r="N116" s="130">
        <v>4.21</v>
      </c>
      <c r="O116" s="130">
        <v>276</v>
      </c>
      <c r="P116" s="130">
        <v>3.8</v>
      </c>
      <c r="Q116" s="130">
        <v>98.1</v>
      </c>
      <c r="R116" s="130">
        <v>2.2599999999999998</v>
      </c>
      <c r="S116" s="130">
        <v>317</v>
      </c>
      <c r="T116" s="130">
        <v>4.07</v>
      </c>
      <c r="U116" s="130">
        <v>56.8</v>
      </c>
      <c r="V116" s="130">
        <v>1.72</v>
      </c>
    </row>
    <row r="117" spans="2:22" ht="18" customHeight="1">
      <c r="B117" s="129" t="str">
        <f t="shared" si="6"/>
        <v>L 120x80x12</v>
      </c>
      <c r="C117" s="130" t="s">
        <v>210</v>
      </c>
      <c r="D117" s="130">
        <v>17.8</v>
      </c>
      <c r="E117" s="130">
        <v>22.7</v>
      </c>
      <c r="F117" s="130">
        <v>120</v>
      </c>
      <c r="G117" s="130">
        <v>80</v>
      </c>
      <c r="H117" s="130">
        <v>12</v>
      </c>
      <c r="I117" s="130">
        <v>11</v>
      </c>
      <c r="J117" s="130">
        <v>4</v>
      </c>
      <c r="K117" s="130">
        <v>2.0299999999999998</v>
      </c>
      <c r="L117" s="130">
        <v>8.15</v>
      </c>
      <c r="M117" s="130"/>
      <c r="N117" s="130">
        <v>4.2</v>
      </c>
      <c r="O117" s="130">
        <v>323</v>
      </c>
      <c r="P117" s="130">
        <v>3.77</v>
      </c>
      <c r="Q117" s="130">
        <v>114</v>
      </c>
      <c r="R117" s="130">
        <v>2.2400000000000002</v>
      </c>
      <c r="S117" s="130">
        <v>371</v>
      </c>
      <c r="T117" s="130">
        <v>4.04</v>
      </c>
      <c r="U117" s="130">
        <v>66.7</v>
      </c>
      <c r="V117" s="130">
        <v>1.71</v>
      </c>
    </row>
    <row r="118" spans="2:22" ht="18" customHeight="1">
      <c r="B118" s="129" t="str">
        <f t="shared" si="6"/>
        <v>L 125x75x8</v>
      </c>
      <c r="C118" s="114" t="s">
        <v>211</v>
      </c>
      <c r="D118" s="130">
        <v>12.2</v>
      </c>
      <c r="E118" s="130">
        <v>155</v>
      </c>
      <c r="F118" s="130">
        <v>125</v>
      </c>
      <c r="G118" s="130">
        <v>75</v>
      </c>
      <c r="H118" s="130">
        <v>8</v>
      </c>
      <c r="I118" s="130">
        <v>11</v>
      </c>
      <c r="J118" s="130">
        <v>4.1399999999999997</v>
      </c>
      <c r="K118" s="130">
        <v>1.68</v>
      </c>
      <c r="L118" s="130">
        <v>8.44</v>
      </c>
      <c r="M118" s="130"/>
      <c r="N118" s="130">
        <v>4.2</v>
      </c>
      <c r="O118" s="130">
        <v>247</v>
      </c>
      <c r="P118" s="130">
        <v>4</v>
      </c>
      <c r="Q118" s="130">
        <v>67.599999999999994</v>
      </c>
      <c r="R118" s="130">
        <v>2.09</v>
      </c>
      <c r="S118" s="130">
        <v>274</v>
      </c>
      <c r="T118" s="130">
        <v>4.21</v>
      </c>
      <c r="U118" s="130">
        <v>40.9</v>
      </c>
      <c r="V118" s="130">
        <v>1.63</v>
      </c>
    </row>
    <row r="119" spans="2:22" ht="18" customHeight="1">
      <c r="B119" s="129" t="str">
        <f t="shared" si="6"/>
        <v>L 125x74x10</v>
      </c>
      <c r="C119" s="114" t="s">
        <v>212</v>
      </c>
      <c r="D119" s="130">
        <v>15</v>
      </c>
      <c r="E119" s="130">
        <v>19.100000000000001</v>
      </c>
      <c r="F119" s="130">
        <v>125</v>
      </c>
      <c r="G119" s="130">
        <v>75</v>
      </c>
      <c r="H119" s="130">
        <v>10</v>
      </c>
      <c r="I119" s="130">
        <v>11</v>
      </c>
      <c r="J119" s="130">
        <v>4.2300000000000004</v>
      </c>
      <c r="K119" s="130">
        <v>1.76</v>
      </c>
      <c r="L119" s="130">
        <v>8.39</v>
      </c>
      <c r="M119" s="130"/>
      <c r="N119" s="130">
        <v>4.17</v>
      </c>
      <c r="O119" s="130">
        <v>302</v>
      </c>
      <c r="P119" s="130">
        <v>3.97</v>
      </c>
      <c r="Q119" s="130">
        <v>82.1</v>
      </c>
      <c r="R119" s="130">
        <v>2.0699999999999998</v>
      </c>
      <c r="S119" s="130">
        <v>334</v>
      </c>
      <c r="T119" s="130">
        <v>4.18</v>
      </c>
      <c r="U119" s="130">
        <v>49.9</v>
      </c>
      <c r="V119" s="130">
        <v>1.61</v>
      </c>
    </row>
    <row r="120" spans="2:22" ht="18" customHeight="1">
      <c r="B120" s="129" t="str">
        <f t="shared" si="6"/>
        <v>L 125x75x12</v>
      </c>
      <c r="C120" s="114" t="s">
        <v>213</v>
      </c>
      <c r="D120" s="130">
        <v>17.8</v>
      </c>
      <c r="E120" s="130">
        <v>22.7</v>
      </c>
      <c r="F120" s="130">
        <v>125</v>
      </c>
      <c r="G120" s="130">
        <v>75</v>
      </c>
      <c r="H120" s="130">
        <v>12</v>
      </c>
      <c r="I120" s="130">
        <v>11</v>
      </c>
      <c r="J120" s="130">
        <v>4.3099999999999996</v>
      </c>
      <c r="K120" s="130">
        <v>1.84</v>
      </c>
      <c r="L120" s="130">
        <v>8.33</v>
      </c>
      <c r="M120" s="130"/>
      <c r="N120" s="130">
        <v>4.1500000000000004</v>
      </c>
      <c r="O120" s="130">
        <v>354</v>
      </c>
      <c r="P120" s="130">
        <v>3.95</v>
      </c>
      <c r="Q120" s="130">
        <v>95.5</v>
      </c>
      <c r="R120" s="130">
        <v>2.0499999999999998</v>
      </c>
      <c r="S120" s="130">
        <v>391</v>
      </c>
      <c r="T120" s="130">
        <v>4.1500000000000004</v>
      </c>
      <c r="U120" s="130">
        <v>58.5</v>
      </c>
      <c r="V120" s="130">
        <v>1.61</v>
      </c>
    </row>
    <row r="121" spans="2:22" ht="18" customHeight="1">
      <c r="B121" s="129" t="str">
        <f t="shared" si="6"/>
        <v>L 125x90x10</v>
      </c>
      <c r="C121" s="114" t="s">
        <v>214</v>
      </c>
      <c r="D121" s="130">
        <v>16.2</v>
      </c>
      <c r="E121" s="130">
        <v>20.6</v>
      </c>
      <c r="F121" s="130">
        <v>125</v>
      </c>
      <c r="G121" s="130">
        <v>90</v>
      </c>
      <c r="H121" s="130">
        <v>10</v>
      </c>
      <c r="I121" s="130">
        <v>11</v>
      </c>
      <c r="J121" s="130">
        <v>3.95</v>
      </c>
      <c r="K121" s="130">
        <v>2.23</v>
      </c>
      <c r="L121" s="130">
        <v>8.6300000000000008</v>
      </c>
      <c r="M121" s="130"/>
      <c r="N121" s="130">
        <v>4.5199999999999996</v>
      </c>
      <c r="O121" s="130">
        <v>321</v>
      </c>
      <c r="P121" s="130">
        <v>3.95</v>
      </c>
      <c r="Q121" s="130">
        <v>140</v>
      </c>
      <c r="R121" s="130">
        <v>2.6</v>
      </c>
      <c r="S121" s="130">
        <v>384</v>
      </c>
      <c r="T121" s="130">
        <v>4.3099999999999996</v>
      </c>
      <c r="U121" s="130">
        <v>77.400000000000006</v>
      </c>
      <c r="V121" s="130">
        <v>1.94</v>
      </c>
    </row>
    <row r="122" spans="2:22" ht="18" customHeight="1">
      <c r="B122" s="129" t="str">
        <f t="shared" si="6"/>
        <v>L 125x90x13</v>
      </c>
      <c r="C122" s="114" t="s">
        <v>215</v>
      </c>
      <c r="D122" s="130">
        <v>20.7</v>
      </c>
      <c r="E122" s="130">
        <v>26.4</v>
      </c>
      <c r="F122" s="130">
        <v>125</v>
      </c>
      <c r="G122" s="130">
        <v>90</v>
      </c>
      <c r="H122" s="130">
        <v>13</v>
      </c>
      <c r="I122" s="130">
        <v>11</v>
      </c>
      <c r="J122" s="130">
        <v>4.08</v>
      </c>
      <c r="K122" s="130">
        <v>2.34</v>
      </c>
      <c r="L122" s="130">
        <v>8.58</v>
      </c>
      <c r="M122" s="130"/>
      <c r="N122" s="130">
        <v>4.5199999999999996</v>
      </c>
      <c r="O122" s="130">
        <v>404</v>
      </c>
      <c r="P122" s="130">
        <v>3.91</v>
      </c>
      <c r="Q122" s="130">
        <v>175</v>
      </c>
      <c r="R122" s="130">
        <v>2.57</v>
      </c>
      <c r="S122" s="130">
        <v>481</v>
      </c>
      <c r="T122" s="130">
        <v>4.2699999999999996</v>
      </c>
      <c r="U122" s="130">
        <v>97.4</v>
      </c>
      <c r="V122" s="130">
        <v>1.92</v>
      </c>
    </row>
    <row r="123" spans="2:22" ht="18" customHeight="1">
      <c r="B123" s="129" t="str">
        <f t="shared" si="6"/>
        <v>L 135x65x8</v>
      </c>
      <c r="C123" s="114" t="s">
        <v>216</v>
      </c>
      <c r="D123" s="130">
        <v>12.2</v>
      </c>
      <c r="E123" s="130">
        <v>15.5</v>
      </c>
      <c r="F123" s="130">
        <v>135</v>
      </c>
      <c r="G123" s="130">
        <v>65</v>
      </c>
      <c r="H123" s="130">
        <v>8</v>
      </c>
      <c r="I123" s="130">
        <v>11</v>
      </c>
      <c r="J123" s="130">
        <v>4.78</v>
      </c>
      <c r="K123" s="130">
        <v>1.34</v>
      </c>
      <c r="L123" s="130">
        <v>8.7899999999999991</v>
      </c>
      <c r="M123" s="130"/>
      <c r="N123" s="130">
        <v>3.95</v>
      </c>
      <c r="O123" s="130">
        <v>291</v>
      </c>
      <c r="P123" s="130">
        <v>4.34</v>
      </c>
      <c r="Q123" s="130">
        <v>45.2</v>
      </c>
      <c r="R123" s="130">
        <v>1.71</v>
      </c>
      <c r="S123" s="130">
        <v>307</v>
      </c>
      <c r="T123" s="130">
        <v>4.45</v>
      </c>
      <c r="U123" s="130">
        <v>29.4</v>
      </c>
      <c r="V123" s="130">
        <v>1.38</v>
      </c>
    </row>
    <row r="124" spans="2:22" ht="18" customHeight="1">
      <c r="B124" s="129" t="str">
        <f t="shared" si="6"/>
        <v>L 135x65x10</v>
      </c>
      <c r="C124" s="114" t="s">
        <v>217</v>
      </c>
      <c r="D124" s="130">
        <v>15</v>
      </c>
      <c r="E124" s="130">
        <v>19.100000000000001</v>
      </c>
      <c r="F124" s="130">
        <v>135</v>
      </c>
      <c r="G124" s="130">
        <v>65</v>
      </c>
      <c r="H124" s="130">
        <v>10</v>
      </c>
      <c r="I124" s="130">
        <v>11</v>
      </c>
      <c r="J124" s="130">
        <v>4.88</v>
      </c>
      <c r="K124" s="130">
        <v>1.42</v>
      </c>
      <c r="L124" s="130">
        <v>8.7200000000000006</v>
      </c>
      <c r="M124" s="130"/>
      <c r="N124" s="130">
        <v>3.91</v>
      </c>
      <c r="O124" s="130">
        <v>356</v>
      </c>
      <c r="P124" s="130">
        <v>4.3099999999999996</v>
      </c>
      <c r="Q124" s="130">
        <v>54.7</v>
      </c>
      <c r="R124" s="130">
        <v>1.69</v>
      </c>
      <c r="S124" s="130">
        <v>375</v>
      </c>
      <c r="T124" s="130">
        <v>4.43</v>
      </c>
      <c r="U124" s="130">
        <v>35.9</v>
      </c>
      <c r="V124" s="130">
        <v>1.37</v>
      </c>
    </row>
    <row r="125" spans="2:22" ht="18" customHeight="1">
      <c r="B125" s="129" t="str">
        <f t="shared" si="6"/>
        <v>L 150x75x9</v>
      </c>
      <c r="C125" s="114" t="s">
        <v>218</v>
      </c>
      <c r="D125" s="130">
        <v>15.4</v>
      </c>
      <c r="E125" s="130">
        <v>19.600000000000001</v>
      </c>
      <c r="F125" s="130">
        <v>150</v>
      </c>
      <c r="G125" s="130">
        <v>75</v>
      </c>
      <c r="H125" s="130">
        <v>9</v>
      </c>
      <c r="I125" s="130">
        <v>12</v>
      </c>
      <c r="J125" s="130">
        <v>5.26</v>
      </c>
      <c r="K125" s="130">
        <v>1.57</v>
      </c>
      <c r="L125" s="130">
        <v>9.82</v>
      </c>
      <c r="M125" s="130"/>
      <c r="N125" s="130">
        <v>4.5</v>
      </c>
      <c r="O125" s="130">
        <v>455</v>
      </c>
      <c r="P125" s="130">
        <v>4.82</v>
      </c>
      <c r="Q125" s="130">
        <v>77.900000000000006</v>
      </c>
      <c r="R125" s="130">
        <v>1.99</v>
      </c>
      <c r="S125" s="130">
        <v>483</v>
      </c>
      <c r="T125" s="130">
        <v>4.96</v>
      </c>
      <c r="U125" s="130">
        <v>50.2</v>
      </c>
      <c r="V125" s="130">
        <v>1.6</v>
      </c>
    </row>
    <row r="126" spans="2:22" ht="18" customHeight="1">
      <c r="B126" s="129" t="str">
        <f t="shared" si="6"/>
        <v>L 150x75x10</v>
      </c>
      <c r="C126" s="114" t="s">
        <v>219</v>
      </c>
      <c r="D126" s="130">
        <v>17</v>
      </c>
      <c r="E126" s="130">
        <v>21.7</v>
      </c>
      <c r="F126" s="130">
        <v>150</v>
      </c>
      <c r="G126" s="130">
        <v>75</v>
      </c>
      <c r="H126" s="130">
        <v>10</v>
      </c>
      <c r="I126" s="130">
        <v>12</v>
      </c>
      <c r="J126" s="130">
        <v>5.31</v>
      </c>
      <c r="K126" s="130">
        <v>1.61</v>
      </c>
      <c r="L126" s="130">
        <v>9.7899999999999991</v>
      </c>
      <c r="M126" s="130"/>
      <c r="N126" s="130">
        <v>4.4800000000000004</v>
      </c>
      <c r="O126" s="130">
        <v>501</v>
      </c>
      <c r="P126" s="130">
        <v>4.8099999999999996</v>
      </c>
      <c r="Q126" s="130">
        <v>85.6</v>
      </c>
      <c r="R126" s="130">
        <v>1.99</v>
      </c>
      <c r="S126" s="130">
        <v>531</v>
      </c>
      <c r="T126" s="130">
        <v>4.95</v>
      </c>
      <c r="U126" s="130">
        <v>55.1</v>
      </c>
      <c r="V126" s="130">
        <v>1.6</v>
      </c>
    </row>
    <row r="127" spans="2:22" ht="18" customHeight="1">
      <c r="B127" s="129" t="str">
        <f t="shared" si="6"/>
        <v>L 150x75x12</v>
      </c>
      <c r="C127" s="114" t="s">
        <v>220</v>
      </c>
      <c r="D127" s="130">
        <v>20.2</v>
      </c>
      <c r="E127" s="130">
        <v>25.7</v>
      </c>
      <c r="F127" s="130">
        <v>150</v>
      </c>
      <c r="G127" s="130">
        <v>75</v>
      </c>
      <c r="H127" s="130">
        <v>12</v>
      </c>
      <c r="I127" s="130">
        <v>12</v>
      </c>
      <c r="J127" s="130">
        <v>5.4</v>
      </c>
      <c r="K127" s="130">
        <v>1.69</v>
      </c>
      <c r="L127" s="130">
        <v>9.7200000000000006</v>
      </c>
      <c r="M127" s="130"/>
      <c r="N127" s="130">
        <v>4.4400000000000004</v>
      </c>
      <c r="O127" s="130">
        <v>588</v>
      </c>
      <c r="P127" s="130">
        <v>4.78</v>
      </c>
      <c r="Q127" s="130">
        <v>99.6</v>
      </c>
      <c r="R127" s="130">
        <v>1.97</v>
      </c>
      <c r="S127" s="130">
        <v>623</v>
      </c>
      <c r="T127" s="130">
        <v>4.92</v>
      </c>
      <c r="U127" s="130">
        <v>64.7</v>
      </c>
      <c r="V127" s="130">
        <v>1.59</v>
      </c>
    </row>
    <row r="128" spans="2:22" ht="18" customHeight="1">
      <c r="B128" s="129" t="str">
        <f t="shared" si="6"/>
        <v>L 150x75x15</v>
      </c>
      <c r="C128" s="114" t="s">
        <v>221</v>
      </c>
      <c r="D128" s="130">
        <v>24.8</v>
      </c>
      <c r="E128" s="130">
        <v>31.7</v>
      </c>
      <c r="F128" s="130">
        <v>150</v>
      </c>
      <c r="G128" s="130">
        <v>75</v>
      </c>
      <c r="H128" s="130">
        <v>15</v>
      </c>
      <c r="I128" s="130">
        <v>12</v>
      </c>
      <c r="J128" s="130">
        <v>5.52</v>
      </c>
      <c r="K128" s="130">
        <v>1.81</v>
      </c>
      <c r="L128" s="130">
        <v>9.6300000000000008</v>
      </c>
      <c r="M128" s="130"/>
      <c r="N128" s="130">
        <v>4.4000000000000004</v>
      </c>
      <c r="O128" s="130">
        <v>713</v>
      </c>
      <c r="P128" s="130">
        <v>4.75</v>
      </c>
      <c r="Q128" s="130">
        <v>119</v>
      </c>
      <c r="R128" s="130">
        <v>1.94</v>
      </c>
      <c r="S128" s="130">
        <v>753</v>
      </c>
      <c r="T128" s="130">
        <v>4.88</v>
      </c>
      <c r="U128" s="130">
        <v>78.599999999999994</v>
      </c>
      <c r="V128" s="130">
        <v>1.58</v>
      </c>
    </row>
    <row r="129" spans="2:22" ht="18" customHeight="1">
      <c r="B129" s="129" t="str">
        <f t="shared" si="6"/>
        <v>L 150x90x10</v>
      </c>
      <c r="C129" s="114" t="s">
        <v>222</v>
      </c>
      <c r="D129" s="130">
        <v>18.2</v>
      </c>
      <c r="E129" s="130">
        <v>23.2</v>
      </c>
      <c r="F129" s="130">
        <v>150</v>
      </c>
      <c r="G129" s="130">
        <v>90</v>
      </c>
      <c r="H129" s="130">
        <v>10</v>
      </c>
      <c r="I129" s="130">
        <v>12</v>
      </c>
      <c r="J129" s="130">
        <v>5</v>
      </c>
      <c r="K129" s="130">
        <v>2.04</v>
      </c>
      <c r="L129" s="130">
        <v>10.1</v>
      </c>
      <c r="M129" s="130"/>
      <c r="N129" s="130">
        <v>5.03</v>
      </c>
      <c r="O129" s="130">
        <v>533</v>
      </c>
      <c r="P129" s="130">
        <v>4.8</v>
      </c>
      <c r="Q129" s="130">
        <v>146</v>
      </c>
      <c r="R129" s="130">
        <v>2.5099999999999998</v>
      </c>
      <c r="S129" s="130">
        <v>591</v>
      </c>
      <c r="T129" s="130">
        <v>5.05</v>
      </c>
      <c r="U129" s="130">
        <v>88.3</v>
      </c>
      <c r="V129" s="130">
        <v>1.95</v>
      </c>
    </row>
    <row r="130" spans="2:22" ht="18" customHeight="1">
      <c r="B130" s="129" t="str">
        <f t="shared" si="6"/>
        <v>L 150x90x12</v>
      </c>
      <c r="C130" s="114" t="s">
        <v>223</v>
      </c>
      <c r="D130" s="130">
        <v>21.6</v>
      </c>
      <c r="E130" s="130">
        <v>27.5</v>
      </c>
      <c r="F130" s="130">
        <v>150</v>
      </c>
      <c r="G130" s="130">
        <v>90</v>
      </c>
      <c r="H130" s="130">
        <v>12</v>
      </c>
      <c r="I130" s="130">
        <v>12</v>
      </c>
      <c r="J130" s="130">
        <v>5.08</v>
      </c>
      <c r="K130" s="130">
        <v>2.12</v>
      </c>
      <c r="L130" s="130">
        <v>10.1</v>
      </c>
      <c r="M130" s="130"/>
      <c r="N130" s="130">
        <v>5</v>
      </c>
      <c r="O130" s="130">
        <v>627</v>
      </c>
      <c r="P130" s="130">
        <v>4.7699999999999996</v>
      </c>
      <c r="Q130" s="130">
        <v>171</v>
      </c>
      <c r="R130" s="130">
        <v>2.4900000000000002</v>
      </c>
      <c r="S130" s="130">
        <v>694</v>
      </c>
      <c r="T130" s="130">
        <v>5.0199999999999996</v>
      </c>
      <c r="U130" s="130">
        <v>104</v>
      </c>
      <c r="V130" s="130">
        <v>1.94</v>
      </c>
    </row>
    <row r="131" spans="2:22" ht="18" customHeight="1">
      <c r="B131" s="129" t="str">
        <f t="shared" si="6"/>
        <v>L 150x90x15</v>
      </c>
      <c r="C131" s="114" t="s">
        <v>224</v>
      </c>
      <c r="D131" s="130">
        <v>26.6</v>
      </c>
      <c r="E131" s="130">
        <v>33.9</v>
      </c>
      <c r="F131" s="130">
        <v>150</v>
      </c>
      <c r="G131" s="130">
        <v>90</v>
      </c>
      <c r="H131" s="130">
        <v>15</v>
      </c>
      <c r="I131" s="130">
        <v>12</v>
      </c>
      <c r="J131" s="130">
        <v>5.21</v>
      </c>
      <c r="K131" s="130">
        <v>2.23</v>
      </c>
      <c r="L131" s="130">
        <v>9.98</v>
      </c>
      <c r="M131" s="130"/>
      <c r="N131" s="130">
        <v>4.9800000000000004</v>
      </c>
      <c r="O131" s="130">
        <v>761</v>
      </c>
      <c r="P131" s="130">
        <v>4.74</v>
      </c>
      <c r="Q131" s="130">
        <v>205</v>
      </c>
      <c r="R131" s="130">
        <v>2.4500000000000002</v>
      </c>
      <c r="S131" s="130">
        <v>841</v>
      </c>
      <c r="T131" s="130">
        <v>4.9800000000000004</v>
      </c>
      <c r="U131" s="130">
        <v>126</v>
      </c>
      <c r="V131" s="130">
        <v>1.93</v>
      </c>
    </row>
    <row r="132" spans="2:22" ht="18" customHeight="1">
      <c r="B132" s="129" t="str">
        <f t="shared" si="6"/>
        <v>L 150x100x10</v>
      </c>
      <c r="C132" s="114" t="s">
        <v>225</v>
      </c>
      <c r="D132" s="130">
        <v>19</v>
      </c>
      <c r="E132" s="130">
        <v>24.2</v>
      </c>
      <c r="F132" s="130">
        <v>150</v>
      </c>
      <c r="G132" s="130">
        <v>100</v>
      </c>
      <c r="H132" s="130">
        <v>10</v>
      </c>
      <c r="I132" s="130">
        <v>12</v>
      </c>
      <c r="J132" s="130">
        <v>4.8099999999999996</v>
      </c>
      <c r="K132" s="130">
        <v>2.34</v>
      </c>
      <c r="L132" s="130">
        <v>10.3</v>
      </c>
      <c r="M132" s="130"/>
      <c r="N132" s="130">
        <v>5.29</v>
      </c>
      <c r="O132" s="130">
        <v>553</v>
      </c>
      <c r="P132" s="130">
        <v>4.79</v>
      </c>
      <c r="Q132" s="130">
        <v>199</v>
      </c>
      <c r="R132" s="130">
        <v>2.87</v>
      </c>
      <c r="S132" s="130">
        <v>637</v>
      </c>
      <c r="T132" s="130">
        <v>5.13</v>
      </c>
      <c r="U132" s="130">
        <v>144</v>
      </c>
      <c r="V132" s="130">
        <v>2.17</v>
      </c>
    </row>
    <row r="133" spans="2:22" ht="18" customHeight="1">
      <c r="B133" s="129" t="str">
        <f t="shared" si="6"/>
        <v>L 150x100x12</v>
      </c>
      <c r="C133" s="114" t="s">
        <v>226</v>
      </c>
      <c r="D133" s="130">
        <v>22.5</v>
      </c>
      <c r="E133" s="130">
        <v>28.7</v>
      </c>
      <c r="F133" s="130">
        <v>150</v>
      </c>
      <c r="G133" s="130">
        <v>100</v>
      </c>
      <c r="H133" s="130">
        <v>12</v>
      </c>
      <c r="I133" s="130">
        <v>12</v>
      </c>
      <c r="J133" s="130">
        <v>4.8899999999999997</v>
      </c>
      <c r="K133" s="130">
        <v>2.42</v>
      </c>
      <c r="L133" s="130">
        <v>10.199999999999999</v>
      </c>
      <c r="M133" s="130"/>
      <c r="N133" s="130">
        <v>5.28</v>
      </c>
      <c r="O133" s="130">
        <v>651</v>
      </c>
      <c r="P133" s="130">
        <v>4.76</v>
      </c>
      <c r="Q133" s="130">
        <v>233</v>
      </c>
      <c r="R133" s="130">
        <v>2.85</v>
      </c>
      <c r="S133" s="130">
        <v>749</v>
      </c>
      <c r="T133" s="130">
        <v>5.1100000000000003</v>
      </c>
      <c r="U133" s="130">
        <v>134</v>
      </c>
      <c r="V133" s="130">
        <v>2.16</v>
      </c>
    </row>
    <row r="134" spans="2:22" ht="18" customHeight="1">
      <c r="B134" s="129" t="str">
        <f t="shared" si="6"/>
        <v>L 150x100x16</v>
      </c>
      <c r="C134" s="114" t="s">
        <v>227</v>
      </c>
      <c r="D134" s="130">
        <v>29.5</v>
      </c>
      <c r="E134" s="130">
        <v>37.6</v>
      </c>
      <c r="F134" s="130">
        <v>150</v>
      </c>
      <c r="G134" s="130">
        <v>100</v>
      </c>
      <c r="H134" s="130">
        <v>16</v>
      </c>
      <c r="I134" s="130">
        <v>12</v>
      </c>
      <c r="J134" s="130">
        <v>5.0599999999999996</v>
      </c>
      <c r="K134" s="130">
        <v>2.58</v>
      </c>
      <c r="L134" s="130">
        <v>10.199999999999999</v>
      </c>
      <c r="M134" s="130"/>
      <c r="N134" s="130">
        <v>5.26</v>
      </c>
      <c r="O134" s="130">
        <v>834</v>
      </c>
      <c r="P134" s="130">
        <v>4.71</v>
      </c>
      <c r="Q134" s="130">
        <v>296</v>
      </c>
      <c r="R134" s="130">
        <v>2.8</v>
      </c>
      <c r="S134" s="130">
        <v>957</v>
      </c>
      <c r="T134" s="130">
        <v>5.05</v>
      </c>
      <c r="U134" s="130">
        <v>173</v>
      </c>
      <c r="V134" s="130">
        <v>2.14</v>
      </c>
    </row>
    <row r="135" spans="2:22" ht="18" customHeight="1">
      <c r="B135" s="129" t="str">
        <f t="shared" si="6"/>
        <v>L 180x90x10</v>
      </c>
      <c r="C135" s="114" t="s">
        <v>228</v>
      </c>
      <c r="D135" s="130">
        <v>20.5</v>
      </c>
      <c r="E135" s="130">
        <v>26.2</v>
      </c>
      <c r="F135" s="130">
        <v>180</v>
      </c>
      <c r="G135" s="130">
        <v>90</v>
      </c>
      <c r="H135" s="130">
        <v>10</v>
      </c>
      <c r="I135" s="130">
        <v>12</v>
      </c>
      <c r="J135" s="130">
        <v>6.31</v>
      </c>
      <c r="K135" s="130">
        <v>1.86</v>
      </c>
      <c r="L135" s="130">
        <v>11.8</v>
      </c>
      <c r="M135" s="130"/>
      <c r="N135" s="130">
        <v>5.42</v>
      </c>
      <c r="O135" s="130">
        <v>882</v>
      </c>
      <c r="P135" s="130">
        <v>5.81</v>
      </c>
      <c r="Q135" s="130">
        <v>153</v>
      </c>
      <c r="R135" s="130">
        <v>2.42</v>
      </c>
      <c r="S135" s="130">
        <v>937</v>
      </c>
      <c r="T135" s="130">
        <v>5.99</v>
      </c>
      <c r="U135" s="130">
        <v>97.9</v>
      </c>
      <c r="V135" s="130">
        <v>1.94</v>
      </c>
    </row>
    <row r="136" spans="2:22" ht="18" customHeight="1">
      <c r="B136" s="129" t="str">
        <f t="shared" ref="B136:B143" si="7">"L "&amp;C136</f>
        <v>L 200x100x10</v>
      </c>
      <c r="C136" s="114" t="s">
        <v>229</v>
      </c>
      <c r="D136" s="130">
        <v>23</v>
      </c>
      <c r="E136" s="130">
        <v>29.2</v>
      </c>
      <c r="F136" s="130">
        <v>200</v>
      </c>
      <c r="G136" s="130">
        <v>100</v>
      </c>
      <c r="H136" s="130">
        <v>10</v>
      </c>
      <c r="I136" s="130">
        <v>15</v>
      </c>
      <c r="J136" s="130">
        <v>6.93</v>
      </c>
      <c r="K136" s="130">
        <v>2.0099999999999998</v>
      </c>
      <c r="L136" s="130">
        <v>13.2</v>
      </c>
      <c r="M136" s="130"/>
      <c r="N136" s="130">
        <v>6.05</v>
      </c>
      <c r="O136" s="130">
        <v>1220</v>
      </c>
      <c r="P136" s="130">
        <v>6.46</v>
      </c>
      <c r="Q136" s="130">
        <v>210</v>
      </c>
      <c r="R136" s="130">
        <v>2.68</v>
      </c>
      <c r="S136" s="130">
        <v>1290</v>
      </c>
      <c r="T136" s="130">
        <v>6.65</v>
      </c>
      <c r="U136" s="130">
        <v>135</v>
      </c>
      <c r="V136" s="130">
        <v>2.15</v>
      </c>
    </row>
    <row r="137" spans="2:22" ht="18" customHeight="1">
      <c r="B137" s="129" t="str">
        <f t="shared" si="7"/>
        <v>L 200x100x12</v>
      </c>
      <c r="C137" s="114" t="s">
        <v>230</v>
      </c>
      <c r="D137" s="130">
        <v>27.3</v>
      </c>
      <c r="E137" s="130">
        <v>34.799999999999997</v>
      </c>
      <c r="F137" s="130">
        <v>200</v>
      </c>
      <c r="G137" s="130">
        <v>100</v>
      </c>
      <c r="H137" s="130">
        <v>12</v>
      </c>
      <c r="I137" s="130">
        <v>15</v>
      </c>
      <c r="J137" s="130">
        <v>7.03</v>
      </c>
      <c r="K137" s="130">
        <v>2.1</v>
      </c>
      <c r="L137" s="130">
        <v>13.1</v>
      </c>
      <c r="M137" s="130"/>
      <c r="N137" s="130">
        <v>6</v>
      </c>
      <c r="O137" s="130">
        <v>1440</v>
      </c>
      <c r="P137" s="130">
        <v>6.43</v>
      </c>
      <c r="Q137" s="130">
        <v>247</v>
      </c>
      <c r="R137" s="130">
        <v>2.67</v>
      </c>
      <c r="S137" s="130">
        <v>1530</v>
      </c>
      <c r="T137" s="130">
        <v>6.63</v>
      </c>
      <c r="U137" s="130">
        <v>159</v>
      </c>
      <c r="V137" s="130">
        <v>2.14</v>
      </c>
    </row>
    <row r="138" spans="2:22" ht="18" customHeight="1">
      <c r="B138" s="129" t="str">
        <f t="shared" si="7"/>
        <v>L 200x100x14</v>
      </c>
      <c r="C138" s="114" t="s">
        <v>231</v>
      </c>
      <c r="D138" s="130">
        <v>31.6</v>
      </c>
      <c r="E138" s="130">
        <v>40.299999999999997</v>
      </c>
      <c r="F138" s="130">
        <v>200</v>
      </c>
      <c r="G138" s="130">
        <v>100</v>
      </c>
      <c r="H138" s="130">
        <v>14</v>
      </c>
      <c r="I138" s="130">
        <v>15</v>
      </c>
      <c r="J138" s="130">
        <v>7.12</v>
      </c>
      <c r="K138" s="130">
        <v>2.1800000000000002</v>
      </c>
      <c r="L138" s="130">
        <v>13</v>
      </c>
      <c r="M138" s="130"/>
      <c r="N138" s="130">
        <v>5.96</v>
      </c>
      <c r="O138" s="130">
        <v>1650</v>
      </c>
      <c r="P138" s="130">
        <v>6.41</v>
      </c>
      <c r="Q138" s="130">
        <v>282</v>
      </c>
      <c r="R138" s="130">
        <v>2.65</v>
      </c>
      <c r="S138" s="130">
        <v>1750</v>
      </c>
      <c r="T138" s="130">
        <v>6.6</v>
      </c>
      <c r="U138" s="130">
        <v>182</v>
      </c>
      <c r="V138" s="130">
        <v>2.13</v>
      </c>
    </row>
    <row r="139" spans="2:22" ht="18" customHeight="1">
      <c r="B139" s="129" t="str">
        <f t="shared" si="7"/>
        <v>L 200x100x16</v>
      </c>
      <c r="C139" s="114" t="s">
        <v>232</v>
      </c>
      <c r="D139" s="130">
        <v>35.9</v>
      </c>
      <c r="E139" s="130">
        <v>45.7</v>
      </c>
      <c r="F139" s="130">
        <v>200</v>
      </c>
      <c r="G139" s="130">
        <v>100</v>
      </c>
      <c r="H139" s="130">
        <v>16</v>
      </c>
      <c r="I139" s="130">
        <v>15</v>
      </c>
      <c r="J139" s="130">
        <v>7.2</v>
      </c>
      <c r="K139" s="130">
        <v>2.2599999999999998</v>
      </c>
      <c r="L139" s="130">
        <v>13</v>
      </c>
      <c r="M139" s="130"/>
      <c r="N139" s="130">
        <v>5.93</v>
      </c>
      <c r="O139" s="130">
        <v>1861</v>
      </c>
      <c r="P139" s="130">
        <v>6.38</v>
      </c>
      <c r="Q139" s="130">
        <v>316</v>
      </c>
      <c r="R139" s="130">
        <v>2.63</v>
      </c>
      <c r="S139" s="130">
        <v>1972</v>
      </c>
      <c r="T139" s="130">
        <v>6.57</v>
      </c>
      <c r="U139" s="130">
        <v>205</v>
      </c>
      <c r="V139" s="130">
        <v>2.12</v>
      </c>
    </row>
    <row r="140" spans="2:22" ht="18" customHeight="1">
      <c r="B140" s="129" t="str">
        <f t="shared" si="7"/>
        <v>L 200x150x12</v>
      </c>
      <c r="C140" s="114" t="s">
        <v>233</v>
      </c>
      <c r="D140" s="130">
        <v>32</v>
      </c>
      <c r="E140" s="130">
        <v>40.799999999999997</v>
      </c>
      <c r="F140" s="130">
        <v>200</v>
      </c>
      <c r="G140" s="130">
        <v>150</v>
      </c>
      <c r="H140" s="130">
        <v>12</v>
      </c>
      <c r="I140" s="130">
        <v>15</v>
      </c>
      <c r="J140" s="130">
        <v>6.08</v>
      </c>
      <c r="K140" s="130">
        <v>3.61</v>
      </c>
      <c r="L140" s="130">
        <v>13.9</v>
      </c>
      <c r="M140" s="130"/>
      <c r="N140" s="130">
        <v>7.34</v>
      </c>
      <c r="O140" s="130">
        <v>1650</v>
      </c>
      <c r="P140" s="130">
        <v>6.36</v>
      </c>
      <c r="Q140" s="130">
        <v>803</v>
      </c>
      <c r="R140" s="130">
        <v>4.4400000000000004</v>
      </c>
      <c r="S140" s="130">
        <v>2030</v>
      </c>
      <c r="T140" s="130">
        <v>7.04</v>
      </c>
      <c r="U140" s="130">
        <v>430</v>
      </c>
      <c r="V140" s="130">
        <v>3.25</v>
      </c>
    </row>
    <row r="141" spans="2:22" ht="18" customHeight="1">
      <c r="B141" s="129" t="str">
        <f t="shared" si="7"/>
        <v>L 200x150x15</v>
      </c>
      <c r="C141" s="114" t="s">
        <v>234</v>
      </c>
      <c r="D141" s="130">
        <v>39.6</v>
      </c>
      <c r="E141" s="130">
        <v>50.5</v>
      </c>
      <c r="F141" s="130">
        <v>200</v>
      </c>
      <c r="G141" s="130">
        <v>150</v>
      </c>
      <c r="H141" s="130">
        <v>15</v>
      </c>
      <c r="I141" s="130">
        <v>15</v>
      </c>
      <c r="J141" s="130">
        <v>6.21</v>
      </c>
      <c r="K141" s="130">
        <v>3.73</v>
      </c>
      <c r="L141" s="130">
        <v>13.9</v>
      </c>
      <c r="M141" s="130"/>
      <c r="N141" s="130">
        <v>7.33</v>
      </c>
      <c r="O141" s="130">
        <v>2022</v>
      </c>
      <c r="P141" s="130">
        <v>6.33</v>
      </c>
      <c r="Q141" s="130">
        <v>979</v>
      </c>
      <c r="R141" s="130">
        <v>4.4000000000000004</v>
      </c>
      <c r="S141" s="130">
        <v>2476</v>
      </c>
      <c r="T141" s="130">
        <v>7</v>
      </c>
      <c r="U141" s="130">
        <v>526</v>
      </c>
      <c r="V141" s="130">
        <v>3.23</v>
      </c>
    </row>
    <row r="142" spans="2:22" ht="18" customHeight="1">
      <c r="B142" s="129" t="str">
        <f t="shared" si="7"/>
        <v>L 200x150x20</v>
      </c>
      <c r="C142" s="114" t="s">
        <v>235</v>
      </c>
      <c r="D142" s="130">
        <v>52</v>
      </c>
      <c r="E142" s="130">
        <v>66.2</v>
      </c>
      <c r="F142" s="130">
        <v>200</v>
      </c>
      <c r="G142" s="130">
        <v>150</v>
      </c>
      <c r="H142" s="130">
        <v>20</v>
      </c>
      <c r="I142" s="130">
        <v>15</v>
      </c>
      <c r="J142" s="130">
        <v>6.41</v>
      </c>
      <c r="K142" s="130">
        <v>3.92</v>
      </c>
      <c r="L142" s="130">
        <v>13.8</v>
      </c>
      <c r="M142" s="130"/>
      <c r="N142" s="130">
        <v>7.34</v>
      </c>
      <c r="O142" s="130">
        <v>2602</v>
      </c>
      <c r="P142" s="130">
        <v>6.27</v>
      </c>
      <c r="Q142" s="130">
        <v>1252</v>
      </c>
      <c r="R142" s="130">
        <v>4.3499999999999996</v>
      </c>
      <c r="S142" s="130">
        <v>3175</v>
      </c>
      <c r="T142" s="130">
        <v>6.92</v>
      </c>
      <c r="U142" s="130">
        <v>678</v>
      </c>
      <c r="V142" s="130">
        <v>3.2</v>
      </c>
    </row>
    <row r="143" spans="2:22" ht="18" customHeight="1">
      <c r="B143" s="129" t="str">
        <f t="shared" si="7"/>
        <v>L 200x150x25</v>
      </c>
      <c r="C143" s="114" t="s">
        <v>236</v>
      </c>
      <c r="D143" s="130">
        <v>64</v>
      </c>
      <c r="E143" s="130">
        <v>81.5</v>
      </c>
      <c r="F143" s="130">
        <v>200</v>
      </c>
      <c r="G143" s="130">
        <v>150</v>
      </c>
      <c r="H143" s="130">
        <v>25</v>
      </c>
      <c r="I143" s="130">
        <v>15</v>
      </c>
      <c r="J143" s="130">
        <v>6.6</v>
      </c>
      <c r="K143" s="130">
        <v>4.1100000000000003</v>
      </c>
      <c r="L143" s="130">
        <v>13.7</v>
      </c>
      <c r="M143" s="130"/>
      <c r="N143" s="130">
        <v>7.36</v>
      </c>
      <c r="O143" s="130">
        <v>3139</v>
      </c>
      <c r="P143" s="130">
        <v>6.21</v>
      </c>
      <c r="Q143" s="130">
        <v>1501</v>
      </c>
      <c r="R143" s="130">
        <v>4.29</v>
      </c>
      <c r="S143" s="130">
        <v>3816</v>
      </c>
      <c r="T143" s="130">
        <v>6.84</v>
      </c>
      <c r="U143" s="130">
        <v>825</v>
      </c>
      <c r="V143" s="130">
        <v>3.18</v>
      </c>
    </row>
    <row r="146" spans="2:22" ht="18" customHeight="1">
      <c r="C146" s="408" t="s">
        <v>237</v>
      </c>
      <c r="D146" s="409"/>
      <c r="E146" s="409"/>
      <c r="F146" s="409"/>
      <c r="G146" s="409"/>
      <c r="H146" s="409"/>
      <c r="I146" s="409"/>
      <c r="J146" s="409"/>
      <c r="K146" s="409"/>
      <c r="L146" s="409"/>
      <c r="M146" s="409"/>
      <c r="N146" s="409"/>
      <c r="O146" s="409"/>
      <c r="P146" s="409"/>
      <c r="Q146" s="409"/>
      <c r="R146" s="409"/>
      <c r="S146" s="409"/>
      <c r="T146" s="409"/>
      <c r="U146" s="131"/>
      <c r="V146" s="131"/>
    </row>
    <row r="147" spans="2:22" ht="18" customHeight="1">
      <c r="C147" s="405" t="s">
        <v>153</v>
      </c>
      <c r="D147" s="405" t="s">
        <v>156</v>
      </c>
      <c r="E147" s="405"/>
      <c r="F147" s="405"/>
      <c r="G147" s="405"/>
      <c r="H147" s="409"/>
      <c r="I147" s="409"/>
      <c r="J147" s="405" t="s">
        <v>155</v>
      </c>
      <c r="K147" s="405" t="s">
        <v>154</v>
      </c>
      <c r="L147" s="405" t="s">
        <v>158</v>
      </c>
      <c r="M147" s="405"/>
      <c r="N147" s="405"/>
      <c r="O147" s="405"/>
      <c r="P147" s="405"/>
      <c r="Q147" s="405"/>
      <c r="R147" s="405"/>
      <c r="S147" s="405"/>
      <c r="T147" s="405" t="s">
        <v>281</v>
      </c>
      <c r="U147" s="122"/>
      <c r="V147" s="122"/>
    </row>
    <row r="148" spans="2:22" ht="18" customHeight="1">
      <c r="C148" s="405"/>
      <c r="D148" s="405"/>
      <c r="E148" s="405"/>
      <c r="F148" s="405"/>
      <c r="G148" s="405"/>
      <c r="H148" s="409"/>
      <c r="I148" s="409"/>
      <c r="J148" s="409"/>
      <c r="K148" s="405"/>
      <c r="L148" s="407" t="s">
        <v>159</v>
      </c>
      <c r="M148" s="407"/>
      <c r="N148" s="407"/>
      <c r="O148" s="407"/>
      <c r="P148" s="407"/>
      <c r="Q148" s="407" t="s">
        <v>160</v>
      </c>
      <c r="R148" s="407"/>
      <c r="S148" s="407"/>
      <c r="T148" s="406"/>
      <c r="U148" s="122"/>
      <c r="V148" s="122"/>
    </row>
    <row r="149" spans="2:22" ht="18" customHeight="1">
      <c r="C149" s="405"/>
      <c r="D149" s="121" t="s">
        <v>238</v>
      </c>
      <c r="E149" s="121" t="s">
        <v>239</v>
      </c>
      <c r="F149" s="121" t="s">
        <v>240</v>
      </c>
      <c r="G149" s="121" t="s">
        <v>164</v>
      </c>
      <c r="H149" s="121" t="s">
        <v>77</v>
      </c>
      <c r="I149" s="121" t="s">
        <v>241</v>
      </c>
      <c r="J149" s="409"/>
      <c r="K149" s="409"/>
      <c r="L149" s="121" t="s">
        <v>273</v>
      </c>
      <c r="M149" s="121"/>
      <c r="N149" s="132" t="s">
        <v>242</v>
      </c>
      <c r="O149" s="121" t="s">
        <v>274</v>
      </c>
      <c r="P149" s="121" t="s">
        <v>282</v>
      </c>
      <c r="Q149" s="121" t="s">
        <v>275</v>
      </c>
      <c r="R149" s="132" t="s">
        <v>243</v>
      </c>
      <c r="S149" s="121" t="s">
        <v>276</v>
      </c>
      <c r="T149" s="406"/>
    </row>
    <row r="150" spans="2:22" ht="18" customHeight="1">
      <c r="B150" s="133" t="str">
        <f t="shared" ref="B150:B171" si="8">"C "&amp;C150</f>
        <v>C 5</v>
      </c>
      <c r="C150" s="130">
        <v>5</v>
      </c>
      <c r="D150" s="130">
        <f t="shared" ref="D150:D158" si="9">C150*10</f>
        <v>50</v>
      </c>
      <c r="E150" s="130">
        <v>32</v>
      </c>
      <c r="F150" s="130">
        <v>4.4000000000000004</v>
      </c>
      <c r="G150" s="130">
        <v>7</v>
      </c>
      <c r="H150" s="130">
        <v>6</v>
      </c>
      <c r="I150" s="130">
        <v>2.5</v>
      </c>
      <c r="J150" s="130">
        <v>6.16</v>
      </c>
      <c r="K150" s="130">
        <v>4.84</v>
      </c>
      <c r="L150" s="130">
        <v>22.8</v>
      </c>
      <c r="M150" s="130"/>
      <c r="N150" s="130">
        <v>9.1</v>
      </c>
      <c r="O150" s="130">
        <v>1.92</v>
      </c>
      <c r="P150" s="130">
        <v>5.59</v>
      </c>
      <c r="Q150" s="130">
        <v>5.61</v>
      </c>
      <c r="R150" s="130">
        <v>2.75</v>
      </c>
      <c r="S150" s="130">
        <v>0.95399999999999996</v>
      </c>
      <c r="T150" s="130">
        <v>1.1599999999999999</v>
      </c>
    </row>
    <row r="151" spans="2:22" ht="18" customHeight="1">
      <c r="B151" s="133" t="str">
        <f t="shared" si="8"/>
        <v>C 6.5</v>
      </c>
      <c r="C151" s="130">
        <v>6.5</v>
      </c>
      <c r="D151" s="130">
        <f t="shared" si="9"/>
        <v>65</v>
      </c>
      <c r="E151" s="130">
        <v>36</v>
      </c>
      <c r="F151" s="130">
        <v>4.4000000000000004</v>
      </c>
      <c r="G151" s="130">
        <v>7.2</v>
      </c>
      <c r="H151" s="130">
        <v>6</v>
      </c>
      <c r="I151" s="130">
        <v>2.5</v>
      </c>
      <c r="J151" s="130">
        <v>7.51</v>
      </c>
      <c r="K151" s="130">
        <v>5.9</v>
      </c>
      <c r="L151" s="130">
        <v>48.6</v>
      </c>
      <c r="M151" s="130"/>
      <c r="N151" s="130">
        <v>15</v>
      </c>
      <c r="O151" s="130">
        <v>2.54</v>
      </c>
      <c r="P151" s="130">
        <v>9</v>
      </c>
      <c r="Q151" s="130">
        <v>8.6999999999999993</v>
      </c>
      <c r="R151" s="130">
        <v>3.68</v>
      </c>
      <c r="S151" s="130">
        <v>1.08</v>
      </c>
      <c r="T151" s="130">
        <v>1.24</v>
      </c>
    </row>
    <row r="152" spans="2:22" ht="18" customHeight="1">
      <c r="B152" s="133" t="str">
        <f t="shared" si="8"/>
        <v>C 8</v>
      </c>
      <c r="C152" s="130">
        <v>8</v>
      </c>
      <c r="D152" s="130">
        <f t="shared" si="9"/>
        <v>80</v>
      </c>
      <c r="E152" s="130">
        <v>40</v>
      </c>
      <c r="F152" s="130">
        <v>4.5</v>
      </c>
      <c r="G152" s="130">
        <v>7.4</v>
      </c>
      <c r="H152" s="130">
        <v>6.5</v>
      </c>
      <c r="I152" s="130">
        <v>2.5</v>
      </c>
      <c r="J152" s="130">
        <v>8.98</v>
      </c>
      <c r="K152" s="130">
        <v>7.05</v>
      </c>
      <c r="L152" s="130">
        <v>89.4</v>
      </c>
      <c r="M152" s="130"/>
      <c r="N152" s="130">
        <v>22.4</v>
      </c>
      <c r="O152" s="130">
        <v>3.16</v>
      </c>
      <c r="P152" s="130">
        <v>13.3</v>
      </c>
      <c r="Q152" s="130">
        <v>12.8</v>
      </c>
      <c r="R152" s="130">
        <v>4.75</v>
      </c>
      <c r="S152" s="130">
        <v>1.19</v>
      </c>
      <c r="T152" s="130">
        <v>1.31</v>
      </c>
    </row>
    <row r="153" spans="2:22" ht="18" customHeight="1">
      <c r="B153" s="133" t="str">
        <f t="shared" si="8"/>
        <v>C 10</v>
      </c>
      <c r="C153" s="130">
        <v>10</v>
      </c>
      <c r="D153" s="130">
        <f t="shared" si="9"/>
        <v>100</v>
      </c>
      <c r="E153" s="130">
        <v>46</v>
      </c>
      <c r="F153" s="130">
        <v>4.5</v>
      </c>
      <c r="G153" s="130">
        <v>7.6</v>
      </c>
      <c r="H153" s="130">
        <v>7</v>
      </c>
      <c r="I153" s="130">
        <v>3</v>
      </c>
      <c r="J153" s="130">
        <v>10.9</v>
      </c>
      <c r="K153" s="130">
        <v>8.59</v>
      </c>
      <c r="L153" s="130">
        <v>174</v>
      </c>
      <c r="M153" s="130"/>
      <c r="N153" s="130">
        <v>34.799999999999997</v>
      </c>
      <c r="O153" s="130">
        <v>3.99</v>
      </c>
      <c r="P153" s="130">
        <v>20.399999999999999</v>
      </c>
      <c r="Q153" s="130">
        <v>20.399999999999999</v>
      </c>
      <c r="R153" s="130">
        <v>6.46</v>
      </c>
      <c r="S153" s="130">
        <v>1.37</v>
      </c>
      <c r="T153" s="130">
        <v>1.44</v>
      </c>
    </row>
    <row r="154" spans="2:22" ht="18" customHeight="1">
      <c r="B154" s="133" t="str">
        <f t="shared" si="8"/>
        <v>C 12</v>
      </c>
      <c r="C154" s="130">
        <v>12</v>
      </c>
      <c r="D154" s="130">
        <f t="shared" si="9"/>
        <v>120</v>
      </c>
      <c r="E154" s="130">
        <v>52</v>
      </c>
      <c r="F154" s="130">
        <v>4.8</v>
      </c>
      <c r="G154" s="130">
        <v>7.8</v>
      </c>
      <c r="H154" s="130">
        <v>7.5</v>
      </c>
      <c r="I154" s="130">
        <v>3</v>
      </c>
      <c r="J154" s="130">
        <v>11.3</v>
      </c>
      <c r="K154" s="130">
        <v>10.4</v>
      </c>
      <c r="L154" s="130">
        <v>304</v>
      </c>
      <c r="M154" s="130"/>
      <c r="N154" s="130">
        <v>50.6</v>
      </c>
      <c r="O154" s="130">
        <v>4.78</v>
      </c>
      <c r="P154" s="130">
        <v>29.6</v>
      </c>
      <c r="Q154" s="130">
        <v>31.2</v>
      </c>
      <c r="R154" s="130">
        <v>8.52</v>
      </c>
      <c r="S154" s="130">
        <v>1.53</v>
      </c>
      <c r="T154" s="130">
        <v>1.54</v>
      </c>
    </row>
    <row r="155" spans="2:22" ht="18" customHeight="1">
      <c r="B155" s="133" t="str">
        <f t="shared" si="8"/>
        <v>C 14</v>
      </c>
      <c r="C155" s="130">
        <v>14</v>
      </c>
      <c r="D155" s="130">
        <f t="shared" si="9"/>
        <v>140</v>
      </c>
      <c r="E155" s="130">
        <v>58</v>
      </c>
      <c r="F155" s="130">
        <v>4.9000000000000004</v>
      </c>
      <c r="G155" s="130">
        <v>8.1</v>
      </c>
      <c r="H155" s="130">
        <v>8</v>
      </c>
      <c r="I155" s="130">
        <v>3</v>
      </c>
      <c r="J155" s="130">
        <v>15.6</v>
      </c>
      <c r="K155" s="130">
        <v>12.3</v>
      </c>
      <c r="L155" s="130">
        <v>491</v>
      </c>
      <c r="M155" s="130"/>
      <c r="N155" s="130">
        <v>70.2</v>
      </c>
      <c r="O155" s="130">
        <v>5.6</v>
      </c>
      <c r="P155" s="130">
        <v>40.799999999999997</v>
      </c>
      <c r="Q155" s="130">
        <v>45.4</v>
      </c>
      <c r="R155" s="130">
        <v>11</v>
      </c>
      <c r="S155" s="130">
        <v>1.7</v>
      </c>
      <c r="T155" s="130">
        <v>1.67</v>
      </c>
    </row>
    <row r="156" spans="2:22" ht="18" customHeight="1">
      <c r="B156" s="133" t="str">
        <f t="shared" si="8"/>
        <v>C 14</v>
      </c>
      <c r="C156" s="130">
        <v>14</v>
      </c>
      <c r="D156" s="130">
        <f t="shared" si="9"/>
        <v>140</v>
      </c>
      <c r="E156" s="130">
        <v>60</v>
      </c>
      <c r="F156" s="130">
        <v>4.9000000000000004</v>
      </c>
      <c r="G156" s="130">
        <v>8.6999999999999993</v>
      </c>
      <c r="H156" s="130">
        <v>8</v>
      </c>
      <c r="I156" s="130">
        <v>3</v>
      </c>
      <c r="J156" s="130">
        <v>17</v>
      </c>
      <c r="K156" s="130">
        <v>13.3</v>
      </c>
      <c r="L156" s="130">
        <v>545</v>
      </c>
      <c r="M156" s="130"/>
      <c r="N156" s="130">
        <v>77.8</v>
      </c>
      <c r="O156" s="130">
        <v>5.66</v>
      </c>
      <c r="P156" s="130">
        <v>45.1</v>
      </c>
      <c r="Q156" s="130">
        <v>57.5</v>
      </c>
      <c r="R156" s="130">
        <v>13.3</v>
      </c>
      <c r="S156" s="130">
        <v>1.84</v>
      </c>
      <c r="T156" s="130">
        <v>1.87</v>
      </c>
    </row>
    <row r="157" spans="2:22" ht="18" customHeight="1">
      <c r="B157" s="133" t="str">
        <f t="shared" si="8"/>
        <v>C 16</v>
      </c>
      <c r="C157" s="130">
        <v>16</v>
      </c>
      <c r="D157" s="130">
        <f t="shared" si="9"/>
        <v>160</v>
      </c>
      <c r="E157" s="130">
        <v>64</v>
      </c>
      <c r="F157" s="130">
        <v>5</v>
      </c>
      <c r="G157" s="130">
        <v>8.4</v>
      </c>
      <c r="H157" s="130">
        <v>8.5</v>
      </c>
      <c r="I157" s="130">
        <v>3.5</v>
      </c>
      <c r="J157" s="130">
        <v>18.100000000000001</v>
      </c>
      <c r="K157" s="130">
        <v>14.2</v>
      </c>
      <c r="L157" s="130">
        <v>747</v>
      </c>
      <c r="M157" s="130"/>
      <c r="N157" s="130">
        <v>93.4</v>
      </c>
      <c r="O157" s="130">
        <v>6.42</v>
      </c>
      <c r="P157" s="130">
        <v>54.1</v>
      </c>
      <c r="Q157" s="130">
        <v>63.3</v>
      </c>
      <c r="R157" s="130">
        <v>13.8</v>
      </c>
      <c r="S157" s="130">
        <v>1.87</v>
      </c>
      <c r="T157" s="130">
        <v>1.8</v>
      </c>
    </row>
    <row r="158" spans="2:22" ht="18" customHeight="1">
      <c r="B158" s="133" t="str">
        <f t="shared" si="8"/>
        <v>C 16</v>
      </c>
      <c r="C158" s="130">
        <v>16</v>
      </c>
      <c r="D158" s="130">
        <f t="shared" si="9"/>
        <v>160</v>
      </c>
      <c r="E158" s="130">
        <v>68</v>
      </c>
      <c r="F158" s="130">
        <v>5</v>
      </c>
      <c r="G158" s="130">
        <v>9</v>
      </c>
      <c r="H158" s="130">
        <v>8.5</v>
      </c>
      <c r="I158" s="130">
        <v>3.5</v>
      </c>
      <c r="J158" s="130">
        <v>19.5</v>
      </c>
      <c r="K158" s="130">
        <v>15.3</v>
      </c>
      <c r="L158" s="130">
        <v>823</v>
      </c>
      <c r="M158" s="130"/>
      <c r="N158" s="130">
        <v>103</v>
      </c>
      <c r="O158" s="130">
        <v>6.49</v>
      </c>
      <c r="P158" s="130">
        <v>59.4</v>
      </c>
      <c r="Q158" s="130">
        <v>78.8</v>
      </c>
      <c r="R158" s="130">
        <v>16.399999999999999</v>
      </c>
      <c r="S158" s="130">
        <v>2.0099999999999998</v>
      </c>
      <c r="T158" s="130">
        <v>2</v>
      </c>
    </row>
    <row r="159" spans="2:22" ht="18" customHeight="1">
      <c r="B159" s="133" t="str">
        <f t="shared" si="8"/>
        <v>C 18a</v>
      </c>
      <c r="C159" s="130" t="s">
        <v>244</v>
      </c>
      <c r="D159" s="130">
        <v>180</v>
      </c>
      <c r="E159" s="130">
        <v>70</v>
      </c>
      <c r="F159" s="130">
        <v>5.0999999999999996</v>
      </c>
      <c r="G159" s="130">
        <v>8.6999999999999993</v>
      </c>
      <c r="H159" s="130">
        <v>9</v>
      </c>
      <c r="I159" s="130">
        <v>3.5</v>
      </c>
      <c r="J159" s="130">
        <v>20.7</v>
      </c>
      <c r="K159" s="130">
        <v>16.3</v>
      </c>
      <c r="L159" s="130">
        <v>1090</v>
      </c>
      <c r="M159" s="130"/>
      <c r="N159" s="130">
        <v>121</v>
      </c>
      <c r="O159" s="130">
        <v>7.24</v>
      </c>
      <c r="P159" s="130">
        <v>69.8</v>
      </c>
      <c r="Q159" s="130">
        <v>86</v>
      </c>
      <c r="R159" s="130">
        <v>17</v>
      </c>
      <c r="S159" s="130">
        <v>2.04</v>
      </c>
      <c r="T159" s="130">
        <v>1.94</v>
      </c>
    </row>
    <row r="160" spans="2:22" ht="18" customHeight="1">
      <c r="B160" s="133" t="str">
        <f t="shared" si="8"/>
        <v>C 18</v>
      </c>
      <c r="C160" s="130">
        <v>18</v>
      </c>
      <c r="D160" s="130">
        <f>C160*10</f>
        <v>180</v>
      </c>
      <c r="E160" s="130">
        <v>74</v>
      </c>
      <c r="F160" s="130">
        <v>5.0999999999999996</v>
      </c>
      <c r="G160" s="130">
        <v>9.3000000000000007</v>
      </c>
      <c r="H160" s="130">
        <v>9</v>
      </c>
      <c r="I160" s="130">
        <v>3.5</v>
      </c>
      <c r="J160" s="130">
        <v>22.2</v>
      </c>
      <c r="K160" s="130">
        <v>17.399999999999999</v>
      </c>
      <c r="L160" s="130">
        <v>1190</v>
      </c>
      <c r="M160" s="130"/>
      <c r="N160" s="130">
        <v>132</v>
      </c>
      <c r="O160" s="130">
        <v>7.32</v>
      </c>
      <c r="P160" s="130">
        <v>76.099999999999994</v>
      </c>
      <c r="Q160" s="130">
        <v>105</v>
      </c>
      <c r="R160" s="130">
        <v>20</v>
      </c>
      <c r="S160" s="130">
        <v>2.1800000000000002</v>
      </c>
      <c r="T160" s="130">
        <v>2.13</v>
      </c>
    </row>
    <row r="161" spans="2:20" ht="18" customHeight="1">
      <c r="B161" s="133" t="str">
        <f t="shared" si="8"/>
        <v>C 20</v>
      </c>
      <c r="C161" s="130">
        <v>20</v>
      </c>
      <c r="D161" s="130">
        <f>C161*10</f>
        <v>200</v>
      </c>
      <c r="E161" s="130">
        <v>76</v>
      </c>
      <c r="F161" s="130">
        <v>5.2</v>
      </c>
      <c r="G161" s="130">
        <v>9</v>
      </c>
      <c r="H161" s="130">
        <v>9.5</v>
      </c>
      <c r="I161" s="130">
        <v>4</v>
      </c>
      <c r="J161" s="130">
        <v>23.4</v>
      </c>
      <c r="K161" s="130">
        <v>18.399999999999999</v>
      </c>
      <c r="L161" s="130">
        <v>1520</v>
      </c>
      <c r="M161" s="130"/>
      <c r="N161" s="130">
        <v>152</v>
      </c>
      <c r="O161" s="130">
        <v>8.07</v>
      </c>
      <c r="P161" s="130">
        <v>87.8</v>
      </c>
      <c r="Q161" s="130">
        <v>113</v>
      </c>
      <c r="R161" s="130">
        <v>20.5</v>
      </c>
      <c r="S161" s="130">
        <v>2.2000000000000002</v>
      </c>
      <c r="T161" s="130">
        <v>2.0699999999999998</v>
      </c>
    </row>
    <row r="162" spans="2:20" ht="18" customHeight="1">
      <c r="B162" s="133" t="str">
        <f t="shared" si="8"/>
        <v>C 20a</v>
      </c>
      <c r="C162" s="130" t="s">
        <v>245</v>
      </c>
      <c r="D162" s="130">
        <v>200</v>
      </c>
      <c r="E162" s="130">
        <v>80</v>
      </c>
      <c r="F162" s="130">
        <v>5.2</v>
      </c>
      <c r="G162" s="130">
        <v>9.6999999999999993</v>
      </c>
      <c r="H162" s="130">
        <v>9.5</v>
      </c>
      <c r="I162" s="130">
        <v>4</v>
      </c>
      <c r="J162" s="130">
        <v>25.2</v>
      </c>
      <c r="K162" s="130">
        <v>19.8</v>
      </c>
      <c r="L162" s="130">
        <v>1670</v>
      </c>
      <c r="M162" s="130"/>
      <c r="N162" s="130">
        <v>167</v>
      </c>
      <c r="O162" s="130">
        <v>8.15</v>
      </c>
      <c r="P162" s="130">
        <v>95.9</v>
      </c>
      <c r="Q162" s="130">
        <v>139</v>
      </c>
      <c r="R162" s="130">
        <v>24.2</v>
      </c>
      <c r="S162" s="130">
        <v>2.35</v>
      </c>
      <c r="T162" s="130">
        <v>2.2799999999999998</v>
      </c>
    </row>
    <row r="163" spans="2:20" ht="18" customHeight="1">
      <c r="B163" s="133" t="str">
        <f t="shared" si="8"/>
        <v>C 22</v>
      </c>
      <c r="C163" s="130">
        <v>22</v>
      </c>
      <c r="D163" s="130">
        <f>C163*10</f>
        <v>220</v>
      </c>
      <c r="E163" s="130">
        <v>82</v>
      </c>
      <c r="F163" s="130">
        <v>5.4</v>
      </c>
      <c r="G163" s="130">
        <v>9.5</v>
      </c>
      <c r="H163" s="130">
        <v>10</v>
      </c>
      <c r="I163" s="130">
        <v>4</v>
      </c>
      <c r="J163" s="130">
        <v>26.7</v>
      </c>
      <c r="K163" s="130">
        <v>21</v>
      </c>
      <c r="L163" s="130">
        <v>2110</v>
      </c>
      <c r="M163" s="130"/>
      <c r="N163" s="130">
        <v>192</v>
      </c>
      <c r="O163" s="130">
        <v>8.89</v>
      </c>
      <c r="P163" s="130">
        <v>110</v>
      </c>
      <c r="Q163" s="130">
        <v>151</v>
      </c>
      <c r="R163" s="130">
        <v>25.1</v>
      </c>
      <c r="S163" s="130">
        <v>2.37</v>
      </c>
      <c r="T163" s="130">
        <v>2.21</v>
      </c>
    </row>
    <row r="164" spans="2:20" ht="18" customHeight="1">
      <c r="B164" s="133" t="str">
        <f t="shared" si="8"/>
        <v>C 22a</v>
      </c>
      <c r="C164" s="130" t="s">
        <v>246</v>
      </c>
      <c r="D164" s="130">
        <v>220</v>
      </c>
      <c r="E164" s="130">
        <v>87</v>
      </c>
      <c r="F164" s="130">
        <v>5.4</v>
      </c>
      <c r="G164" s="130">
        <v>10.199999999999999</v>
      </c>
      <c r="H164" s="130">
        <v>10</v>
      </c>
      <c r="I164" s="130">
        <v>4</v>
      </c>
      <c r="J164" s="130">
        <v>28.8</v>
      </c>
      <c r="K164" s="130">
        <v>22.6</v>
      </c>
      <c r="L164" s="130">
        <v>2330</v>
      </c>
      <c r="M164" s="130"/>
      <c r="N164" s="130">
        <v>212</v>
      </c>
      <c r="O164" s="130">
        <v>8.99</v>
      </c>
      <c r="P164" s="130">
        <v>121</v>
      </c>
      <c r="Q164" s="130">
        <v>187</v>
      </c>
      <c r="R164" s="130">
        <v>30</v>
      </c>
      <c r="S164" s="130">
        <v>2.5499999999999998</v>
      </c>
      <c r="T164" s="130">
        <v>2.46</v>
      </c>
    </row>
    <row r="165" spans="2:20" ht="18" customHeight="1">
      <c r="B165" s="133" t="str">
        <f t="shared" si="8"/>
        <v>C 24</v>
      </c>
      <c r="C165" s="130">
        <v>24</v>
      </c>
      <c r="D165" s="130">
        <f>C165*10</f>
        <v>240</v>
      </c>
      <c r="E165" s="130">
        <v>90</v>
      </c>
      <c r="F165" s="130">
        <v>5.6</v>
      </c>
      <c r="G165" s="130">
        <v>10</v>
      </c>
      <c r="H165" s="130">
        <v>10.5</v>
      </c>
      <c r="I165" s="130">
        <v>4</v>
      </c>
      <c r="J165" s="130">
        <v>30.6</v>
      </c>
      <c r="K165" s="130">
        <v>24</v>
      </c>
      <c r="L165" s="130">
        <v>2900</v>
      </c>
      <c r="M165" s="130"/>
      <c r="N165" s="130">
        <v>242</v>
      </c>
      <c r="O165" s="130">
        <v>9.73</v>
      </c>
      <c r="P165" s="130">
        <v>139</v>
      </c>
      <c r="Q165" s="130">
        <v>208</v>
      </c>
      <c r="R165" s="130">
        <v>31.6</v>
      </c>
      <c r="S165" s="130">
        <v>2.6</v>
      </c>
      <c r="T165" s="130">
        <v>2.42</v>
      </c>
    </row>
    <row r="166" spans="2:20" ht="18" customHeight="1">
      <c r="B166" s="133" t="str">
        <f t="shared" si="8"/>
        <v>C 24a</v>
      </c>
      <c r="C166" s="130" t="s">
        <v>247</v>
      </c>
      <c r="D166" s="130">
        <v>240</v>
      </c>
      <c r="E166" s="130">
        <v>95</v>
      </c>
      <c r="F166" s="130">
        <v>5.6</v>
      </c>
      <c r="G166" s="130">
        <v>10.7</v>
      </c>
      <c r="H166" s="130">
        <v>10.5</v>
      </c>
      <c r="I166" s="130">
        <v>4</v>
      </c>
      <c r="J166" s="130">
        <v>32.9</v>
      </c>
      <c r="K166" s="130">
        <v>25.8</v>
      </c>
      <c r="L166" s="130">
        <v>3180</v>
      </c>
      <c r="M166" s="130"/>
      <c r="N166" s="130">
        <v>265</v>
      </c>
      <c r="O166" s="130">
        <v>9.84</v>
      </c>
      <c r="P166" s="130">
        <v>151</v>
      </c>
      <c r="Q166" s="130">
        <v>254</v>
      </c>
      <c r="R166" s="130">
        <v>37.200000000000003</v>
      </c>
      <c r="S166" s="130">
        <v>2.78</v>
      </c>
      <c r="T166" s="130">
        <v>2.67</v>
      </c>
    </row>
    <row r="167" spans="2:20" ht="18" customHeight="1">
      <c r="B167" s="133" t="str">
        <f t="shared" si="8"/>
        <v>C 27</v>
      </c>
      <c r="C167" s="130">
        <v>27</v>
      </c>
      <c r="D167" s="130">
        <f>C167*10</f>
        <v>270</v>
      </c>
      <c r="E167" s="130">
        <v>95</v>
      </c>
      <c r="F167" s="130">
        <v>6</v>
      </c>
      <c r="G167" s="130">
        <v>10.5</v>
      </c>
      <c r="H167" s="130">
        <v>11</v>
      </c>
      <c r="I167" s="130">
        <v>4.5</v>
      </c>
      <c r="J167" s="130">
        <v>35.200000000000003</v>
      </c>
      <c r="K167" s="130">
        <v>27.7</v>
      </c>
      <c r="L167" s="130">
        <v>4160</v>
      </c>
      <c r="M167" s="130"/>
      <c r="N167" s="130">
        <v>308</v>
      </c>
      <c r="O167" s="130">
        <v>10.9</v>
      </c>
      <c r="P167" s="130">
        <v>178</v>
      </c>
      <c r="Q167" s="130">
        <v>262</v>
      </c>
      <c r="R167" s="130">
        <v>37.299999999999997</v>
      </c>
      <c r="S167" s="130">
        <v>2.73</v>
      </c>
      <c r="T167" s="130">
        <v>2.4700000000000002</v>
      </c>
    </row>
    <row r="168" spans="2:20" ht="18" customHeight="1">
      <c r="B168" s="133" t="str">
        <f t="shared" si="8"/>
        <v>C 30</v>
      </c>
      <c r="C168" s="130">
        <v>30</v>
      </c>
      <c r="D168" s="130">
        <f>C168*10</f>
        <v>300</v>
      </c>
      <c r="E168" s="130">
        <v>100</v>
      </c>
      <c r="F168" s="130">
        <v>6.5</v>
      </c>
      <c r="G168" s="130">
        <v>11</v>
      </c>
      <c r="H168" s="130">
        <v>12</v>
      </c>
      <c r="I168" s="130">
        <v>5</v>
      </c>
      <c r="J168" s="130">
        <v>40.5</v>
      </c>
      <c r="K168" s="130">
        <v>31.8</v>
      </c>
      <c r="L168" s="130">
        <v>5810</v>
      </c>
      <c r="M168" s="130"/>
      <c r="N168" s="130">
        <v>387</v>
      </c>
      <c r="O168" s="130">
        <v>12</v>
      </c>
      <c r="P168" s="130">
        <v>224</v>
      </c>
      <c r="Q168" s="130">
        <v>327</v>
      </c>
      <c r="R168" s="130">
        <v>43.6</v>
      </c>
      <c r="S168" s="130">
        <v>2.84</v>
      </c>
      <c r="T168" s="130">
        <v>2.52</v>
      </c>
    </row>
    <row r="169" spans="2:20" ht="18" customHeight="1">
      <c r="B169" s="133" t="str">
        <f t="shared" si="8"/>
        <v>C 33</v>
      </c>
      <c r="C169" s="130">
        <v>33</v>
      </c>
      <c r="D169" s="130">
        <f>C169*10</f>
        <v>330</v>
      </c>
      <c r="E169" s="130">
        <v>105</v>
      </c>
      <c r="F169" s="130">
        <v>7</v>
      </c>
      <c r="G169" s="130">
        <v>11.7</v>
      </c>
      <c r="H169" s="130">
        <v>13</v>
      </c>
      <c r="I169" s="130">
        <v>5</v>
      </c>
      <c r="J169" s="130">
        <v>46.5</v>
      </c>
      <c r="K169" s="130">
        <v>36.5</v>
      </c>
      <c r="L169" s="130">
        <v>7980</v>
      </c>
      <c r="M169" s="130"/>
      <c r="N169" s="130">
        <v>484</v>
      </c>
      <c r="O169" s="130">
        <v>13.1</v>
      </c>
      <c r="P169" s="130">
        <v>281</v>
      </c>
      <c r="Q169" s="130">
        <v>410</v>
      </c>
      <c r="R169" s="130">
        <v>51.8</v>
      </c>
      <c r="S169" s="130">
        <v>2.97</v>
      </c>
      <c r="T169" s="130">
        <v>2.59</v>
      </c>
    </row>
    <row r="170" spans="2:20" ht="18" customHeight="1">
      <c r="B170" s="133" t="str">
        <f t="shared" si="8"/>
        <v>C 36</v>
      </c>
      <c r="C170" s="130">
        <v>36</v>
      </c>
      <c r="D170" s="130">
        <f>C170*10</f>
        <v>360</v>
      </c>
      <c r="E170" s="130">
        <v>110</v>
      </c>
      <c r="F170" s="130">
        <v>7.5</v>
      </c>
      <c r="G170" s="130">
        <v>12.6</v>
      </c>
      <c r="H170" s="130">
        <v>14</v>
      </c>
      <c r="I170" s="130">
        <v>6</v>
      </c>
      <c r="J170" s="130">
        <v>53.4</v>
      </c>
      <c r="K170" s="130">
        <v>41.9</v>
      </c>
      <c r="L170" s="130">
        <v>10820</v>
      </c>
      <c r="M170" s="130"/>
      <c r="N170" s="130">
        <v>601</v>
      </c>
      <c r="O170" s="130">
        <v>14.2</v>
      </c>
      <c r="P170" s="130">
        <v>350</v>
      </c>
      <c r="Q170" s="130">
        <v>513</v>
      </c>
      <c r="R170" s="130">
        <v>61.7</v>
      </c>
      <c r="S170" s="130">
        <v>3.1</v>
      </c>
      <c r="T170" s="130">
        <v>2.68</v>
      </c>
    </row>
    <row r="171" spans="2:20" ht="18" customHeight="1">
      <c r="B171" s="133" t="str">
        <f t="shared" si="8"/>
        <v>C 40</v>
      </c>
      <c r="C171" s="130">
        <v>40</v>
      </c>
      <c r="D171" s="130">
        <f>C171*10</f>
        <v>400</v>
      </c>
      <c r="E171" s="130">
        <v>115</v>
      </c>
      <c r="F171" s="130">
        <v>8</v>
      </c>
      <c r="G171" s="130">
        <v>13.5</v>
      </c>
      <c r="H171" s="130">
        <v>15</v>
      </c>
      <c r="I171" s="130">
        <v>6</v>
      </c>
      <c r="J171" s="130">
        <v>61.5</v>
      </c>
      <c r="K171" s="130">
        <v>48.3</v>
      </c>
      <c r="L171" s="130">
        <v>15220</v>
      </c>
      <c r="M171" s="130"/>
      <c r="N171" s="130">
        <v>761</v>
      </c>
      <c r="O171" s="130">
        <v>15.7</v>
      </c>
      <c r="P171" s="130">
        <v>444</v>
      </c>
      <c r="Q171" s="130">
        <v>642</v>
      </c>
      <c r="R171" s="130">
        <v>73.400000000000006</v>
      </c>
      <c r="S171" s="130">
        <v>3.23</v>
      </c>
      <c r="T171" s="130">
        <v>2.75</v>
      </c>
    </row>
  </sheetData>
  <mergeCells count="50">
    <mergeCell ref="A43:A44"/>
    <mergeCell ref="B43:AB43"/>
    <mergeCell ref="A42:AB42"/>
    <mergeCell ref="Q10:Q11"/>
    <mergeCell ref="R10:R11"/>
    <mergeCell ref="V18:W18"/>
    <mergeCell ref="D14:E14"/>
    <mergeCell ref="A16:N16"/>
    <mergeCell ref="B17:N17"/>
    <mergeCell ref="D12:E12"/>
    <mergeCell ref="D13:E13"/>
    <mergeCell ref="U17:W17"/>
    <mergeCell ref="A10:A11"/>
    <mergeCell ref="Q1:AA1"/>
    <mergeCell ref="P17:R17"/>
    <mergeCell ref="A17:A18"/>
    <mergeCell ref="A1:C1"/>
    <mergeCell ref="F1:N1"/>
    <mergeCell ref="F2:F4"/>
    <mergeCell ref="G2:L2"/>
    <mergeCell ref="I3:J3"/>
    <mergeCell ref="G3:H3"/>
    <mergeCell ref="K3:L3"/>
    <mergeCell ref="N2:N4"/>
    <mergeCell ref="A9:E9"/>
    <mergeCell ref="Q9:Y9"/>
    <mergeCell ref="Q70:R70"/>
    <mergeCell ref="S70:T70"/>
    <mergeCell ref="S10:Y10"/>
    <mergeCell ref="O69:V69"/>
    <mergeCell ref="C68:V68"/>
    <mergeCell ref="U18:U19"/>
    <mergeCell ref="C69:C71"/>
    <mergeCell ref="B10:C10"/>
    <mergeCell ref="D10:E10"/>
    <mergeCell ref="U70:V70"/>
    <mergeCell ref="F69:I70"/>
    <mergeCell ref="J69:N70"/>
    <mergeCell ref="D69:D70"/>
    <mergeCell ref="E69:E70"/>
    <mergeCell ref="O70:P70"/>
    <mergeCell ref="T147:T149"/>
    <mergeCell ref="L148:P148"/>
    <mergeCell ref="Q148:S148"/>
    <mergeCell ref="L147:S147"/>
    <mergeCell ref="C146:T146"/>
    <mergeCell ref="C147:C149"/>
    <mergeCell ref="D147:I148"/>
    <mergeCell ref="K147:K149"/>
    <mergeCell ref="J147:J149"/>
  </mergeCells>
  <phoneticPr fontId="56" type="noConversion"/>
  <pageMargins left="0.75" right="0.75" top="1" bottom="1" header="0.5" footer="0.5"/>
  <pageSetup paperSize="9" orientation="portrait" horizontalDpi="4294967293"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Material</vt:lpstr>
      <vt:lpstr>Material Precast Pile</vt:lpstr>
      <vt:lpstr>Material Precast Hollow Pile</vt:lpstr>
      <vt:lpstr>HK25</vt:lpstr>
      <vt:lpstr>PILE SUMMARY</vt:lpstr>
      <vt:lpstr>Tab For Pile</vt:lpstr>
      <vt:lpstr>Bang tra</vt:lpstr>
      <vt:lpstr>alpha12</vt:lpstr>
      <vt:lpstr>alpha3</vt:lpstr>
      <vt:lpstr>alpha4</vt:lpstr>
      <vt:lpstr>Betong</vt:lpstr>
      <vt:lpstr>CAPBT</vt:lpstr>
      <vt:lpstr>CAPTHEP</vt:lpstr>
      <vt:lpstr>Check</vt:lpstr>
      <vt:lpstr>ChongCat</vt:lpstr>
      <vt:lpstr>ChongSet</vt:lpstr>
      <vt:lpstr>Client</vt:lpstr>
      <vt:lpstr>Cotthep</vt:lpstr>
      <vt:lpstr>CSetNhoi</vt:lpstr>
      <vt:lpstr>Date</vt:lpstr>
      <vt:lpstr>Design1</vt:lpstr>
      <vt:lpstr>Design2</vt:lpstr>
      <vt:lpstr>DesignC</vt:lpstr>
      <vt:lpstr>DKTHEP</vt:lpstr>
      <vt:lpstr>DTdat</vt:lpstr>
      <vt:lpstr>JobNo</vt:lpstr>
      <vt:lpstr>Lang.</vt:lpstr>
      <vt:lpstr>Mainds</vt:lpstr>
      <vt:lpstr>Masat</vt:lpstr>
      <vt:lpstr>Name</vt:lpstr>
      <vt:lpstr>Position</vt:lpstr>
      <vt:lpstr>'HK25'!Print_Area</vt:lpstr>
      <vt:lpstr>'Material Precast Hollow Pile'!Print_Area</vt:lpstr>
      <vt:lpstr>'Material Precast Pile'!Print_Area</vt:lpstr>
      <vt:lpstr>'PILE SUMMARY'!Print_Area</vt:lpstr>
      <vt:lpstr>Section!Print_Area</vt:lpstr>
      <vt:lpstr>Revision</vt:lpstr>
      <vt:lpstr>Thietke</vt:lpstr>
      <vt:lpstr>Writer</vt:lpstr>
    </vt:vector>
  </TitlesOfParts>
  <Company>Atek-CDC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SCT COC 10304</dc:title>
  <dc:creator>HuyNT</dc:creator>
  <cp:lastModifiedBy>Dell</cp:lastModifiedBy>
  <cp:lastPrinted>2021-06-04T05:47:07Z</cp:lastPrinted>
  <dcterms:created xsi:type="dcterms:W3CDTF">2002-11-05T01:11:57Z</dcterms:created>
  <dcterms:modified xsi:type="dcterms:W3CDTF">2022-03-14T08:58:08Z</dcterms:modified>
</cp:coreProperties>
</file>