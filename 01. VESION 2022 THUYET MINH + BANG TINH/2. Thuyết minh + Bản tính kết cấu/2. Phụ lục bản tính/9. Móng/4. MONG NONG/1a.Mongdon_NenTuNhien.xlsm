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192.168.1.253\ts1\#Thu muc ca nhan\03. Vo Trung Hieu\1.USER\ISO_CONINCO\01. VESION 2022 THUYET MINH + BANG TINH\2. Thuyết minh + Bản tính kết cấu\2. Phụ lục bản tính\9. Móng\4. MONG NONG\"/>
    </mc:Choice>
  </mc:AlternateContent>
  <bookViews>
    <workbookView xWindow="0" yWindow="0" windowWidth="14640" windowHeight="11955"/>
  </bookViews>
  <sheets>
    <sheet name="M-3" sheetId="15" r:id="rId1"/>
    <sheet name="Joint Reactions" sheetId="17" r:id="rId2"/>
    <sheet name="Grid Lines" sheetId="18" r:id="rId3"/>
    <sheet name="Joint Coordinates" sheetId="19" r:id="rId4"/>
  </sheets>
  <functionGroups builtInGroupCount="18"/>
  <definedNames>
    <definedName name="_xlnm.Print_Area" localSheetId="0">'M-3'!$A$1:$J$186</definedName>
    <definedName name="_xlnm.Print_Titles" localSheetId="0">'M-3'!$1:$1</definedName>
  </definedNames>
  <calcPr calcId="162913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" i="18" l="1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4" i="18"/>
  <c r="L4" i="15"/>
  <c r="F2" i="15" s="1"/>
  <c r="K4" i="15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" i="18"/>
  <c r="G6" i="18"/>
  <c r="G7" i="18"/>
  <c r="G8" i="18"/>
  <c r="G9" i="18"/>
  <c r="G10" i="18"/>
  <c r="G11" i="18"/>
  <c r="G4" i="18"/>
  <c r="B59" i="17" l="1"/>
  <c r="A59" i="17"/>
  <c r="B58" i="17"/>
  <c r="A58" i="17"/>
  <c r="B57" i="17"/>
  <c r="A57" i="17"/>
  <c r="B56" i="17"/>
  <c r="A56" i="17"/>
  <c r="B55" i="17"/>
  <c r="A55" i="17"/>
  <c r="B54" i="17"/>
  <c r="A54" i="17"/>
  <c r="B53" i="17"/>
  <c r="A53" i="17"/>
  <c r="B52" i="17"/>
  <c r="A52" i="17"/>
  <c r="B51" i="17"/>
  <c r="A51" i="17"/>
  <c r="B50" i="17"/>
  <c r="A50" i="17"/>
  <c r="B49" i="17"/>
  <c r="A49" i="17"/>
  <c r="B48" i="17"/>
  <c r="A48" i="17"/>
  <c r="B47" i="17"/>
  <c r="A47" i="17"/>
  <c r="B46" i="17"/>
  <c r="A46" i="17"/>
  <c r="B45" i="17"/>
  <c r="A45" i="17"/>
  <c r="B44" i="17"/>
  <c r="A44" i="17"/>
  <c r="B43" i="17"/>
  <c r="A43" i="17"/>
  <c r="B42" i="17"/>
  <c r="A42" i="17"/>
  <c r="B41" i="17"/>
  <c r="A41" i="17"/>
  <c r="B40" i="17"/>
  <c r="A40" i="17"/>
  <c r="B39" i="17"/>
  <c r="A39" i="17"/>
  <c r="B38" i="17"/>
  <c r="A38" i="17"/>
  <c r="B37" i="17"/>
  <c r="A37" i="17"/>
  <c r="B36" i="17"/>
  <c r="A36" i="17"/>
  <c r="B35" i="17"/>
  <c r="A35" i="17"/>
  <c r="B34" i="17"/>
  <c r="A34" i="17"/>
  <c r="B33" i="17"/>
  <c r="A33" i="17"/>
  <c r="B32" i="17"/>
  <c r="A32" i="17"/>
  <c r="B31" i="17"/>
  <c r="A31" i="17"/>
  <c r="B30" i="17"/>
  <c r="A30" i="17"/>
  <c r="B29" i="17"/>
  <c r="A29" i="17"/>
  <c r="B28" i="17"/>
  <c r="A28" i="17"/>
  <c r="B27" i="17"/>
  <c r="A27" i="17"/>
  <c r="B26" i="17"/>
  <c r="A26" i="17"/>
  <c r="B25" i="17"/>
  <c r="A25" i="17"/>
  <c r="B24" i="17"/>
  <c r="A24" i="17"/>
  <c r="B23" i="17"/>
  <c r="A23" i="17"/>
  <c r="B22" i="17"/>
  <c r="A22" i="17"/>
  <c r="B21" i="17"/>
  <c r="A21" i="17"/>
  <c r="B20" i="17"/>
  <c r="A20" i="17"/>
  <c r="B19" i="17"/>
  <c r="A19" i="17"/>
  <c r="B18" i="17"/>
  <c r="A18" i="17"/>
  <c r="B17" i="17"/>
  <c r="A17" i="17"/>
  <c r="B16" i="17"/>
  <c r="A16" i="17"/>
  <c r="B15" i="17"/>
  <c r="A15" i="17"/>
  <c r="B14" i="17"/>
  <c r="A14" i="17"/>
  <c r="B13" i="17"/>
  <c r="A13" i="17"/>
  <c r="B12" i="17"/>
  <c r="A12" i="17"/>
  <c r="B11" i="17"/>
  <c r="A11" i="17"/>
  <c r="B10" i="17"/>
  <c r="A10" i="17"/>
  <c r="B9" i="17"/>
  <c r="A9" i="17"/>
  <c r="B8" i="17"/>
  <c r="A8" i="17"/>
  <c r="B7" i="17"/>
  <c r="A7" i="17"/>
  <c r="B6" i="17"/>
  <c r="A6" i="17"/>
  <c r="B5" i="17"/>
  <c r="A5" i="17"/>
  <c r="B4" i="17"/>
  <c r="A4" i="17"/>
  <c r="B72" i="15"/>
  <c r="B71" i="15"/>
  <c r="B70" i="15"/>
  <c r="B69" i="15"/>
  <c r="B68" i="15"/>
  <c r="B67" i="15"/>
  <c r="B66" i="15"/>
  <c r="B65" i="15"/>
  <c r="B64" i="15"/>
  <c r="D69" i="15" l="1"/>
  <c r="H69" i="15" s="1"/>
  <c r="F64" i="15"/>
  <c r="D72" i="15"/>
  <c r="H72" i="15" s="1"/>
  <c r="F72" i="15"/>
  <c r="F65" i="15"/>
  <c r="D71" i="15"/>
  <c r="H71" i="15" s="1"/>
  <c r="E66" i="15"/>
  <c r="F70" i="15"/>
  <c r="D67" i="15"/>
  <c r="H67" i="15" s="1"/>
  <c r="E71" i="15"/>
  <c r="F66" i="15"/>
  <c r="F67" i="15"/>
  <c r="D66" i="15"/>
  <c r="F71" i="15"/>
  <c r="D64" i="15"/>
  <c r="H64" i="15" s="1"/>
  <c r="F68" i="15"/>
  <c r="E70" i="15"/>
  <c r="E68" i="15"/>
  <c r="E69" i="15"/>
  <c r="F69" i="15"/>
  <c r="E72" i="15"/>
  <c r="D70" i="15"/>
  <c r="H70" i="15" s="1"/>
  <c r="D68" i="15"/>
  <c r="H68" i="15" s="1"/>
  <c r="E65" i="15"/>
  <c r="E64" i="15"/>
  <c r="E67" i="15"/>
  <c r="D65" i="15"/>
  <c r="H65" i="15" s="1"/>
  <c r="K72" i="15" l="1"/>
  <c r="G72" i="15" s="1"/>
  <c r="K65" i="15"/>
  <c r="G65" i="15" s="1"/>
  <c r="K68" i="15"/>
  <c r="G68" i="15" s="1"/>
  <c r="K64" i="15"/>
  <c r="G64" i="15" s="1"/>
  <c r="K70" i="15"/>
  <c r="G70" i="15" s="1"/>
  <c r="K66" i="15"/>
  <c r="G66" i="15" s="1"/>
  <c r="K71" i="15"/>
  <c r="G71" i="15" s="1"/>
  <c r="K69" i="15"/>
  <c r="G69" i="15" s="1"/>
  <c r="H66" i="15"/>
  <c r="K67" i="15"/>
  <c r="G67" i="15" s="1"/>
  <c r="F23" i="15"/>
  <c r="D159" i="15" l="1"/>
  <c r="K5" i="15" l="1"/>
  <c r="L5" i="15" s="1"/>
  <c r="I2" i="15" s="1"/>
  <c r="G186" i="15" l="1"/>
  <c r="G181" i="15" l="1"/>
  <c r="K178" i="15"/>
  <c r="F166" i="15"/>
  <c r="F165" i="15" l="1"/>
  <c r="C170" i="15" s="1"/>
  <c r="M24" i="15"/>
  <c r="M23" i="15"/>
  <c r="D88" i="15"/>
  <c r="X22" i="15"/>
  <c r="Y22" i="15" s="1"/>
  <c r="X21" i="15"/>
  <c r="Y21" i="15" s="1"/>
  <c r="X20" i="15"/>
  <c r="Y20" i="15" s="1"/>
  <c r="X19" i="15"/>
  <c r="Y19" i="15" s="1"/>
  <c r="Z22" i="15" l="1"/>
  <c r="AA22" i="15" s="1"/>
  <c r="AB22" i="15" s="1"/>
  <c r="AC22" i="15" s="1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60" i="17"/>
  <c r="B261" i="17"/>
  <c r="B262" i="17"/>
  <c r="B263" i="17"/>
  <c r="B264" i="17"/>
  <c r="B265" i="17"/>
  <c r="B266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B314" i="17"/>
  <c r="B315" i="17"/>
  <c r="B316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60" i="17"/>
  <c r="B361" i="17"/>
  <c r="B36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410" i="17"/>
  <c r="B411" i="17"/>
  <c r="B412" i="17"/>
  <c r="B413" i="17"/>
  <c r="B414" i="17"/>
  <c r="B415" i="17"/>
  <c r="B416" i="17"/>
  <c r="B417" i="17"/>
  <c r="B418" i="17"/>
  <c r="B419" i="17"/>
  <c r="B420" i="17"/>
  <c r="B421" i="17"/>
  <c r="B422" i="17"/>
  <c r="B423" i="17"/>
  <c r="B424" i="17"/>
  <c r="B425" i="17"/>
  <c r="B426" i="17"/>
  <c r="B427" i="17"/>
  <c r="B428" i="17"/>
  <c r="B429" i="17"/>
  <c r="B430" i="17"/>
  <c r="B431" i="17"/>
  <c r="B432" i="17"/>
  <c r="B433" i="17"/>
  <c r="B434" i="17"/>
  <c r="B435" i="17"/>
  <c r="B436" i="17"/>
  <c r="B437" i="17"/>
  <c r="B438" i="17"/>
  <c r="B439" i="17"/>
  <c r="B440" i="17"/>
  <c r="B441" i="17"/>
  <c r="B442" i="17"/>
  <c r="B443" i="17"/>
  <c r="B444" i="17"/>
  <c r="B445" i="17"/>
  <c r="B446" i="17"/>
  <c r="B447" i="17"/>
  <c r="B448" i="17"/>
  <c r="B449" i="17"/>
  <c r="B450" i="17"/>
  <c r="B451" i="17"/>
  <c r="B452" i="17"/>
  <c r="B453" i="17"/>
  <c r="B454" i="17"/>
  <c r="B455" i="17"/>
  <c r="B456" i="17"/>
  <c r="B457" i="17"/>
  <c r="B458" i="17"/>
  <c r="B459" i="17"/>
  <c r="B460" i="17"/>
  <c r="B461" i="17"/>
  <c r="B462" i="17"/>
  <c r="B463" i="17"/>
  <c r="B464" i="17"/>
  <c r="B465" i="17"/>
  <c r="B466" i="17"/>
  <c r="B467" i="17"/>
  <c r="B468" i="17"/>
  <c r="B469" i="17"/>
  <c r="B470" i="17"/>
  <c r="B471" i="17"/>
  <c r="B472" i="17"/>
  <c r="B473" i="17"/>
  <c r="B474" i="17"/>
  <c r="B475" i="17"/>
  <c r="B476" i="17"/>
  <c r="B477" i="17"/>
  <c r="B478" i="17"/>
  <c r="B479" i="17"/>
  <c r="B480" i="17"/>
  <c r="B481" i="17"/>
  <c r="B482" i="17"/>
  <c r="B483" i="17"/>
  <c r="B484" i="17"/>
  <c r="B485" i="17"/>
  <c r="B486" i="17"/>
  <c r="B487" i="17"/>
  <c r="B488" i="17"/>
  <c r="B489" i="17"/>
  <c r="B490" i="17"/>
  <c r="B491" i="17"/>
  <c r="B492" i="17"/>
  <c r="B493" i="17"/>
  <c r="B494" i="17"/>
  <c r="B495" i="17"/>
  <c r="B496" i="17"/>
  <c r="B497" i="17"/>
  <c r="B498" i="17"/>
  <c r="B499" i="17"/>
  <c r="B500" i="17"/>
  <c r="B501" i="17"/>
  <c r="B502" i="17"/>
  <c r="B503" i="17"/>
  <c r="B504" i="17"/>
  <c r="B505" i="17"/>
  <c r="B506" i="17"/>
  <c r="B507" i="17"/>
  <c r="B508" i="17"/>
  <c r="B509" i="17"/>
  <c r="B510" i="17"/>
  <c r="B511" i="17"/>
  <c r="B512" i="17"/>
  <c r="B513" i="17"/>
  <c r="B514" i="17"/>
  <c r="B515" i="17"/>
  <c r="B516" i="17"/>
  <c r="B517" i="17"/>
  <c r="B518" i="17"/>
  <c r="B519" i="17"/>
  <c r="B520" i="17"/>
  <c r="B521" i="17"/>
  <c r="B522" i="17"/>
  <c r="B523" i="17"/>
  <c r="B524" i="17"/>
  <c r="B525" i="17"/>
  <c r="B526" i="17"/>
  <c r="B527" i="17"/>
  <c r="B528" i="17"/>
  <c r="B529" i="17"/>
  <c r="B530" i="17"/>
  <c r="B531" i="17"/>
  <c r="B532" i="17"/>
  <c r="B533" i="17"/>
  <c r="B534" i="17"/>
  <c r="B535" i="17"/>
  <c r="B536" i="17"/>
  <c r="B537" i="17"/>
  <c r="B538" i="17"/>
  <c r="B539" i="17"/>
  <c r="B540" i="17"/>
  <c r="B541" i="17"/>
  <c r="B542" i="17"/>
  <c r="B543" i="17"/>
  <c r="B544" i="17"/>
  <c r="B545" i="17"/>
  <c r="B546" i="17"/>
  <c r="B547" i="17"/>
  <c r="B548" i="17"/>
  <c r="B549" i="17"/>
  <c r="B550" i="17"/>
  <c r="B551" i="17"/>
  <c r="B552" i="17"/>
  <c r="B553" i="17"/>
  <c r="B554" i="17"/>
  <c r="B555" i="17"/>
  <c r="B556" i="17"/>
  <c r="B557" i="17"/>
  <c r="B558" i="17"/>
  <c r="B559" i="17"/>
  <c r="B560" i="17"/>
  <c r="B561" i="17"/>
  <c r="B562" i="17"/>
  <c r="B563" i="17"/>
  <c r="B564" i="17"/>
  <c r="B565" i="17"/>
  <c r="B566" i="17"/>
  <c r="B567" i="17"/>
  <c r="B568" i="17"/>
  <c r="B569" i="17"/>
  <c r="B570" i="17"/>
  <c r="B571" i="17"/>
  <c r="B572" i="17"/>
  <c r="B573" i="17"/>
  <c r="B574" i="17"/>
  <c r="B575" i="17"/>
  <c r="B576" i="17"/>
  <c r="B577" i="17"/>
  <c r="B578" i="17"/>
  <c r="B579" i="17"/>
  <c r="B580" i="17"/>
  <c r="B581" i="17"/>
  <c r="B582" i="17"/>
  <c r="B583" i="17"/>
  <c r="B584" i="17"/>
  <c r="B585" i="17"/>
  <c r="B586" i="17"/>
  <c r="B587" i="17"/>
  <c r="B588" i="17"/>
  <c r="B589" i="17"/>
  <c r="B590" i="17"/>
  <c r="B591" i="17"/>
  <c r="B592" i="17"/>
  <c r="B593" i="17"/>
  <c r="B594" i="17"/>
  <c r="B595" i="17"/>
  <c r="B596" i="17"/>
  <c r="B597" i="17"/>
  <c r="B598" i="17"/>
  <c r="B599" i="17"/>
  <c r="B600" i="17"/>
  <c r="B601" i="17"/>
  <c r="B602" i="17"/>
  <c r="B603" i="17"/>
  <c r="B604" i="17"/>
  <c r="B605" i="17"/>
  <c r="B606" i="17"/>
  <c r="B607" i="17"/>
  <c r="B608" i="17"/>
  <c r="B609" i="17"/>
  <c r="B610" i="17"/>
  <c r="B611" i="17"/>
  <c r="B612" i="17"/>
  <c r="B613" i="17"/>
  <c r="B614" i="17"/>
  <c r="B615" i="17"/>
  <c r="B616" i="17"/>
  <c r="B617" i="17"/>
  <c r="B618" i="17"/>
  <c r="B619" i="17"/>
  <c r="B620" i="17"/>
  <c r="B621" i="17"/>
  <c r="B622" i="17"/>
  <c r="B623" i="17"/>
  <c r="B624" i="17"/>
  <c r="B625" i="17"/>
  <c r="B626" i="17"/>
  <c r="B627" i="17"/>
  <c r="B628" i="17"/>
  <c r="B629" i="17"/>
  <c r="B630" i="17"/>
  <c r="B631" i="17"/>
  <c r="B632" i="17"/>
  <c r="B633" i="17"/>
  <c r="B634" i="17"/>
  <c r="B635" i="17"/>
  <c r="B636" i="17"/>
  <c r="B637" i="17"/>
  <c r="B638" i="17"/>
  <c r="B639" i="17"/>
  <c r="B640" i="17"/>
  <c r="B641" i="17"/>
  <c r="B642" i="17"/>
  <c r="B643" i="17"/>
  <c r="B644" i="17"/>
  <c r="B645" i="17"/>
  <c r="B646" i="17"/>
  <c r="B647" i="17"/>
  <c r="B648" i="17"/>
  <c r="B649" i="17"/>
  <c r="B650" i="17"/>
  <c r="B651" i="17"/>
  <c r="B652" i="17"/>
  <c r="B653" i="17"/>
  <c r="B654" i="17"/>
  <c r="B655" i="17"/>
  <c r="B656" i="17"/>
  <c r="B657" i="17"/>
  <c r="B658" i="17"/>
  <c r="B659" i="17"/>
  <c r="B660" i="17"/>
  <c r="B661" i="17"/>
  <c r="B662" i="17"/>
  <c r="B663" i="17"/>
  <c r="B664" i="17"/>
  <c r="B665" i="17"/>
  <c r="B666" i="17"/>
  <c r="B667" i="17"/>
  <c r="B668" i="17"/>
  <c r="B669" i="17"/>
  <c r="B670" i="17"/>
  <c r="B671" i="17"/>
  <c r="B672" i="17"/>
  <c r="B673" i="17"/>
  <c r="B674" i="17"/>
  <c r="B675" i="17"/>
  <c r="B676" i="17"/>
  <c r="B677" i="17"/>
  <c r="B678" i="17"/>
  <c r="B679" i="17"/>
  <c r="B680" i="17"/>
  <c r="B681" i="17"/>
  <c r="B682" i="17"/>
  <c r="B683" i="17"/>
  <c r="B684" i="17"/>
  <c r="B685" i="17"/>
  <c r="B686" i="17"/>
  <c r="B687" i="17"/>
  <c r="B688" i="17"/>
  <c r="B689" i="17"/>
  <c r="B690" i="17"/>
  <c r="B691" i="17"/>
  <c r="B692" i="17"/>
  <c r="B693" i="17"/>
  <c r="B694" i="17"/>
  <c r="B695" i="17"/>
  <c r="B696" i="17"/>
  <c r="B697" i="17"/>
  <c r="B698" i="17"/>
  <c r="B699" i="17"/>
  <c r="B700" i="17"/>
  <c r="B701" i="17"/>
  <c r="B702" i="17"/>
  <c r="B703" i="17"/>
  <c r="B704" i="17"/>
  <c r="B705" i="17"/>
  <c r="B706" i="17"/>
  <c r="B707" i="17"/>
  <c r="B708" i="17"/>
  <c r="B709" i="17"/>
  <c r="B710" i="17"/>
  <c r="B711" i="17"/>
  <c r="B712" i="17"/>
  <c r="B713" i="17"/>
  <c r="B714" i="17"/>
  <c r="B715" i="17"/>
  <c r="B716" i="17"/>
  <c r="B717" i="17"/>
  <c r="B718" i="17"/>
  <c r="B719" i="17"/>
  <c r="B720" i="17"/>
  <c r="B721" i="17"/>
  <c r="B722" i="17"/>
  <c r="B723" i="17"/>
  <c r="B724" i="17"/>
  <c r="B725" i="17"/>
  <c r="B726" i="17"/>
  <c r="B727" i="17"/>
  <c r="B728" i="17"/>
  <c r="B729" i="17"/>
  <c r="B730" i="17"/>
  <c r="B731" i="17"/>
  <c r="B732" i="17"/>
  <c r="B733" i="17"/>
  <c r="B734" i="17"/>
  <c r="B735" i="17"/>
  <c r="B736" i="17"/>
  <c r="B737" i="17"/>
  <c r="B738" i="17"/>
  <c r="B739" i="17"/>
  <c r="B740" i="17"/>
  <c r="B741" i="17"/>
  <c r="B742" i="17"/>
  <c r="B743" i="17"/>
  <c r="B744" i="17"/>
  <c r="B745" i="17"/>
  <c r="B746" i="17"/>
  <c r="B747" i="17"/>
  <c r="B748" i="17"/>
  <c r="B749" i="17"/>
  <c r="B750" i="17"/>
  <c r="B751" i="17"/>
  <c r="B752" i="17"/>
  <c r="B753" i="17"/>
  <c r="B754" i="17"/>
  <c r="B755" i="17"/>
  <c r="B756" i="17"/>
  <c r="B757" i="17"/>
  <c r="B758" i="17"/>
  <c r="B759" i="17"/>
  <c r="B760" i="17"/>
  <c r="B761" i="17"/>
  <c r="B762" i="17"/>
  <c r="B763" i="17"/>
  <c r="B764" i="17"/>
  <c r="B765" i="17"/>
  <c r="B766" i="17"/>
  <c r="B767" i="17"/>
  <c r="B768" i="17"/>
  <c r="B769" i="17"/>
  <c r="B770" i="17"/>
  <c r="B771" i="17"/>
  <c r="B772" i="17"/>
  <c r="B773" i="17"/>
  <c r="B774" i="17"/>
  <c r="B775" i="17"/>
  <c r="B776" i="17"/>
  <c r="B777" i="17"/>
  <c r="B778" i="17"/>
  <c r="B779" i="17"/>
  <c r="B780" i="17"/>
  <c r="B781" i="17"/>
  <c r="B782" i="17"/>
  <c r="B783" i="17"/>
  <c r="B784" i="17"/>
  <c r="B785" i="17"/>
  <c r="B786" i="17"/>
  <c r="B787" i="17"/>
  <c r="B788" i="17"/>
  <c r="B789" i="17"/>
  <c r="B790" i="17"/>
  <c r="B791" i="17"/>
  <c r="B792" i="17"/>
  <c r="B793" i="17"/>
  <c r="B794" i="17"/>
  <c r="B795" i="17"/>
  <c r="B796" i="17"/>
  <c r="B797" i="17"/>
  <c r="B798" i="17"/>
  <c r="B799" i="17"/>
  <c r="B800" i="17"/>
  <c r="B801" i="17"/>
  <c r="B802" i="17"/>
  <c r="B803" i="17"/>
  <c r="B804" i="17"/>
  <c r="B805" i="17"/>
  <c r="B806" i="17"/>
  <c r="B807" i="17"/>
  <c r="B808" i="17"/>
  <c r="B809" i="17"/>
  <c r="B810" i="17"/>
  <c r="B811" i="17"/>
  <c r="B812" i="17"/>
  <c r="B813" i="17"/>
  <c r="B814" i="17"/>
  <c r="B815" i="17"/>
  <c r="B816" i="17"/>
  <c r="B817" i="17"/>
  <c r="B818" i="17"/>
  <c r="B819" i="17"/>
  <c r="B820" i="17"/>
  <c r="B821" i="17"/>
  <c r="B822" i="17"/>
  <c r="B823" i="17"/>
  <c r="B824" i="17"/>
  <c r="B825" i="17"/>
  <c r="B826" i="17"/>
  <c r="B827" i="17"/>
  <c r="B828" i="17"/>
  <c r="B829" i="17"/>
  <c r="B830" i="17"/>
  <c r="B831" i="17"/>
  <c r="B832" i="17"/>
  <c r="B833" i="17"/>
  <c r="B834" i="17"/>
  <c r="B835" i="17"/>
  <c r="B836" i="17"/>
  <c r="B837" i="17"/>
  <c r="B838" i="17"/>
  <c r="B839" i="17"/>
  <c r="B840" i="17"/>
  <c r="B841" i="17"/>
  <c r="B842" i="17"/>
  <c r="B843" i="17"/>
  <c r="B844" i="17"/>
  <c r="B845" i="17"/>
  <c r="B846" i="17"/>
  <c r="B847" i="17"/>
  <c r="B848" i="17"/>
  <c r="B849" i="17"/>
  <c r="B850" i="17"/>
  <c r="B851" i="17"/>
  <c r="B852" i="17"/>
  <c r="B853" i="17"/>
  <c r="B854" i="17"/>
  <c r="B855" i="17"/>
  <c r="B856" i="17"/>
  <c r="B857" i="17"/>
  <c r="B858" i="17"/>
  <c r="B859" i="17"/>
  <c r="B860" i="17"/>
  <c r="B861" i="17"/>
  <c r="B862" i="17"/>
  <c r="B863" i="17"/>
  <c r="B864" i="17"/>
  <c r="B865" i="17"/>
  <c r="B866" i="17"/>
  <c r="B867" i="17"/>
  <c r="B868" i="17"/>
  <c r="B869" i="17"/>
  <c r="B870" i="17"/>
  <c r="B871" i="17"/>
  <c r="B872" i="17"/>
  <c r="B873" i="17"/>
  <c r="B874" i="17"/>
  <c r="B875" i="17"/>
  <c r="B876" i="17"/>
  <c r="B877" i="17"/>
  <c r="B878" i="17"/>
  <c r="B879" i="17"/>
  <c r="B880" i="17"/>
  <c r="B881" i="17"/>
  <c r="B882" i="17"/>
  <c r="B883" i="17"/>
  <c r="B884" i="17"/>
  <c r="B885" i="17"/>
  <c r="B886" i="17"/>
  <c r="B887" i="17"/>
  <c r="B888" i="17"/>
  <c r="B889" i="17"/>
  <c r="B890" i="17"/>
  <c r="B891" i="17"/>
  <c r="B892" i="17"/>
  <c r="B893" i="17"/>
  <c r="B894" i="17"/>
  <c r="B895" i="17"/>
  <c r="B896" i="17"/>
  <c r="B897" i="17"/>
  <c r="B898" i="17"/>
  <c r="B899" i="17"/>
  <c r="B900" i="17"/>
  <c r="B901" i="17"/>
  <c r="B902" i="17"/>
  <c r="B903" i="17"/>
  <c r="B904" i="17"/>
  <c r="B905" i="17"/>
  <c r="B906" i="17"/>
  <c r="B907" i="17"/>
  <c r="B908" i="17"/>
  <c r="B909" i="17"/>
  <c r="B910" i="17"/>
  <c r="B911" i="17"/>
  <c r="B912" i="17"/>
  <c r="B913" i="17"/>
  <c r="B914" i="17"/>
  <c r="B915" i="17"/>
  <c r="B916" i="17"/>
  <c r="B917" i="17"/>
  <c r="B918" i="17"/>
  <c r="B919" i="17"/>
  <c r="B920" i="17"/>
  <c r="B921" i="17"/>
  <c r="B922" i="17"/>
  <c r="B923" i="17"/>
  <c r="B924" i="17"/>
  <c r="B925" i="17"/>
  <c r="B926" i="17"/>
  <c r="B927" i="17"/>
  <c r="B928" i="17"/>
  <c r="B929" i="17"/>
  <c r="B930" i="17"/>
  <c r="B931" i="17"/>
  <c r="B932" i="17"/>
  <c r="B933" i="17"/>
  <c r="B934" i="17"/>
  <c r="B935" i="17"/>
  <c r="B936" i="17"/>
  <c r="B937" i="17"/>
  <c r="B938" i="17"/>
  <c r="B939" i="17"/>
  <c r="B940" i="17"/>
  <c r="B941" i="17"/>
  <c r="B942" i="17"/>
  <c r="B943" i="17"/>
  <c r="B944" i="17"/>
  <c r="B945" i="17"/>
  <c r="B946" i="17"/>
  <c r="B947" i="17"/>
  <c r="B948" i="17"/>
  <c r="B949" i="17"/>
  <c r="B950" i="17"/>
  <c r="B951" i="17"/>
  <c r="B952" i="17"/>
  <c r="B953" i="17"/>
  <c r="B954" i="17"/>
  <c r="B955" i="17"/>
  <c r="B956" i="17"/>
  <c r="B957" i="17"/>
  <c r="B958" i="17"/>
  <c r="B959" i="17"/>
  <c r="B960" i="17"/>
  <c r="B961" i="17"/>
  <c r="B962" i="17"/>
  <c r="B963" i="17"/>
  <c r="B964" i="17"/>
  <c r="B965" i="17"/>
  <c r="B966" i="17"/>
  <c r="B967" i="17"/>
  <c r="B968" i="17"/>
  <c r="B969" i="17"/>
  <c r="B970" i="17"/>
  <c r="B971" i="17"/>
  <c r="B972" i="17"/>
  <c r="B973" i="17"/>
  <c r="B974" i="17"/>
  <c r="B975" i="17"/>
  <c r="B976" i="17"/>
  <c r="B977" i="17"/>
  <c r="B978" i="17"/>
  <c r="B979" i="17"/>
  <c r="B980" i="17"/>
  <c r="B981" i="17"/>
  <c r="B982" i="17"/>
  <c r="B983" i="17"/>
  <c r="B984" i="17"/>
  <c r="B985" i="17"/>
  <c r="B986" i="17"/>
  <c r="B987" i="17"/>
  <c r="B988" i="17"/>
  <c r="B989" i="17"/>
  <c r="B990" i="17"/>
  <c r="B991" i="17"/>
  <c r="B992" i="17"/>
  <c r="B993" i="17"/>
  <c r="B994" i="17"/>
  <c r="B995" i="17"/>
  <c r="B996" i="17"/>
  <c r="B997" i="17"/>
  <c r="B998" i="17"/>
  <c r="B999" i="17"/>
  <c r="B1000" i="17"/>
  <c r="B1001" i="17"/>
  <c r="B1002" i="17"/>
  <c r="B1003" i="17"/>
  <c r="B1004" i="17"/>
  <c r="B1005" i="17"/>
  <c r="B1006" i="17"/>
  <c r="B1007" i="17"/>
  <c r="B1008" i="17"/>
  <c r="B1009" i="17"/>
  <c r="B1010" i="17"/>
  <c r="B1011" i="17"/>
  <c r="B1012" i="17"/>
  <c r="B1013" i="17"/>
  <c r="B1014" i="17"/>
  <c r="B1015" i="17"/>
  <c r="B1016" i="17"/>
  <c r="B1017" i="17"/>
  <c r="B1018" i="17"/>
  <c r="B1019" i="17"/>
  <c r="B1020" i="17"/>
  <c r="B1021" i="17"/>
  <c r="B1022" i="17"/>
  <c r="B1023" i="17"/>
  <c r="B1024" i="17"/>
  <c r="B1025" i="17"/>
  <c r="B1026" i="17"/>
  <c r="B1027" i="17"/>
  <c r="B1028" i="17"/>
  <c r="B1029" i="17"/>
  <c r="B1030" i="17"/>
  <c r="B1031" i="17"/>
  <c r="B1032" i="17"/>
  <c r="B1033" i="17"/>
  <c r="B1034" i="17"/>
  <c r="B1035" i="17"/>
  <c r="B1036" i="17"/>
  <c r="B1037" i="17"/>
  <c r="B1038" i="17"/>
  <c r="B1039" i="17"/>
  <c r="B1040" i="17"/>
  <c r="B1041" i="17"/>
  <c r="B1042" i="17"/>
  <c r="B1043" i="17"/>
  <c r="B1044" i="17"/>
  <c r="B1045" i="17"/>
  <c r="B1046" i="17"/>
  <c r="B1047" i="17"/>
  <c r="B1048" i="17"/>
  <c r="B1049" i="17"/>
  <c r="B1050" i="17"/>
  <c r="B1051" i="17"/>
  <c r="B1052" i="17"/>
  <c r="B1053" i="17"/>
  <c r="B1054" i="17"/>
  <c r="B1055" i="17"/>
  <c r="B1056" i="17"/>
  <c r="B1057" i="17"/>
  <c r="B1058" i="17"/>
  <c r="B1059" i="17"/>
  <c r="B1060" i="17"/>
  <c r="B1061" i="17"/>
  <c r="B1062" i="17"/>
  <c r="B1063" i="17"/>
  <c r="B1064" i="17"/>
  <c r="B1065" i="17"/>
  <c r="B1066" i="17"/>
  <c r="B1067" i="17"/>
  <c r="B1068" i="17"/>
  <c r="B1069" i="17"/>
  <c r="B1070" i="17"/>
  <c r="B1071" i="17"/>
  <c r="B1072" i="17"/>
  <c r="B1073" i="17"/>
  <c r="B1074" i="17"/>
  <c r="B1075" i="17"/>
  <c r="B1076" i="17"/>
  <c r="B1077" i="17"/>
  <c r="B1078" i="17"/>
  <c r="B1079" i="17"/>
  <c r="B1080" i="17"/>
  <c r="B1081" i="17"/>
  <c r="B1082" i="17"/>
  <c r="B1083" i="17"/>
  <c r="B1084" i="17"/>
  <c r="B1085" i="17"/>
  <c r="B1086" i="17"/>
  <c r="B1087" i="17"/>
  <c r="B1088" i="17"/>
  <c r="B1089" i="17"/>
  <c r="B1090" i="17"/>
  <c r="B1091" i="17"/>
  <c r="B1092" i="17"/>
  <c r="B1093" i="17"/>
  <c r="B1094" i="17"/>
  <c r="B1095" i="17"/>
  <c r="B1096" i="17"/>
  <c r="B1097" i="17"/>
  <c r="B1098" i="17"/>
  <c r="B1099" i="17"/>
  <c r="B1100" i="17"/>
  <c r="B1101" i="17"/>
  <c r="B1102" i="17"/>
  <c r="B1103" i="17"/>
  <c r="B1104" i="17"/>
  <c r="B1105" i="17"/>
  <c r="B1106" i="17"/>
  <c r="B1107" i="17"/>
  <c r="B1108" i="17"/>
  <c r="B1109" i="17"/>
  <c r="B1110" i="17"/>
  <c r="B1111" i="17"/>
  <c r="B1112" i="17"/>
  <c r="B1113" i="17"/>
  <c r="B1114" i="17"/>
  <c r="B1115" i="17"/>
  <c r="B1116" i="17"/>
  <c r="B1117" i="17"/>
  <c r="B1118" i="17"/>
  <c r="B1119" i="17"/>
  <c r="B1120" i="17"/>
  <c r="B1121" i="17"/>
  <c r="B1122" i="17"/>
  <c r="B1123" i="17"/>
  <c r="B1124" i="17"/>
  <c r="B1125" i="17"/>
  <c r="B1126" i="17"/>
  <c r="B1127" i="17"/>
  <c r="B1128" i="17"/>
  <c r="B1129" i="17"/>
  <c r="B1130" i="17"/>
  <c r="B1131" i="17"/>
  <c r="B1132" i="17"/>
  <c r="B1133" i="17"/>
  <c r="B1134" i="17"/>
  <c r="B1135" i="17"/>
  <c r="B1136" i="17"/>
  <c r="B1137" i="17"/>
  <c r="B1138" i="17"/>
  <c r="B1139" i="17"/>
  <c r="B1140" i="17"/>
  <c r="B1141" i="17"/>
  <c r="B1142" i="17"/>
  <c r="B1143" i="17"/>
  <c r="B1144" i="17"/>
  <c r="B1145" i="17"/>
  <c r="B1146" i="17"/>
  <c r="B1147" i="17"/>
  <c r="B1148" i="17"/>
  <c r="B1149" i="17"/>
  <c r="B1150" i="17"/>
  <c r="B1151" i="17"/>
  <c r="B1152" i="17"/>
  <c r="B1153" i="17"/>
  <c r="B1154" i="17"/>
  <c r="B1155" i="17"/>
  <c r="B1156" i="17"/>
  <c r="B1157" i="17"/>
  <c r="B1158" i="17"/>
  <c r="B1159" i="17"/>
  <c r="B1160" i="17"/>
  <c r="B1161" i="17"/>
  <c r="B1162" i="17"/>
  <c r="B1163" i="17"/>
  <c r="B1164" i="17"/>
  <c r="B1165" i="17"/>
  <c r="B1166" i="17"/>
  <c r="B1167" i="17"/>
  <c r="B1168" i="17"/>
  <c r="B1169" i="17"/>
  <c r="B1170" i="17"/>
  <c r="B1171" i="17"/>
  <c r="B1172" i="17"/>
  <c r="B1173" i="17"/>
  <c r="B1174" i="17"/>
  <c r="B1175" i="17"/>
  <c r="B1176" i="17"/>
  <c r="B1177" i="17"/>
  <c r="B1178" i="17"/>
  <c r="B1179" i="17"/>
  <c r="B1180" i="17"/>
  <c r="B1181" i="17"/>
  <c r="B1182" i="17"/>
  <c r="B1183" i="17"/>
  <c r="B1184" i="17"/>
  <c r="B1185" i="17"/>
  <c r="B1186" i="17"/>
  <c r="B1187" i="17"/>
  <c r="B1188" i="17"/>
  <c r="B1189" i="17"/>
  <c r="B1190" i="17"/>
  <c r="B1191" i="17"/>
  <c r="B1192" i="17"/>
  <c r="B1193" i="17"/>
  <c r="B1194" i="17"/>
  <c r="B1195" i="17"/>
  <c r="B1196" i="17"/>
  <c r="B1197" i="17"/>
  <c r="B1198" i="17"/>
  <c r="B1199" i="17"/>
  <c r="B1200" i="17"/>
  <c r="B1201" i="17"/>
  <c r="B1202" i="17"/>
  <c r="B1203" i="17"/>
  <c r="B1204" i="17"/>
  <c r="B1205" i="17"/>
  <c r="B1206" i="17"/>
  <c r="B1207" i="17"/>
  <c r="B1208" i="17"/>
  <c r="B1209" i="17"/>
  <c r="B1210" i="17"/>
  <c r="B1211" i="17"/>
  <c r="B1212" i="17"/>
  <c r="B1213" i="17"/>
  <c r="B1214" i="17"/>
  <c r="B1215" i="17"/>
  <c r="B1216" i="17"/>
  <c r="B1217" i="17"/>
  <c r="B1218" i="17"/>
  <c r="B1219" i="17"/>
  <c r="B1220" i="17"/>
  <c r="B1221" i="17"/>
  <c r="B1222" i="17"/>
  <c r="B1223" i="17"/>
  <c r="B1224" i="17"/>
  <c r="B1225" i="17"/>
  <c r="B1226" i="17"/>
  <c r="B1227" i="17"/>
  <c r="B1228" i="17"/>
  <c r="B1229" i="17"/>
  <c r="B1230" i="17"/>
  <c r="B1231" i="17"/>
  <c r="B1232" i="17"/>
  <c r="B1233" i="17"/>
  <c r="B1234" i="17"/>
  <c r="B1235" i="17"/>
  <c r="B1236" i="17"/>
  <c r="B1237" i="17"/>
  <c r="B1238" i="17"/>
  <c r="B1239" i="17"/>
  <c r="B1240" i="17"/>
  <c r="B1241" i="17"/>
  <c r="B1242" i="17"/>
  <c r="B1243" i="17"/>
  <c r="B1244" i="17"/>
  <c r="B1245" i="17"/>
  <c r="B1246" i="17"/>
  <c r="B1247" i="17"/>
  <c r="B1248" i="17"/>
  <c r="B1249" i="17"/>
  <c r="B1250" i="17"/>
  <c r="B1251" i="17"/>
  <c r="B1252" i="17"/>
  <c r="B1253" i="17"/>
  <c r="B1254" i="17"/>
  <c r="B1255" i="17"/>
  <c r="B1256" i="17"/>
  <c r="B1257" i="17"/>
  <c r="B1258" i="17"/>
  <c r="B1259" i="17"/>
  <c r="B1260" i="17"/>
  <c r="B1261" i="17"/>
  <c r="B1262" i="17"/>
  <c r="B1263" i="17"/>
  <c r="B1264" i="17"/>
  <c r="B1265" i="17"/>
  <c r="B1266" i="17"/>
  <c r="B1267" i="17"/>
  <c r="B1268" i="17"/>
  <c r="B1269" i="17"/>
  <c r="B1270" i="17"/>
  <c r="B1271" i="17"/>
  <c r="B1272" i="17"/>
  <c r="B1273" i="17"/>
  <c r="B1274" i="17"/>
  <c r="B1275" i="17"/>
  <c r="B1276" i="17"/>
  <c r="B1277" i="17"/>
  <c r="B1278" i="17"/>
  <c r="B1279" i="17"/>
  <c r="B1280" i="17"/>
  <c r="B1281" i="17"/>
  <c r="B1282" i="17"/>
  <c r="B1283" i="17"/>
  <c r="B1284" i="17"/>
  <c r="B1285" i="17"/>
  <c r="B1286" i="17"/>
  <c r="B1287" i="17"/>
  <c r="B1288" i="17"/>
  <c r="B1289" i="17"/>
  <c r="B1290" i="17"/>
  <c r="B1291" i="17"/>
  <c r="B1292" i="17"/>
  <c r="B1293" i="17"/>
  <c r="B1294" i="17"/>
  <c r="B1295" i="17"/>
  <c r="B1296" i="17"/>
  <c r="B1297" i="17"/>
  <c r="B1298" i="17"/>
  <c r="B1299" i="17"/>
  <c r="B1300" i="17"/>
  <c r="B1301" i="17"/>
  <c r="B1302" i="17"/>
  <c r="B1303" i="17"/>
  <c r="B1304" i="17"/>
  <c r="B1305" i="17"/>
  <c r="B1306" i="17"/>
  <c r="B1307" i="17"/>
  <c r="B1308" i="17"/>
  <c r="B1309" i="17"/>
  <c r="B1310" i="17"/>
  <c r="B1311" i="17"/>
  <c r="B1312" i="17"/>
  <c r="B1313" i="17"/>
  <c r="B1314" i="17"/>
  <c r="B1315" i="17"/>
  <c r="B1316" i="17"/>
  <c r="B1317" i="17"/>
  <c r="B1318" i="17"/>
  <c r="B1319" i="17"/>
  <c r="B1320" i="17"/>
  <c r="B1321" i="17"/>
  <c r="B1322" i="17"/>
  <c r="B1323" i="17"/>
  <c r="B1324" i="17"/>
  <c r="B1325" i="17"/>
  <c r="B1326" i="17"/>
  <c r="B1327" i="17"/>
  <c r="B1328" i="17"/>
  <c r="B1329" i="17"/>
  <c r="B1330" i="17"/>
  <c r="B1331" i="17"/>
  <c r="B1332" i="17"/>
  <c r="B1333" i="17"/>
  <c r="B1334" i="17"/>
  <c r="B1335" i="17"/>
  <c r="B1336" i="17"/>
  <c r="B1337" i="17"/>
  <c r="B1338" i="17"/>
  <c r="B1339" i="17"/>
  <c r="B1340" i="17"/>
  <c r="B1341" i="17"/>
  <c r="B1342" i="17"/>
  <c r="B1343" i="17"/>
  <c r="B1344" i="17"/>
  <c r="B1345" i="17"/>
  <c r="B1346" i="17"/>
  <c r="B1347" i="17"/>
  <c r="B1348" i="17"/>
  <c r="B1349" i="17"/>
  <c r="B1350" i="17"/>
  <c r="B1351" i="17"/>
  <c r="B1352" i="17"/>
  <c r="B1353" i="17"/>
  <c r="B1354" i="17"/>
  <c r="B1355" i="17"/>
  <c r="B1356" i="17"/>
  <c r="B1357" i="17"/>
  <c r="B1358" i="17"/>
  <c r="B1359" i="17"/>
  <c r="B1360" i="17"/>
  <c r="B1361" i="17"/>
  <c r="B1362" i="17"/>
  <c r="B1363" i="17"/>
  <c r="B1364" i="17"/>
  <c r="B1365" i="17"/>
  <c r="B1366" i="17"/>
  <c r="B1367" i="17"/>
  <c r="B1368" i="17"/>
  <c r="B1369" i="17"/>
  <c r="B1370" i="17"/>
  <c r="B1371" i="17"/>
  <c r="B1372" i="17"/>
  <c r="B1373" i="17"/>
  <c r="B1374" i="17"/>
  <c r="B1375" i="17"/>
  <c r="B1376" i="17"/>
  <c r="B1377" i="17"/>
  <c r="B1378" i="17"/>
  <c r="B1379" i="17"/>
  <c r="B1380" i="17"/>
  <c r="B1381" i="17"/>
  <c r="B1382" i="17"/>
  <c r="B1383" i="17"/>
  <c r="B1384" i="17"/>
  <c r="B1385" i="17"/>
  <c r="B1386" i="17"/>
  <c r="B1387" i="17"/>
  <c r="B1388" i="17"/>
  <c r="B1389" i="17"/>
  <c r="B1390" i="17"/>
  <c r="B1391" i="17"/>
  <c r="B1392" i="17"/>
  <c r="B1393" i="17"/>
  <c r="B1394" i="17"/>
  <c r="B1395" i="17"/>
  <c r="B1396" i="17"/>
  <c r="B1397" i="17"/>
  <c r="B1398" i="17"/>
  <c r="B1399" i="17"/>
  <c r="B1400" i="17"/>
  <c r="B1401" i="17"/>
  <c r="B1402" i="17"/>
  <c r="B1403" i="17"/>
  <c r="B1404" i="17"/>
  <c r="B1405" i="17"/>
  <c r="B1406" i="17"/>
  <c r="B1407" i="17"/>
  <c r="B1408" i="17"/>
  <c r="B1409" i="17"/>
  <c r="B1410" i="17"/>
  <c r="B1411" i="17"/>
  <c r="B1412" i="17"/>
  <c r="B1413" i="17"/>
  <c r="B1414" i="17"/>
  <c r="B1415" i="17"/>
  <c r="B1416" i="17"/>
  <c r="B1417" i="17"/>
  <c r="B1418" i="17"/>
  <c r="B1419" i="17"/>
  <c r="B1420" i="17"/>
  <c r="B1421" i="17"/>
  <c r="B1422" i="17"/>
  <c r="B1423" i="17"/>
  <c r="B1424" i="17"/>
  <c r="B1425" i="17"/>
  <c r="B1426" i="17"/>
  <c r="B1427" i="17"/>
  <c r="B1428" i="17"/>
  <c r="B1429" i="17"/>
  <c r="B1430" i="17"/>
  <c r="B1431" i="17"/>
  <c r="B1432" i="17"/>
  <c r="B1433" i="17"/>
  <c r="B1434" i="17"/>
  <c r="B1435" i="17"/>
  <c r="B1436" i="17"/>
  <c r="B1437" i="17"/>
  <c r="B1438" i="17"/>
  <c r="B1439" i="17"/>
  <c r="B1440" i="17"/>
  <c r="B1441" i="17"/>
  <c r="B1442" i="17"/>
  <c r="B1443" i="17"/>
  <c r="B1444" i="17"/>
  <c r="B1445" i="17"/>
  <c r="B1446" i="17"/>
  <c r="B1447" i="17"/>
  <c r="B1448" i="17"/>
  <c r="B1449" i="17"/>
  <c r="B1450" i="17"/>
  <c r="B1451" i="17"/>
  <c r="B1452" i="17"/>
  <c r="B1453" i="17"/>
  <c r="B1454" i="17"/>
  <c r="B1455" i="17"/>
  <c r="B1456" i="17"/>
  <c r="B1457" i="17"/>
  <c r="B1458" i="17"/>
  <c r="B1459" i="17"/>
  <c r="B1460" i="17"/>
  <c r="B1461" i="17"/>
  <c r="B1462" i="17"/>
  <c r="B1463" i="17"/>
  <c r="B1464" i="17"/>
  <c r="B1465" i="17"/>
  <c r="B1466" i="17"/>
  <c r="B1467" i="17"/>
  <c r="B1468" i="17"/>
  <c r="B1469" i="17"/>
  <c r="B1470" i="17"/>
  <c r="B1471" i="17"/>
  <c r="B1472" i="17"/>
  <c r="B1473" i="17"/>
  <c r="B1474" i="17"/>
  <c r="B1475" i="17"/>
  <c r="B1476" i="17"/>
  <c r="B1477" i="17"/>
  <c r="B1478" i="17"/>
  <c r="B1479" i="17"/>
  <c r="B1480" i="17"/>
  <c r="B1481" i="17"/>
  <c r="B1482" i="17"/>
  <c r="B1483" i="17"/>
  <c r="B1484" i="17"/>
  <c r="B1485" i="17"/>
  <c r="B1486" i="17"/>
  <c r="B1487" i="17"/>
  <c r="B1488" i="17"/>
  <c r="B1489" i="17"/>
  <c r="B1490" i="17"/>
  <c r="B1491" i="17"/>
  <c r="B1492" i="17"/>
  <c r="B1493" i="17"/>
  <c r="B1494" i="17"/>
  <c r="B1495" i="17"/>
  <c r="B1496" i="17"/>
  <c r="B1497" i="17"/>
  <c r="B1498" i="17"/>
  <c r="B1499" i="17"/>
  <c r="B1500" i="17"/>
  <c r="B1501" i="17"/>
  <c r="B1502" i="17"/>
  <c r="B1503" i="17"/>
  <c r="B1504" i="17"/>
  <c r="B1505" i="17"/>
  <c r="B1506" i="17"/>
  <c r="B1507" i="17"/>
  <c r="B1508" i="17"/>
  <c r="B1509" i="17"/>
  <c r="B1510" i="17"/>
  <c r="B1511" i="17"/>
  <c r="B1512" i="17"/>
  <c r="B1513" i="17"/>
  <c r="B1514" i="17"/>
  <c r="B1515" i="17"/>
  <c r="B1516" i="17"/>
  <c r="B1517" i="17"/>
  <c r="B1518" i="17"/>
  <c r="B1519" i="17"/>
  <c r="B1520" i="17"/>
  <c r="B1521" i="17"/>
  <c r="B1522" i="17"/>
  <c r="B1523" i="17"/>
  <c r="B1524" i="17"/>
  <c r="B1525" i="17"/>
  <c r="B1526" i="17"/>
  <c r="B1527" i="17"/>
  <c r="B1528" i="17"/>
  <c r="B1529" i="17"/>
  <c r="B1530" i="17"/>
  <c r="B1531" i="17"/>
  <c r="B1532" i="17"/>
  <c r="B1533" i="17"/>
  <c r="B1534" i="17"/>
  <c r="B1535" i="17"/>
  <c r="B1536" i="17"/>
  <c r="B1537" i="17"/>
  <c r="B1538" i="17"/>
  <c r="B1539" i="17"/>
  <c r="B1540" i="17"/>
  <c r="B1541" i="17"/>
  <c r="B1542" i="17"/>
  <c r="B1543" i="17"/>
  <c r="B1544" i="17"/>
  <c r="B1545" i="17"/>
  <c r="B1546" i="17"/>
  <c r="B1547" i="17"/>
  <c r="B1548" i="17"/>
  <c r="B1549" i="17"/>
  <c r="B1550" i="17"/>
  <c r="B1551" i="17"/>
  <c r="B1552" i="17"/>
  <c r="B1553" i="17"/>
  <c r="B1554" i="17"/>
  <c r="B1555" i="17"/>
  <c r="B1556" i="17"/>
  <c r="B1557" i="17"/>
  <c r="B1558" i="17"/>
  <c r="B1559" i="17"/>
  <c r="B1560" i="17"/>
  <c r="B1561" i="17"/>
  <c r="B1562" i="17"/>
  <c r="B1563" i="17"/>
  <c r="B1564" i="17"/>
  <c r="B1565" i="17"/>
  <c r="B1566" i="17"/>
  <c r="B1567" i="17"/>
  <c r="B1568" i="17"/>
  <c r="B1569" i="17"/>
  <c r="B1570" i="17"/>
  <c r="B1571" i="17"/>
  <c r="B1572" i="17"/>
  <c r="B1573" i="17"/>
  <c r="B1574" i="17"/>
  <c r="B1575" i="17"/>
  <c r="B1576" i="17"/>
  <c r="B1577" i="17"/>
  <c r="B1578" i="17"/>
  <c r="B1579" i="17"/>
  <c r="B1580" i="17"/>
  <c r="B1581" i="17"/>
  <c r="B1582" i="17"/>
  <c r="B1583" i="17"/>
  <c r="B1584" i="17"/>
  <c r="B1585" i="17"/>
  <c r="B1586" i="17"/>
  <c r="B1587" i="17"/>
  <c r="B1588" i="17"/>
  <c r="B1589" i="17"/>
  <c r="B1590" i="17"/>
  <c r="B1591" i="17"/>
  <c r="B1592" i="17"/>
  <c r="B1593" i="17"/>
  <c r="B1594" i="17"/>
  <c r="B1595" i="17"/>
  <c r="B1596" i="17"/>
  <c r="B1597" i="17"/>
  <c r="B1598" i="17"/>
  <c r="B1599" i="17"/>
  <c r="B1600" i="17"/>
  <c r="B1601" i="17"/>
  <c r="B1602" i="17"/>
  <c r="B1603" i="17"/>
  <c r="B1604" i="17"/>
  <c r="B1605" i="17"/>
  <c r="B1606" i="17"/>
  <c r="B1607" i="17"/>
  <c r="B1608" i="17"/>
  <c r="B1609" i="17"/>
  <c r="B1610" i="17"/>
  <c r="B1611" i="17"/>
  <c r="B1612" i="17"/>
  <c r="B1613" i="17"/>
  <c r="B1614" i="17"/>
  <c r="B1615" i="17"/>
  <c r="B1616" i="17"/>
  <c r="B1617" i="17"/>
  <c r="B1618" i="17"/>
  <c r="B1619" i="17"/>
  <c r="B1620" i="17"/>
  <c r="B1621" i="17"/>
  <c r="B1622" i="17"/>
  <c r="B1623" i="17"/>
  <c r="B1624" i="17"/>
  <c r="B1625" i="17"/>
  <c r="B1626" i="17"/>
  <c r="B1627" i="17"/>
  <c r="B1628" i="17"/>
  <c r="B1629" i="17"/>
  <c r="B1630" i="17"/>
  <c r="B1631" i="17"/>
  <c r="B1632" i="17"/>
  <c r="B1633" i="17"/>
  <c r="B1634" i="17"/>
  <c r="B1635" i="17"/>
  <c r="B1636" i="17"/>
  <c r="B1637" i="17"/>
  <c r="B1638" i="17"/>
  <c r="B1639" i="17"/>
  <c r="B1640" i="17"/>
  <c r="B1641" i="17"/>
  <c r="B1642" i="17"/>
  <c r="B1643" i="17"/>
  <c r="B1644" i="17"/>
  <c r="B1645" i="17"/>
  <c r="B1646" i="17"/>
  <c r="B1647" i="17"/>
  <c r="B1648" i="17"/>
  <c r="B1649" i="17"/>
  <c r="B1650" i="17"/>
  <c r="B1651" i="17"/>
  <c r="B1652" i="17"/>
  <c r="B1653" i="17"/>
  <c r="B1654" i="17"/>
  <c r="B1655" i="17"/>
  <c r="B1656" i="17"/>
  <c r="B1657" i="17"/>
  <c r="B1658" i="17"/>
  <c r="B1659" i="17"/>
  <c r="B1660" i="17"/>
  <c r="B1661" i="17"/>
  <c r="B1662" i="17"/>
  <c r="B1663" i="17"/>
  <c r="B1664" i="17"/>
  <c r="B1665" i="17"/>
  <c r="B1666" i="17"/>
  <c r="B1667" i="17"/>
  <c r="B1668" i="17"/>
  <c r="B1669" i="17"/>
  <c r="B1670" i="17"/>
  <c r="B1671" i="17"/>
  <c r="B1672" i="17"/>
  <c r="B1673" i="17"/>
  <c r="B1674" i="17"/>
  <c r="B1675" i="17"/>
  <c r="B1676" i="17"/>
  <c r="B1677" i="17"/>
  <c r="B1678" i="17"/>
  <c r="B1679" i="17"/>
  <c r="B1680" i="17"/>
  <c r="B1681" i="17"/>
  <c r="B1682" i="17"/>
  <c r="B1683" i="17"/>
  <c r="B1684" i="17"/>
  <c r="B1685" i="17"/>
  <c r="B1686" i="17"/>
  <c r="B1687" i="17"/>
  <c r="B1688" i="17"/>
  <c r="B1689" i="17"/>
  <c r="B1690" i="17"/>
  <c r="B1691" i="17"/>
  <c r="B1692" i="17"/>
  <c r="B1693" i="17"/>
  <c r="B1694" i="17"/>
  <c r="B1695" i="17"/>
  <c r="B1696" i="17"/>
  <c r="B1697" i="17"/>
  <c r="B1698" i="17"/>
  <c r="B1699" i="17"/>
  <c r="B1700" i="17"/>
  <c r="B1701" i="17"/>
  <c r="B1702" i="17"/>
  <c r="B1703" i="17"/>
  <c r="B1704" i="17"/>
  <c r="B1705" i="17"/>
  <c r="B1706" i="17"/>
  <c r="B1707" i="17"/>
  <c r="B1708" i="17"/>
  <c r="B1709" i="17"/>
  <c r="B1710" i="17"/>
  <c r="B1711" i="17"/>
  <c r="B1712" i="17"/>
  <c r="B1713" i="17"/>
  <c r="B1714" i="17"/>
  <c r="B1715" i="17"/>
  <c r="B1716" i="17"/>
  <c r="B1717" i="17"/>
  <c r="B1718" i="17"/>
  <c r="B1719" i="17"/>
  <c r="B1720" i="17"/>
  <c r="B1721" i="17"/>
  <c r="B1722" i="17"/>
  <c r="B1723" i="17"/>
  <c r="B1724" i="17"/>
  <c r="B1725" i="17"/>
  <c r="B1726" i="17"/>
  <c r="B1727" i="17"/>
  <c r="B1728" i="17"/>
  <c r="B1729" i="17"/>
  <c r="B1730" i="17"/>
  <c r="B1731" i="17"/>
  <c r="B1732" i="17"/>
  <c r="B1733" i="17"/>
  <c r="B1734" i="17"/>
  <c r="B1735" i="17"/>
  <c r="B1736" i="17"/>
  <c r="B1737" i="17"/>
  <c r="B1738" i="17"/>
  <c r="B1739" i="17"/>
  <c r="B1740" i="17"/>
  <c r="B1741" i="17"/>
  <c r="B1742" i="17"/>
  <c r="B1743" i="17"/>
  <c r="B1744" i="17"/>
  <c r="B1745" i="17"/>
  <c r="B1746" i="17"/>
  <c r="B1747" i="17"/>
  <c r="B1748" i="17"/>
  <c r="B1749" i="17"/>
  <c r="B1750" i="17"/>
  <c r="B1751" i="17"/>
  <c r="B1752" i="17"/>
  <c r="B1753" i="17"/>
  <c r="B1754" i="17"/>
  <c r="B1755" i="17"/>
  <c r="B1756" i="17"/>
  <c r="B1757" i="17"/>
  <c r="B1758" i="17"/>
  <c r="B1759" i="17"/>
  <c r="B1760" i="17"/>
  <c r="B1761" i="17"/>
  <c r="B1762" i="17"/>
  <c r="B1763" i="17"/>
  <c r="B1764" i="17"/>
  <c r="B1765" i="17"/>
  <c r="B1766" i="17"/>
  <c r="B1767" i="17"/>
  <c r="B1768" i="17"/>
  <c r="B1769" i="17"/>
  <c r="B1770" i="17"/>
  <c r="B1771" i="17"/>
  <c r="B1772" i="17"/>
  <c r="B1773" i="17"/>
  <c r="B1774" i="17"/>
  <c r="B1775" i="17"/>
  <c r="B1776" i="17"/>
  <c r="B1777" i="17"/>
  <c r="B1778" i="17"/>
  <c r="B1779" i="17"/>
  <c r="B1780" i="17"/>
  <c r="B1781" i="17"/>
  <c r="B1782" i="17"/>
  <c r="B1783" i="17"/>
  <c r="B1784" i="17"/>
  <c r="B1785" i="17"/>
  <c r="B1786" i="17"/>
  <c r="B1787" i="17"/>
  <c r="B1788" i="17"/>
  <c r="B1789" i="17"/>
  <c r="B1790" i="17"/>
  <c r="B1791" i="17"/>
  <c r="B1792" i="17"/>
  <c r="B1793" i="17"/>
  <c r="B1794" i="17"/>
  <c r="B1795" i="17"/>
  <c r="B1796" i="17"/>
  <c r="B1797" i="17"/>
  <c r="B1798" i="17"/>
  <c r="B1799" i="17"/>
  <c r="B1800" i="17"/>
  <c r="B1801" i="17"/>
  <c r="B1802" i="17"/>
  <c r="B1803" i="17"/>
  <c r="B1804" i="17"/>
  <c r="B1805" i="17"/>
  <c r="B1806" i="17"/>
  <c r="B1807" i="17"/>
  <c r="B1808" i="17"/>
  <c r="B1809" i="17"/>
  <c r="B1810" i="17"/>
  <c r="B1811" i="17"/>
  <c r="B1812" i="17"/>
  <c r="B1813" i="17"/>
  <c r="B1814" i="17"/>
  <c r="B1815" i="17"/>
  <c r="B1816" i="17"/>
  <c r="B1817" i="17"/>
  <c r="B1818" i="17"/>
  <c r="B1819" i="17"/>
  <c r="B1820" i="17"/>
  <c r="B1821" i="17"/>
  <c r="B1822" i="17"/>
  <c r="B1823" i="17"/>
  <c r="B1824" i="17"/>
  <c r="B1825" i="17"/>
  <c r="B1826" i="17"/>
  <c r="B1827" i="17"/>
  <c r="B1828" i="17"/>
  <c r="B1829" i="17"/>
  <c r="B1830" i="17"/>
  <c r="B1831" i="17"/>
  <c r="B1832" i="17"/>
  <c r="B1833" i="17"/>
  <c r="B1834" i="17"/>
  <c r="B1835" i="17"/>
  <c r="B1836" i="17"/>
  <c r="B1837" i="17"/>
  <c r="B1838" i="17"/>
  <c r="B1839" i="17"/>
  <c r="B1840" i="17"/>
  <c r="B1841" i="17"/>
  <c r="B1842" i="17"/>
  <c r="B1843" i="17"/>
  <c r="B1844" i="17"/>
  <c r="B1845" i="17"/>
  <c r="B1846" i="17"/>
  <c r="B1847" i="17"/>
  <c r="B1848" i="17"/>
  <c r="B1849" i="17"/>
  <c r="B1850" i="17"/>
  <c r="B1851" i="17"/>
  <c r="B1852" i="17"/>
  <c r="B1853" i="17"/>
  <c r="B1854" i="17"/>
  <c r="B1855" i="17"/>
  <c r="B1856" i="17"/>
  <c r="B1857" i="17"/>
  <c r="B1858" i="17"/>
  <c r="B1859" i="17"/>
  <c r="B1860" i="17"/>
  <c r="B1861" i="17"/>
  <c r="B1862" i="17"/>
  <c r="B1863" i="17"/>
  <c r="B1864" i="17"/>
  <c r="B1865" i="17"/>
  <c r="B1866" i="17"/>
  <c r="B1867" i="17"/>
  <c r="B1868" i="17"/>
  <c r="B1869" i="17"/>
  <c r="B1870" i="17"/>
  <c r="B1871" i="17"/>
  <c r="B1872" i="17"/>
  <c r="B1873" i="17"/>
  <c r="B1874" i="17"/>
  <c r="B1875" i="17"/>
  <c r="B1876" i="17"/>
  <c r="B1877" i="17"/>
  <c r="B1878" i="17"/>
  <c r="B1879" i="17"/>
  <c r="B1880" i="17"/>
  <c r="B1881" i="17"/>
  <c r="B1882" i="17"/>
  <c r="B1883" i="17"/>
  <c r="B1884" i="17"/>
  <c r="B1885" i="17"/>
  <c r="B1886" i="17"/>
  <c r="B1887" i="17"/>
  <c r="B1888" i="17"/>
  <c r="B1889" i="17"/>
  <c r="B1890" i="17"/>
  <c r="B1891" i="17"/>
  <c r="B1892" i="17"/>
  <c r="B1893" i="17"/>
  <c r="B1894" i="17"/>
  <c r="B1895" i="17"/>
  <c r="B1896" i="17"/>
  <c r="B1897" i="17"/>
  <c r="B1898" i="17"/>
  <c r="B1899" i="17"/>
  <c r="B1900" i="17"/>
  <c r="B1901" i="17"/>
  <c r="B1902" i="17"/>
  <c r="B1903" i="17"/>
  <c r="B1904" i="17"/>
  <c r="B1905" i="17"/>
  <c r="B1906" i="17"/>
  <c r="B1907" i="17"/>
  <c r="B1908" i="17"/>
  <c r="B1909" i="17"/>
  <c r="B1910" i="17"/>
  <c r="B1911" i="17"/>
  <c r="B1912" i="17"/>
  <c r="B1913" i="17"/>
  <c r="B1914" i="17"/>
  <c r="B1915" i="17"/>
  <c r="B1916" i="17"/>
  <c r="B1917" i="17"/>
  <c r="B1918" i="17"/>
  <c r="B1919" i="17"/>
  <c r="B1920" i="17"/>
  <c r="B1921" i="17"/>
  <c r="B1922" i="17"/>
  <c r="B1923" i="17"/>
  <c r="B1924" i="17"/>
  <c r="B1925" i="17"/>
  <c r="B1926" i="17"/>
  <c r="B1927" i="17"/>
  <c r="B1928" i="17"/>
  <c r="B1929" i="17"/>
  <c r="B1930" i="17"/>
  <c r="B1931" i="17"/>
  <c r="B1932" i="17"/>
  <c r="B1933" i="17"/>
  <c r="B1934" i="17"/>
  <c r="B1935" i="17"/>
  <c r="B1936" i="17"/>
  <c r="B1937" i="17"/>
  <c r="B1938" i="17"/>
  <c r="B1939" i="17"/>
  <c r="B1940" i="17"/>
  <c r="B1941" i="17"/>
  <c r="B1942" i="17"/>
  <c r="B1943" i="17"/>
  <c r="B1944" i="17"/>
  <c r="B1945" i="17"/>
  <c r="B1946" i="17"/>
  <c r="B1947" i="17"/>
  <c r="B1948" i="17"/>
  <c r="B1949" i="17"/>
  <c r="B1950" i="17"/>
  <c r="B1951" i="17"/>
  <c r="B1952" i="17"/>
  <c r="B1953" i="17"/>
  <c r="B1954" i="17"/>
  <c r="B1955" i="17"/>
  <c r="B1956" i="17"/>
  <c r="B1957" i="17"/>
  <c r="B1958" i="17"/>
  <c r="B1959" i="17"/>
  <c r="B1960" i="17"/>
  <c r="B1961" i="17"/>
  <c r="B1962" i="17"/>
  <c r="B1963" i="17"/>
  <c r="B1964" i="17"/>
  <c r="B1965" i="17"/>
  <c r="B1966" i="17"/>
  <c r="B1967" i="17"/>
  <c r="B1968" i="17"/>
  <c r="B1969" i="17"/>
  <c r="B1970" i="17"/>
  <c r="B1971" i="17"/>
  <c r="B1972" i="17"/>
  <c r="B1973" i="17"/>
  <c r="B1974" i="17"/>
  <c r="B1975" i="17"/>
  <c r="B1976" i="17"/>
  <c r="B1977" i="17"/>
  <c r="B1978" i="17"/>
  <c r="B1979" i="17"/>
  <c r="B1980" i="17"/>
  <c r="B1981" i="17"/>
  <c r="B1982" i="17"/>
  <c r="B1983" i="17"/>
  <c r="B1984" i="17"/>
  <c r="B1985" i="17"/>
  <c r="B1986" i="17"/>
  <c r="B1987" i="17"/>
  <c r="B1988" i="17"/>
  <c r="B1989" i="17"/>
  <c r="B1990" i="17"/>
  <c r="B1991" i="17"/>
  <c r="B1992" i="17"/>
  <c r="B1993" i="17"/>
  <c r="B1994" i="17"/>
  <c r="B1995" i="17"/>
  <c r="B1996" i="17"/>
  <c r="B1997" i="17"/>
  <c r="B1998" i="17"/>
  <c r="B1999" i="17"/>
  <c r="B2000" i="17"/>
  <c r="B2001" i="17"/>
  <c r="B2002" i="17"/>
  <c r="B2003" i="17"/>
  <c r="B2004" i="17"/>
  <c r="B2005" i="17"/>
  <c r="B2006" i="17"/>
  <c r="B2007" i="17"/>
  <c r="B2008" i="17"/>
  <c r="B2009" i="17"/>
  <c r="B2010" i="17"/>
  <c r="B2011" i="17"/>
  <c r="B2012" i="17"/>
  <c r="B2013" i="17"/>
  <c r="B2014" i="17"/>
  <c r="B2015" i="17"/>
  <c r="B2016" i="17"/>
  <c r="B2017" i="17"/>
  <c r="B2018" i="17"/>
  <c r="B2019" i="17"/>
  <c r="B2020" i="17"/>
  <c r="B2021" i="17"/>
  <c r="B2022" i="17"/>
  <c r="B2023" i="17"/>
  <c r="B2024" i="17"/>
  <c r="B2025" i="17"/>
  <c r="B2026" i="17"/>
  <c r="B2027" i="17"/>
  <c r="B2028" i="17"/>
  <c r="B2029" i="17"/>
  <c r="B2030" i="17"/>
  <c r="B2031" i="17"/>
  <c r="B2032" i="17"/>
  <c r="B2033" i="17"/>
  <c r="B2034" i="17"/>
  <c r="B2035" i="17"/>
  <c r="B2036" i="17"/>
  <c r="B2037" i="17"/>
  <c r="B2038" i="17"/>
  <c r="B2039" i="17"/>
  <c r="B2040" i="17"/>
  <c r="B2041" i="17"/>
  <c r="B2042" i="17"/>
  <c r="B2043" i="17"/>
  <c r="B2044" i="17"/>
  <c r="B2045" i="17"/>
  <c r="B2046" i="17"/>
  <c r="B2047" i="17"/>
  <c r="B2048" i="17"/>
  <c r="B2049" i="17"/>
  <c r="B2050" i="17"/>
  <c r="B2051" i="17"/>
  <c r="B2052" i="17"/>
  <c r="B2053" i="17"/>
  <c r="B2054" i="17"/>
  <c r="B2055" i="17"/>
  <c r="B2056" i="17"/>
  <c r="B2057" i="17"/>
  <c r="B2058" i="17"/>
  <c r="B2059" i="17"/>
  <c r="B2060" i="17"/>
  <c r="B2061" i="17"/>
  <c r="B2062" i="17"/>
  <c r="B2063" i="17"/>
  <c r="B2064" i="17"/>
  <c r="B2065" i="17"/>
  <c r="B2066" i="17"/>
  <c r="B2067" i="17"/>
  <c r="B2068" i="17"/>
  <c r="B2069" i="17"/>
  <c r="B2070" i="17"/>
  <c r="B2071" i="17"/>
  <c r="B2072" i="17"/>
  <c r="B2073" i="17"/>
  <c r="B2074" i="17"/>
  <c r="B2075" i="17"/>
  <c r="B2076" i="17"/>
  <c r="B2077" i="17"/>
  <c r="B2078" i="17"/>
  <c r="B2079" i="17"/>
  <c r="B2080" i="17"/>
  <c r="B2081" i="17"/>
  <c r="B2082" i="17"/>
  <c r="B2083" i="17"/>
  <c r="B2084" i="17"/>
  <c r="B2085" i="17"/>
  <c r="B2086" i="17"/>
  <c r="B2087" i="17"/>
  <c r="B2088" i="17"/>
  <c r="B2089" i="17"/>
  <c r="B2090" i="17"/>
  <c r="B2091" i="17"/>
  <c r="B2092" i="17"/>
  <c r="B2093" i="17"/>
  <c r="B2094" i="17"/>
  <c r="B2095" i="17"/>
  <c r="B2096" i="17"/>
  <c r="B2097" i="17"/>
  <c r="B2098" i="17"/>
  <c r="B2099" i="17"/>
  <c r="B2100" i="17"/>
  <c r="B2101" i="17"/>
  <c r="B2102" i="17"/>
  <c r="B2103" i="17"/>
  <c r="B2104" i="17"/>
  <c r="B2105" i="17"/>
  <c r="B2106" i="17"/>
  <c r="B2107" i="17"/>
  <c r="B2108" i="17"/>
  <c r="B2109" i="17"/>
  <c r="B2110" i="17"/>
  <c r="B2111" i="17"/>
  <c r="B2112" i="17"/>
  <c r="B2113" i="17"/>
  <c r="B2114" i="17"/>
  <c r="B2115" i="17"/>
  <c r="B2116" i="17"/>
  <c r="B2117" i="17"/>
  <c r="B2118" i="17"/>
  <c r="B2119" i="17"/>
  <c r="B2120" i="17"/>
  <c r="B2121" i="17"/>
  <c r="B2122" i="17"/>
  <c r="B2123" i="17"/>
  <c r="B2124" i="17"/>
  <c r="B2125" i="17"/>
  <c r="B2126" i="17"/>
  <c r="B2127" i="17"/>
  <c r="B2128" i="17"/>
  <c r="B2129" i="17"/>
  <c r="B2130" i="17"/>
  <c r="B2131" i="17"/>
  <c r="B2132" i="17"/>
  <c r="B2133" i="17"/>
  <c r="B2134" i="17"/>
  <c r="B2135" i="17"/>
  <c r="B2136" i="17"/>
  <c r="B2137" i="17"/>
  <c r="B2138" i="17"/>
  <c r="B2139" i="17"/>
  <c r="B2140" i="17"/>
  <c r="B2141" i="17"/>
  <c r="B2142" i="17"/>
  <c r="B2143" i="17"/>
  <c r="B2144" i="17"/>
  <c r="B2145" i="17"/>
  <c r="B2146" i="17"/>
  <c r="B2147" i="17"/>
  <c r="B2148" i="17"/>
  <c r="B2149" i="17"/>
  <c r="B2150" i="17"/>
  <c r="B2151" i="17"/>
  <c r="B2152" i="17"/>
  <c r="B2153" i="17"/>
  <c r="B2154" i="17"/>
  <c r="B2155" i="17"/>
  <c r="B2156" i="17"/>
  <c r="B2157" i="17"/>
  <c r="B2158" i="17"/>
  <c r="B2159" i="17"/>
  <c r="B2160" i="17"/>
  <c r="B2161" i="17"/>
  <c r="B2162" i="17"/>
  <c r="B2163" i="17"/>
  <c r="B2164" i="17"/>
  <c r="B2165" i="17"/>
  <c r="B2166" i="17"/>
  <c r="B2167" i="17"/>
  <c r="B2168" i="17"/>
  <c r="B2169" i="17"/>
  <c r="B2170" i="17"/>
  <c r="B2171" i="17"/>
  <c r="B2172" i="17"/>
  <c r="B2173" i="17"/>
  <c r="B2174" i="17"/>
  <c r="B2175" i="17"/>
  <c r="B2176" i="17"/>
  <c r="B2177" i="17"/>
  <c r="B2178" i="17"/>
  <c r="B2179" i="17"/>
  <c r="B2180" i="17"/>
  <c r="B2181" i="17"/>
  <c r="B2182" i="17"/>
  <c r="B2183" i="17"/>
  <c r="B2184" i="17"/>
  <c r="B2185" i="17"/>
  <c r="B2186" i="17"/>
  <c r="B2187" i="17"/>
  <c r="B2188" i="17"/>
  <c r="B2189" i="17"/>
  <c r="B2190" i="17"/>
  <c r="B2191" i="17"/>
  <c r="B2192" i="17"/>
  <c r="B2193" i="17"/>
  <c r="B2194" i="17"/>
  <c r="B2195" i="17"/>
  <c r="B2196" i="17"/>
  <c r="B2197" i="17"/>
  <c r="B2198" i="17"/>
  <c r="B2199" i="17"/>
  <c r="B2200" i="17"/>
  <c r="B2201" i="17"/>
  <c r="B2202" i="17"/>
  <c r="B2203" i="17"/>
  <c r="B2204" i="17"/>
  <c r="B2205" i="17"/>
  <c r="B2206" i="17"/>
  <c r="B2207" i="17"/>
  <c r="B2208" i="17"/>
  <c r="B2209" i="17"/>
  <c r="B2210" i="17"/>
  <c r="B2211" i="17"/>
  <c r="B2212" i="17"/>
  <c r="B2213" i="17"/>
  <c r="B2214" i="17"/>
  <c r="B2215" i="17"/>
  <c r="B2216" i="17"/>
  <c r="B2217" i="17"/>
  <c r="B2218" i="17"/>
  <c r="B2219" i="17"/>
  <c r="B2220" i="17"/>
  <c r="B2221" i="17"/>
  <c r="B2222" i="17"/>
  <c r="B2223" i="17"/>
  <c r="B2224" i="17"/>
  <c r="B2225" i="17"/>
  <c r="B2226" i="17"/>
  <c r="B2227" i="17"/>
  <c r="B2228" i="17"/>
  <c r="B2229" i="17"/>
  <c r="B2230" i="17"/>
  <c r="B2231" i="17"/>
  <c r="B2232" i="17"/>
  <c r="B2233" i="17"/>
  <c r="B2234" i="17"/>
  <c r="B2235" i="17"/>
  <c r="B2236" i="17"/>
  <c r="B2237" i="17"/>
  <c r="B2238" i="17"/>
  <c r="B2239" i="17"/>
  <c r="B2240" i="17"/>
  <c r="B2241" i="17"/>
  <c r="B2242" i="17"/>
  <c r="B2243" i="17"/>
  <c r="B2244" i="17"/>
  <c r="B2245" i="17"/>
  <c r="B2246" i="17"/>
  <c r="B2247" i="17"/>
  <c r="B2248" i="17"/>
  <c r="B2249" i="17"/>
  <c r="B2250" i="17"/>
  <c r="B2251" i="17"/>
  <c r="B2252" i="17"/>
  <c r="B2253" i="17"/>
  <c r="B2254" i="17"/>
  <c r="B2255" i="17"/>
  <c r="B2256" i="17"/>
  <c r="B2257" i="17"/>
  <c r="B2258" i="17"/>
  <c r="B2259" i="17"/>
  <c r="B2260" i="17"/>
  <c r="B2261" i="17"/>
  <c r="B2262" i="17"/>
  <c r="B2263" i="17"/>
  <c r="B2264" i="17"/>
  <c r="B2265" i="17"/>
  <c r="B2266" i="17"/>
  <c r="B2267" i="17"/>
  <c r="B2268" i="17"/>
  <c r="B2269" i="17"/>
  <c r="B2270" i="17"/>
  <c r="B2271" i="17"/>
  <c r="B2272" i="17"/>
  <c r="B2273" i="17"/>
  <c r="B2274" i="17"/>
  <c r="B2275" i="17"/>
  <c r="B2276" i="17"/>
  <c r="B2277" i="17"/>
  <c r="B2278" i="17"/>
  <c r="B2279" i="17"/>
  <c r="B2280" i="17"/>
  <c r="B2281" i="17"/>
  <c r="B2282" i="17"/>
  <c r="B2283" i="17"/>
  <c r="B2284" i="17"/>
  <c r="B2285" i="17"/>
  <c r="B2286" i="17"/>
  <c r="B2287" i="17"/>
  <c r="B2288" i="17"/>
  <c r="B2289" i="17"/>
  <c r="B2290" i="17"/>
  <c r="B2291" i="17"/>
  <c r="B2292" i="17"/>
  <c r="B2293" i="17"/>
  <c r="B2294" i="17"/>
  <c r="B2295" i="17"/>
  <c r="B2296" i="17"/>
  <c r="B2297" i="17"/>
  <c r="B2298" i="17"/>
  <c r="B2299" i="17"/>
  <c r="B2300" i="17"/>
  <c r="B2301" i="17"/>
  <c r="B2302" i="17"/>
  <c r="B2303" i="17"/>
  <c r="B2304" i="17"/>
  <c r="B2305" i="17"/>
  <c r="B2306" i="17"/>
  <c r="B2307" i="17"/>
  <c r="B2308" i="17"/>
  <c r="B2309" i="17"/>
  <c r="B2310" i="17"/>
  <c r="B2311" i="17"/>
  <c r="B2312" i="17"/>
  <c r="B2313" i="17"/>
  <c r="B2314" i="17"/>
  <c r="B2315" i="17"/>
  <c r="B2316" i="17"/>
  <c r="B2317" i="17"/>
  <c r="B2318" i="17"/>
  <c r="B2319" i="17"/>
  <c r="B2320" i="17"/>
  <c r="B2321" i="17"/>
  <c r="B2322" i="17"/>
  <c r="B2323" i="17"/>
  <c r="B2324" i="17"/>
  <c r="B2325" i="17"/>
  <c r="B2326" i="17"/>
  <c r="B2327" i="17"/>
  <c r="B2328" i="17"/>
  <c r="B2329" i="17"/>
  <c r="B2330" i="17"/>
  <c r="B2331" i="17"/>
  <c r="B2332" i="17"/>
  <c r="B2333" i="17"/>
  <c r="B2334" i="17"/>
  <c r="B2335" i="17"/>
  <c r="B2336" i="17"/>
  <c r="B2337" i="17"/>
  <c r="B2338" i="17"/>
  <c r="B2339" i="17"/>
  <c r="B2340" i="17"/>
  <c r="B2341" i="17"/>
  <c r="B2342" i="17"/>
  <c r="B2343" i="17"/>
  <c r="B2344" i="17"/>
  <c r="B2345" i="17"/>
  <c r="B2346" i="17"/>
  <c r="B2347" i="17"/>
  <c r="B2348" i="17"/>
  <c r="B2349" i="17"/>
  <c r="B2350" i="17"/>
  <c r="B2351" i="17"/>
  <c r="B2352" i="17"/>
  <c r="B2353" i="17"/>
  <c r="B2354" i="17"/>
  <c r="B2355" i="17"/>
  <c r="B2356" i="17"/>
  <c r="B2357" i="17"/>
  <c r="B2358" i="17"/>
  <c r="B2359" i="17"/>
  <c r="B2360" i="17"/>
  <c r="B2361" i="17"/>
  <c r="B2362" i="17"/>
  <c r="B2363" i="17"/>
  <c r="B2364" i="17"/>
  <c r="B2365" i="17"/>
  <c r="B2366" i="17"/>
  <c r="B2367" i="17"/>
  <c r="B2368" i="17"/>
  <c r="B2369" i="17"/>
  <c r="B2370" i="17"/>
  <c r="B2371" i="17"/>
  <c r="B2372" i="17"/>
  <c r="B2373" i="17"/>
  <c r="B2374" i="17"/>
  <c r="B2375" i="17"/>
  <c r="B2376" i="17"/>
  <c r="B2377" i="17"/>
  <c r="B2378" i="17"/>
  <c r="B2379" i="17"/>
  <c r="B2380" i="17"/>
  <c r="B2381" i="17"/>
  <c r="B2382" i="17"/>
  <c r="B2383" i="17"/>
  <c r="B2384" i="17"/>
  <c r="B2385" i="17"/>
  <c r="B2386" i="17"/>
  <c r="B2387" i="17"/>
  <c r="B2388" i="17"/>
  <c r="B2389" i="17"/>
  <c r="B2390" i="17"/>
  <c r="B2391" i="17"/>
  <c r="B2392" i="17"/>
  <c r="B2393" i="17"/>
  <c r="B2394" i="17"/>
  <c r="B2395" i="17"/>
  <c r="B2396" i="17"/>
  <c r="B2397" i="17"/>
  <c r="B2398" i="17"/>
  <c r="B2399" i="17"/>
  <c r="B2400" i="17"/>
  <c r="B2401" i="17"/>
  <c r="B2402" i="17"/>
  <c r="B2403" i="17"/>
  <c r="B2404" i="17"/>
  <c r="B2405" i="17"/>
  <c r="B2406" i="17"/>
  <c r="B2407" i="17"/>
  <c r="B2408" i="17"/>
  <c r="B2409" i="17"/>
  <c r="B2410" i="17"/>
  <c r="B2411" i="17"/>
  <c r="B2412" i="17"/>
  <c r="B2413" i="17"/>
  <c r="B2414" i="17"/>
  <c r="B2415" i="17"/>
  <c r="B2416" i="17"/>
  <c r="B2417" i="17"/>
  <c r="B2418" i="17"/>
  <c r="B2419" i="17"/>
  <c r="B2420" i="17"/>
  <c r="B2421" i="17"/>
  <c r="B2422" i="17"/>
  <c r="B2423" i="17"/>
  <c r="B2424" i="17"/>
  <c r="B2425" i="17"/>
  <c r="B2426" i="17"/>
  <c r="B2427" i="17"/>
  <c r="B2428" i="17"/>
  <c r="B2429" i="17"/>
  <c r="B2430" i="17"/>
  <c r="B2431" i="17"/>
  <c r="B2432" i="17"/>
  <c r="B2433" i="17"/>
  <c r="B2434" i="17"/>
  <c r="B2435" i="17"/>
  <c r="B2436" i="17"/>
  <c r="B2437" i="17"/>
  <c r="B2438" i="17"/>
  <c r="B2439" i="17"/>
  <c r="B2440" i="17"/>
  <c r="B2441" i="17"/>
  <c r="B2442" i="17"/>
  <c r="B2443" i="17"/>
  <c r="B2444" i="17"/>
  <c r="B2445" i="17"/>
  <c r="B2446" i="17"/>
  <c r="B2447" i="17"/>
  <c r="B2448" i="17"/>
  <c r="B2449" i="17"/>
  <c r="B2450" i="17"/>
  <c r="B2451" i="17"/>
  <c r="B2452" i="17"/>
  <c r="B2453" i="17"/>
  <c r="B2454" i="17"/>
  <c r="B2455" i="17"/>
  <c r="B2456" i="17"/>
  <c r="B2457" i="17"/>
  <c r="B2458" i="17"/>
  <c r="B2459" i="17"/>
  <c r="B2460" i="17"/>
  <c r="B2461" i="17"/>
  <c r="B2462" i="17"/>
  <c r="B2463" i="17"/>
  <c r="B2464" i="17"/>
  <c r="B2465" i="17"/>
  <c r="B2466" i="17"/>
  <c r="B2467" i="17"/>
  <c r="B2468" i="17"/>
  <c r="B2469" i="17"/>
  <c r="B2470" i="17"/>
  <c r="B2471" i="17"/>
  <c r="B2472" i="17"/>
  <c r="B2473" i="17"/>
  <c r="B2474" i="17"/>
  <c r="B2475" i="17"/>
  <c r="B2476" i="17"/>
  <c r="B2477" i="17"/>
  <c r="B2478" i="17"/>
  <c r="B2479" i="17"/>
  <c r="B2480" i="17"/>
  <c r="B2481" i="17"/>
  <c r="B2482" i="17"/>
  <c r="B2483" i="17"/>
  <c r="B2484" i="17"/>
  <c r="B2485" i="17"/>
  <c r="B2486" i="17"/>
  <c r="B2487" i="17"/>
  <c r="B2488" i="17"/>
  <c r="B2489" i="17"/>
  <c r="B2490" i="17"/>
  <c r="B2491" i="17"/>
  <c r="B2492" i="17"/>
  <c r="B2493" i="17"/>
  <c r="B2494" i="17"/>
  <c r="B2495" i="17"/>
  <c r="B2496" i="17"/>
  <c r="B2497" i="17"/>
  <c r="B2498" i="17"/>
  <c r="B2499" i="17"/>
  <c r="B2500" i="17"/>
  <c r="B2501" i="17"/>
  <c r="B2502" i="17"/>
  <c r="B2503" i="17"/>
  <c r="B2504" i="17"/>
  <c r="B2505" i="17"/>
  <c r="B2506" i="17"/>
  <c r="B2507" i="17"/>
  <c r="B2508" i="17"/>
  <c r="B2509" i="17"/>
  <c r="B2510" i="17"/>
  <c r="B2511" i="17"/>
  <c r="B2512" i="17"/>
  <c r="B2513" i="17"/>
  <c r="B2514" i="17"/>
  <c r="B2515" i="17"/>
  <c r="B2516" i="17"/>
  <c r="B2517" i="17"/>
  <c r="B2518" i="17"/>
  <c r="B2519" i="17"/>
  <c r="B2520" i="17"/>
  <c r="B2521" i="17"/>
  <c r="B2522" i="17"/>
  <c r="B2523" i="17"/>
  <c r="B2524" i="17"/>
  <c r="B2525" i="17"/>
  <c r="B2526" i="17"/>
  <c r="B2527" i="17"/>
  <c r="B2528" i="17"/>
  <c r="B2529" i="17"/>
  <c r="B2530" i="17"/>
  <c r="B2531" i="17"/>
  <c r="B2532" i="17"/>
  <c r="B2533" i="17"/>
  <c r="B2534" i="17"/>
  <c r="B2535" i="17"/>
  <c r="B2536" i="17"/>
  <c r="B2537" i="17"/>
  <c r="B2538" i="17"/>
  <c r="B2539" i="17"/>
  <c r="B2540" i="17"/>
  <c r="B2541" i="17"/>
  <c r="B2542" i="17"/>
  <c r="B2543" i="17"/>
  <c r="B2544" i="17"/>
  <c r="B2545" i="17"/>
  <c r="B2546" i="17"/>
  <c r="B2547" i="17"/>
  <c r="B2548" i="17"/>
  <c r="B2549" i="17"/>
  <c r="B2550" i="17"/>
  <c r="B2551" i="17"/>
  <c r="B2552" i="17"/>
  <c r="B2553" i="17"/>
  <c r="B2554" i="17"/>
  <c r="B2555" i="17"/>
  <c r="B2556" i="17"/>
  <c r="B2557" i="17"/>
  <c r="B2558" i="17"/>
  <c r="B2559" i="17"/>
  <c r="B2560" i="17"/>
  <c r="B2561" i="17"/>
  <c r="B2562" i="17"/>
  <c r="B2563" i="17"/>
  <c r="B2564" i="17"/>
  <c r="B2565" i="17"/>
  <c r="B2566" i="17"/>
  <c r="B2567" i="17"/>
  <c r="B2568" i="17"/>
  <c r="B2569" i="17"/>
  <c r="B2570" i="17"/>
  <c r="B2571" i="17"/>
  <c r="B2572" i="17"/>
  <c r="B2573" i="17"/>
  <c r="B2574" i="17"/>
  <c r="B2575" i="17"/>
  <c r="B2576" i="17"/>
  <c r="B2577" i="17"/>
  <c r="B2578" i="17"/>
  <c r="B2579" i="17"/>
  <c r="B2580" i="17"/>
  <c r="B2581" i="17"/>
  <c r="B2582" i="17"/>
  <c r="B2583" i="17"/>
  <c r="B2584" i="17"/>
  <c r="B2585" i="17"/>
  <c r="B2586" i="17"/>
  <c r="B2587" i="17"/>
  <c r="B2588" i="17"/>
  <c r="B2589" i="17"/>
  <c r="B2590" i="17"/>
  <c r="B2591" i="17"/>
  <c r="B2592" i="17"/>
  <c r="B2593" i="17"/>
  <c r="B2594" i="17"/>
  <c r="B2595" i="17"/>
  <c r="B2596" i="17"/>
  <c r="B2597" i="17"/>
  <c r="B2598" i="17"/>
  <c r="B2599" i="17"/>
  <c r="B2600" i="17"/>
  <c r="B2601" i="17"/>
  <c r="B2602" i="17"/>
  <c r="B2603" i="17"/>
  <c r="B2604" i="17"/>
  <c r="B2605" i="17"/>
  <c r="B2606" i="17"/>
  <c r="B2607" i="17"/>
  <c r="B2608" i="17"/>
  <c r="B2609" i="17"/>
  <c r="B2610" i="17"/>
  <c r="B2611" i="17"/>
  <c r="B2612" i="17"/>
  <c r="B2613" i="17"/>
  <c r="B2614" i="17"/>
  <c r="B2615" i="17"/>
  <c r="B2616" i="17"/>
  <c r="B2617" i="17"/>
  <c r="B2618" i="17"/>
  <c r="B2619" i="17"/>
  <c r="B2620" i="17"/>
  <c r="B2621" i="17"/>
  <c r="B2622" i="17"/>
  <c r="B2623" i="17"/>
  <c r="B2624" i="17"/>
  <c r="B2625" i="17"/>
  <c r="B2626" i="17"/>
  <c r="B2627" i="17"/>
  <c r="B2628" i="17"/>
  <c r="B2629" i="17"/>
  <c r="B2630" i="17"/>
  <c r="B2631" i="17"/>
  <c r="B2632" i="17"/>
  <c r="B2633" i="17"/>
  <c r="B2634" i="17"/>
  <c r="B2635" i="17"/>
  <c r="B2636" i="17"/>
  <c r="B2637" i="17"/>
  <c r="B2638" i="17"/>
  <c r="B2639" i="17"/>
  <c r="B2640" i="17"/>
  <c r="B2641" i="17"/>
  <c r="B2642" i="17"/>
  <c r="B2643" i="17"/>
  <c r="B2644" i="17"/>
  <c r="B2645" i="17"/>
  <c r="B2646" i="17"/>
  <c r="B2647" i="17"/>
  <c r="B2648" i="17"/>
  <c r="B2649" i="17"/>
  <c r="B2650" i="17"/>
  <c r="B2651" i="17"/>
  <c r="B2652" i="17"/>
  <c r="B2653" i="17"/>
  <c r="B2654" i="17"/>
  <c r="B2655" i="17"/>
  <c r="B2656" i="17"/>
  <c r="B2657" i="17"/>
  <c r="B2658" i="17"/>
  <c r="B2659" i="17"/>
  <c r="B2660" i="17"/>
  <c r="B2661" i="17"/>
  <c r="B2662" i="17"/>
  <c r="B2663" i="17"/>
  <c r="B2664" i="17"/>
  <c r="B2665" i="17"/>
  <c r="B2666" i="17"/>
  <c r="B2667" i="17"/>
  <c r="B2668" i="17"/>
  <c r="B2669" i="17"/>
  <c r="B2670" i="17"/>
  <c r="B2671" i="17"/>
  <c r="B2672" i="17"/>
  <c r="B2673" i="17"/>
  <c r="B2674" i="17"/>
  <c r="B2675" i="17"/>
  <c r="B2676" i="17"/>
  <c r="B2677" i="17"/>
  <c r="B2678" i="17"/>
  <c r="B2679" i="17"/>
  <c r="B2680" i="17"/>
  <c r="B2681" i="17"/>
  <c r="B2682" i="17"/>
  <c r="B2683" i="17"/>
  <c r="B2684" i="17"/>
  <c r="B2685" i="17"/>
  <c r="B2686" i="17"/>
  <c r="B2687" i="17"/>
  <c r="B2688" i="17"/>
  <c r="B2689" i="17"/>
  <c r="B2690" i="17"/>
  <c r="B2691" i="17"/>
  <c r="B2692" i="17"/>
  <c r="B2693" i="17"/>
  <c r="B2694" i="17"/>
  <c r="B2695" i="17"/>
  <c r="B2696" i="17"/>
  <c r="B2697" i="17"/>
  <c r="B2698" i="17"/>
  <c r="B2699" i="17"/>
  <c r="B2700" i="17"/>
  <c r="B2701" i="17"/>
  <c r="B2702" i="17"/>
  <c r="B2703" i="17"/>
  <c r="B2704" i="17"/>
  <c r="B2705" i="17"/>
  <c r="B2706" i="17"/>
  <c r="B2707" i="17"/>
  <c r="B2708" i="17"/>
  <c r="B2709" i="17"/>
  <c r="B2710" i="17"/>
  <c r="B2711" i="17"/>
  <c r="B2712" i="17"/>
  <c r="B2713" i="17"/>
  <c r="B2714" i="17"/>
  <c r="B2715" i="17"/>
  <c r="B2716" i="17"/>
  <c r="B2717" i="17"/>
  <c r="B2718" i="17"/>
  <c r="B2719" i="17"/>
  <c r="B2720" i="17"/>
  <c r="B2721" i="17"/>
  <c r="B2722" i="17"/>
  <c r="B2723" i="17"/>
  <c r="B2724" i="17"/>
  <c r="B2725" i="17"/>
  <c r="B2726" i="17"/>
  <c r="B2727" i="17"/>
  <c r="B2728" i="17"/>
  <c r="B2729" i="17"/>
  <c r="B2730" i="17"/>
  <c r="B2731" i="17"/>
  <c r="B2732" i="17"/>
  <c r="B2733" i="17"/>
  <c r="B2734" i="17"/>
  <c r="B2735" i="17"/>
  <c r="B2736" i="17"/>
  <c r="B2737" i="17"/>
  <c r="B2738" i="17"/>
  <c r="B2739" i="17"/>
  <c r="B2740" i="17"/>
  <c r="B2741" i="17"/>
  <c r="B2742" i="17"/>
  <c r="B2743" i="17"/>
  <c r="B2744" i="17"/>
  <c r="B2745" i="17"/>
  <c r="B2746" i="17"/>
  <c r="B2747" i="17"/>
  <c r="B2748" i="17"/>
  <c r="B2749" i="17"/>
  <c r="B2750" i="17"/>
  <c r="B2751" i="17"/>
  <c r="B2752" i="17"/>
  <c r="B2753" i="17"/>
  <c r="B2754" i="17"/>
  <c r="B2755" i="17"/>
  <c r="B2756" i="17"/>
  <c r="B2757" i="17"/>
  <c r="B2758" i="17"/>
  <c r="B2759" i="17"/>
  <c r="B2760" i="17"/>
  <c r="B2761" i="17"/>
  <c r="B2762" i="17"/>
  <c r="B2763" i="17"/>
  <c r="B2764" i="17"/>
  <c r="B2765" i="17"/>
  <c r="B2766" i="17"/>
  <c r="B2767" i="17"/>
  <c r="B2768" i="17"/>
  <c r="B2769" i="17"/>
  <c r="B2770" i="17"/>
  <c r="B2771" i="17"/>
  <c r="B2772" i="17"/>
  <c r="B2773" i="17"/>
  <c r="B2774" i="17"/>
  <c r="B2775" i="17"/>
  <c r="B2776" i="17"/>
  <c r="B2777" i="17"/>
  <c r="B2778" i="17"/>
  <c r="B2779" i="17"/>
  <c r="B2780" i="17"/>
  <c r="B2781" i="17"/>
  <c r="B2782" i="17"/>
  <c r="B2783" i="17"/>
  <c r="B2784" i="17"/>
  <c r="B2785" i="17"/>
  <c r="B2786" i="17"/>
  <c r="B2787" i="17"/>
  <c r="B2788" i="17"/>
  <c r="B2789" i="17"/>
  <c r="B2790" i="17"/>
  <c r="B2791" i="17"/>
  <c r="B2792" i="17"/>
  <c r="B2793" i="17"/>
  <c r="B2794" i="17"/>
  <c r="B2795" i="17"/>
  <c r="B2796" i="17"/>
  <c r="B2797" i="17"/>
  <c r="B2798" i="17"/>
  <c r="B2799" i="17"/>
  <c r="B2800" i="17"/>
  <c r="B2801" i="17"/>
  <c r="B2802" i="17"/>
  <c r="B2803" i="17"/>
  <c r="B2804" i="17"/>
  <c r="B2805" i="17"/>
  <c r="B2806" i="17"/>
  <c r="B2807" i="17"/>
  <c r="B2808" i="17"/>
  <c r="B2809" i="17"/>
  <c r="B2810" i="17"/>
  <c r="B2811" i="17"/>
  <c r="B2812" i="17"/>
  <c r="B2813" i="17"/>
  <c r="B2814" i="17"/>
  <c r="B2815" i="17"/>
  <c r="B2816" i="17"/>
  <c r="B2817" i="17"/>
  <c r="B2818" i="17"/>
  <c r="B2819" i="17"/>
  <c r="B2820" i="17"/>
  <c r="B2821" i="17"/>
  <c r="B2822" i="17"/>
  <c r="B2823" i="17"/>
  <c r="B2824" i="17"/>
  <c r="B2825" i="17"/>
  <c r="B2826" i="17"/>
  <c r="B2827" i="17"/>
  <c r="B2828" i="17"/>
  <c r="B2829" i="17"/>
  <c r="B2830" i="17"/>
  <c r="B2831" i="17"/>
  <c r="B2832" i="17"/>
  <c r="B2833" i="17"/>
  <c r="B2834" i="17"/>
  <c r="B2835" i="17"/>
  <c r="B2836" i="17"/>
  <c r="B2837" i="17"/>
  <c r="B2838" i="17"/>
  <c r="B2839" i="17"/>
  <c r="B2840" i="17"/>
  <c r="B2841" i="17"/>
  <c r="B2842" i="17"/>
  <c r="B2843" i="17"/>
  <c r="B2844" i="17"/>
  <c r="B2845" i="17"/>
  <c r="B2846" i="17"/>
  <c r="B2847" i="17"/>
  <c r="B2848" i="17"/>
  <c r="B2849" i="17"/>
  <c r="B2850" i="17"/>
  <c r="B2851" i="17"/>
  <c r="B2852" i="17"/>
  <c r="B2853" i="17"/>
  <c r="B2854" i="17"/>
  <c r="B2855" i="17"/>
  <c r="B2856" i="17"/>
  <c r="B2857" i="17"/>
  <c r="B2858" i="17"/>
  <c r="B2859" i="17"/>
  <c r="B2860" i="17"/>
  <c r="B2861" i="17"/>
  <c r="B2862" i="17"/>
  <c r="B2863" i="17"/>
  <c r="B2864" i="17"/>
  <c r="B2865" i="17"/>
  <c r="B2866" i="17"/>
  <c r="B2867" i="17"/>
  <c r="B2868" i="17"/>
  <c r="B2869" i="17"/>
  <c r="B2870" i="17"/>
  <c r="B2871" i="17"/>
  <c r="B2872" i="17"/>
  <c r="B2873" i="17"/>
  <c r="B2874" i="17"/>
  <c r="B2875" i="17"/>
  <c r="B2876" i="17"/>
  <c r="B2877" i="17"/>
  <c r="B2878" i="17"/>
  <c r="B2879" i="17"/>
  <c r="B2880" i="17"/>
  <c r="B2881" i="17"/>
  <c r="B2882" i="17"/>
  <c r="B2883" i="17"/>
  <c r="B2884" i="17"/>
  <c r="B2885" i="17"/>
  <c r="B2886" i="17"/>
  <c r="B2887" i="17"/>
  <c r="B2888" i="17"/>
  <c r="B2889" i="17"/>
  <c r="B2890" i="17"/>
  <c r="B2891" i="17"/>
  <c r="B2892" i="17"/>
  <c r="B2893" i="17"/>
  <c r="B2894" i="17"/>
  <c r="B2895" i="17"/>
  <c r="B2896" i="17"/>
  <c r="B2897" i="17"/>
  <c r="B2898" i="17"/>
  <c r="B2899" i="17"/>
  <c r="B2900" i="17"/>
  <c r="B2901" i="17"/>
  <c r="B2902" i="17"/>
  <c r="B2903" i="17"/>
  <c r="B2904" i="17"/>
  <c r="B2905" i="17"/>
  <c r="B2906" i="17"/>
  <c r="B2907" i="17"/>
  <c r="B2908" i="17"/>
  <c r="B2909" i="17"/>
  <c r="B2910" i="17"/>
  <c r="B2911" i="17"/>
  <c r="B2912" i="17"/>
  <c r="B2913" i="17"/>
  <c r="B2914" i="17"/>
  <c r="B2915" i="17"/>
  <c r="B2916" i="17"/>
  <c r="B2917" i="17"/>
  <c r="B2918" i="17"/>
  <c r="B2919" i="17"/>
  <c r="B2920" i="17"/>
  <c r="B2921" i="17"/>
  <c r="B2922" i="17"/>
  <c r="B2923" i="17"/>
  <c r="B2924" i="17"/>
  <c r="B2925" i="17"/>
  <c r="B2926" i="17"/>
  <c r="B2927" i="17"/>
  <c r="B2928" i="17"/>
  <c r="B2929" i="17"/>
  <c r="B2930" i="17"/>
  <c r="B2931" i="17"/>
  <c r="B2932" i="17"/>
  <c r="B2933" i="17"/>
  <c r="B2934" i="17"/>
  <c r="B2935" i="17"/>
  <c r="B2936" i="17"/>
  <c r="B2937" i="17"/>
  <c r="B2938" i="17"/>
  <c r="B2939" i="17"/>
  <c r="B2940" i="17"/>
  <c r="B2941" i="17"/>
  <c r="B2942" i="17"/>
  <c r="B2943" i="17"/>
  <c r="B2944" i="17"/>
  <c r="B2945" i="17"/>
  <c r="B2946" i="17"/>
  <c r="B2947" i="17"/>
  <c r="B2948" i="17"/>
  <c r="B2949" i="17"/>
  <c r="B2950" i="17"/>
  <c r="B2951" i="17"/>
  <c r="B2952" i="17"/>
  <c r="B2953" i="17"/>
  <c r="B2954" i="17"/>
  <c r="B2955" i="17"/>
  <c r="B2956" i="17"/>
  <c r="B2957" i="17"/>
  <c r="B2958" i="17"/>
  <c r="B2959" i="17"/>
  <c r="B2960" i="17"/>
  <c r="B2961" i="17"/>
  <c r="B2962" i="17"/>
  <c r="B2963" i="17"/>
  <c r="B2964" i="17"/>
  <c r="B2965" i="17"/>
  <c r="B2966" i="17"/>
  <c r="B2967" i="17"/>
  <c r="B2968" i="17"/>
  <c r="B2969" i="17"/>
  <c r="B2970" i="17"/>
  <c r="B2971" i="17"/>
  <c r="B2972" i="17"/>
  <c r="B2973" i="17"/>
  <c r="B2974" i="17"/>
  <c r="B2975" i="17"/>
  <c r="B2976" i="17"/>
  <c r="B2977" i="17"/>
  <c r="B2978" i="17"/>
  <c r="B2979" i="17"/>
  <c r="B2980" i="17"/>
  <c r="B2981" i="17"/>
  <c r="B2982" i="17"/>
  <c r="B2983" i="17"/>
  <c r="B2984" i="17"/>
  <c r="B2985" i="17"/>
  <c r="B2986" i="17"/>
  <c r="B2987" i="17"/>
  <c r="B2988" i="17"/>
  <c r="B2989" i="17"/>
  <c r="B2990" i="17"/>
  <c r="B2991" i="17"/>
  <c r="B2992" i="17"/>
  <c r="B2993" i="17"/>
  <c r="B2994" i="17"/>
  <c r="B2995" i="17"/>
  <c r="B2996" i="17"/>
  <c r="B2997" i="17"/>
  <c r="B2998" i="17"/>
  <c r="B2999" i="17"/>
  <c r="B3000" i="17"/>
  <c r="B3001" i="17"/>
  <c r="B3002" i="17"/>
  <c r="B3003" i="17"/>
  <c r="B3004" i="17"/>
  <c r="B3005" i="17"/>
  <c r="B3006" i="17"/>
  <c r="B3007" i="17"/>
  <c r="B3008" i="17"/>
  <c r="B3009" i="17"/>
  <c r="B3010" i="17"/>
  <c r="B3011" i="17"/>
  <c r="B3012" i="17"/>
  <c r="B3013" i="17"/>
  <c r="B3014" i="17"/>
  <c r="B3015" i="17"/>
  <c r="B3016" i="17"/>
  <c r="B3017" i="17"/>
  <c r="B3018" i="17"/>
  <c r="B3019" i="17"/>
  <c r="B3020" i="17"/>
  <c r="B3021" i="17"/>
  <c r="B3022" i="17"/>
  <c r="B3023" i="17"/>
  <c r="B3024" i="17"/>
  <c r="B3025" i="17"/>
  <c r="B3026" i="17"/>
  <c r="B3027" i="17"/>
  <c r="B3028" i="17"/>
  <c r="B3029" i="17"/>
  <c r="B3030" i="17"/>
  <c r="B3031" i="17"/>
  <c r="B3032" i="17"/>
  <c r="B3033" i="17"/>
  <c r="B3034" i="17"/>
  <c r="B3035" i="17"/>
  <c r="B3036" i="17"/>
  <c r="B3037" i="17"/>
  <c r="B3038" i="17"/>
  <c r="B3039" i="17"/>
  <c r="B3040" i="17"/>
  <c r="B3041" i="17"/>
  <c r="B3042" i="17"/>
  <c r="B3043" i="17"/>
  <c r="B3044" i="17"/>
  <c r="B3045" i="17"/>
  <c r="B3046" i="17"/>
  <c r="B3047" i="17"/>
  <c r="B3048" i="17"/>
  <c r="B3049" i="17"/>
  <c r="B3050" i="17"/>
  <c r="B3051" i="17"/>
  <c r="B3052" i="17"/>
  <c r="B3053" i="17"/>
  <c r="B3054" i="17"/>
  <c r="B3055" i="17"/>
  <c r="B3056" i="17"/>
  <c r="B3057" i="17"/>
  <c r="B3058" i="17"/>
  <c r="B3059" i="17"/>
  <c r="B3060" i="17"/>
  <c r="B3061" i="17"/>
  <c r="B3062" i="17"/>
  <c r="B3063" i="17"/>
  <c r="B3064" i="17"/>
  <c r="B3065" i="17"/>
  <c r="B3066" i="17"/>
  <c r="B3067" i="17"/>
  <c r="B3068" i="17"/>
  <c r="B3069" i="17"/>
  <c r="B3070" i="17"/>
  <c r="B3071" i="17"/>
  <c r="B3072" i="17"/>
  <c r="B3073" i="17"/>
  <c r="B3074" i="17"/>
  <c r="B3075" i="17"/>
  <c r="B3076" i="17"/>
  <c r="B3077" i="17"/>
  <c r="B3078" i="17"/>
  <c r="B3079" i="17"/>
  <c r="B3080" i="17"/>
  <c r="B3081" i="17"/>
  <c r="B3082" i="17"/>
  <c r="B3083" i="17"/>
  <c r="B3084" i="17"/>
  <c r="B3085" i="17"/>
  <c r="B3086" i="17"/>
  <c r="B3087" i="17"/>
  <c r="B3088" i="17"/>
  <c r="B3089" i="17"/>
  <c r="B3090" i="17"/>
  <c r="B3091" i="17"/>
  <c r="B3092" i="17"/>
  <c r="B3093" i="17"/>
  <c r="B3094" i="17"/>
  <c r="B3095" i="17"/>
  <c r="B3096" i="17"/>
  <c r="B3097" i="17"/>
  <c r="B3098" i="17"/>
  <c r="B3099" i="17"/>
  <c r="B3100" i="17"/>
  <c r="B3101" i="17"/>
  <c r="B3102" i="17"/>
  <c r="B3103" i="17"/>
  <c r="B3104" i="17"/>
  <c r="B3105" i="17"/>
  <c r="B3106" i="17"/>
  <c r="B3107" i="17"/>
  <c r="B3108" i="17"/>
  <c r="B3109" i="17"/>
  <c r="B3110" i="17"/>
  <c r="B3111" i="17"/>
  <c r="B3112" i="17"/>
  <c r="B3113" i="17"/>
  <c r="B3114" i="17"/>
  <c r="B3115" i="17"/>
  <c r="B3116" i="17"/>
  <c r="B3117" i="17"/>
  <c r="B3118" i="17"/>
  <c r="B3119" i="17"/>
  <c r="B3120" i="17"/>
  <c r="B3121" i="17"/>
  <c r="B3122" i="17"/>
  <c r="B3123" i="17"/>
  <c r="B3124" i="17"/>
  <c r="B3125" i="17"/>
  <c r="B3126" i="17"/>
  <c r="B3127" i="17"/>
  <c r="B3128" i="17"/>
  <c r="B3129" i="17"/>
  <c r="B3130" i="17"/>
  <c r="B3131" i="17"/>
  <c r="B3132" i="17"/>
  <c r="B3133" i="17"/>
  <c r="B3134" i="17"/>
  <c r="B3135" i="17"/>
  <c r="B3136" i="17"/>
  <c r="B3137" i="17"/>
  <c r="B3138" i="17"/>
  <c r="B3139" i="17"/>
  <c r="B3140" i="17"/>
  <c r="B3141" i="17"/>
  <c r="B3142" i="17"/>
  <c r="B3143" i="17"/>
  <c r="B3144" i="17"/>
  <c r="B3145" i="17"/>
  <c r="B3146" i="17"/>
  <c r="B3147" i="17"/>
  <c r="B3148" i="17"/>
  <c r="B3149" i="17"/>
  <c r="B3150" i="17"/>
  <c r="B3151" i="17"/>
  <c r="B3152" i="17"/>
  <c r="B3153" i="17"/>
  <c r="B3154" i="17"/>
  <c r="B3155" i="17"/>
  <c r="B3156" i="17"/>
  <c r="B3157" i="17"/>
  <c r="B3158" i="17"/>
  <c r="B3159" i="17"/>
  <c r="B3160" i="17"/>
  <c r="B3161" i="17"/>
  <c r="B3162" i="17"/>
  <c r="B3163" i="17"/>
  <c r="B3164" i="17"/>
  <c r="B3165" i="17"/>
  <c r="B3166" i="17"/>
  <c r="B3167" i="17"/>
  <c r="B3168" i="17"/>
  <c r="B3169" i="17"/>
  <c r="B3170" i="17"/>
  <c r="B3171" i="17"/>
  <c r="B3172" i="17"/>
  <c r="B3173" i="17"/>
  <c r="B3174" i="17"/>
  <c r="B3175" i="17"/>
  <c r="B3176" i="17"/>
  <c r="B3177" i="17"/>
  <c r="B3178" i="17"/>
  <c r="B3179" i="17"/>
  <c r="B3180" i="17"/>
  <c r="B3181" i="17"/>
  <c r="B3182" i="17"/>
  <c r="B3183" i="17"/>
  <c r="B3184" i="17"/>
  <c r="B3185" i="17"/>
  <c r="B3186" i="17"/>
  <c r="B3187" i="17"/>
  <c r="B3188" i="17"/>
  <c r="B3189" i="17"/>
  <c r="B3190" i="17"/>
  <c r="B3191" i="17"/>
  <c r="B3192" i="17"/>
  <c r="B3193" i="17"/>
  <c r="B3194" i="17"/>
  <c r="B3195" i="17"/>
  <c r="B3196" i="17"/>
  <c r="B3197" i="17"/>
  <c r="B3198" i="17"/>
  <c r="B3199" i="17"/>
  <c r="B3200" i="17"/>
  <c r="B3201" i="17"/>
  <c r="B3202" i="17"/>
  <c r="B3203" i="17"/>
  <c r="B3204" i="17"/>
  <c r="B3205" i="17"/>
  <c r="B3206" i="17"/>
  <c r="B3207" i="17"/>
  <c r="B3208" i="17"/>
  <c r="B3209" i="17"/>
  <c r="B3210" i="17"/>
  <c r="B3211" i="17"/>
  <c r="B3212" i="17"/>
  <c r="B3213" i="17"/>
  <c r="B3214" i="17"/>
  <c r="B3215" i="17"/>
  <c r="B3216" i="17"/>
  <c r="B3217" i="17"/>
  <c r="B3218" i="17"/>
  <c r="B3219" i="17"/>
  <c r="B3220" i="17"/>
  <c r="B3221" i="17"/>
  <c r="B3222" i="17"/>
  <c r="B3223" i="17"/>
  <c r="B3224" i="17"/>
  <c r="B3225" i="17"/>
  <c r="B3226" i="17"/>
  <c r="B3227" i="17"/>
  <c r="B3228" i="17"/>
  <c r="B3229" i="17"/>
  <c r="B3230" i="17"/>
  <c r="B3231" i="17"/>
  <c r="B3232" i="17"/>
  <c r="B3233" i="17"/>
  <c r="B3234" i="17"/>
  <c r="B3235" i="17"/>
  <c r="B3236" i="17"/>
  <c r="B3237" i="17"/>
  <c r="B3238" i="17"/>
  <c r="B3239" i="17"/>
  <c r="B3240" i="17"/>
  <c r="B3241" i="17"/>
  <c r="B3242" i="17"/>
  <c r="B3243" i="17"/>
  <c r="B3244" i="17"/>
  <c r="B3245" i="17"/>
  <c r="B3246" i="17"/>
  <c r="B3247" i="17"/>
  <c r="B3248" i="17"/>
  <c r="B3249" i="17"/>
  <c r="B3250" i="17"/>
  <c r="B3251" i="17"/>
  <c r="B3252" i="17"/>
  <c r="B3253" i="17"/>
  <c r="B3254" i="17"/>
  <c r="B3255" i="17"/>
  <c r="B3256" i="17"/>
  <c r="B3257" i="17"/>
  <c r="B3258" i="17"/>
  <c r="B3259" i="17"/>
  <c r="B3260" i="17"/>
  <c r="B3261" i="17"/>
  <c r="B3262" i="17"/>
  <c r="B3263" i="17"/>
  <c r="B3264" i="17"/>
  <c r="B3265" i="17"/>
  <c r="B3266" i="17"/>
  <c r="B3267" i="17"/>
  <c r="B3268" i="17"/>
  <c r="B3269" i="17"/>
  <c r="B3270" i="17"/>
  <c r="B3271" i="17"/>
  <c r="B3272" i="17"/>
  <c r="B3273" i="17"/>
  <c r="B3274" i="17"/>
  <c r="B3275" i="17"/>
  <c r="B3276" i="17"/>
  <c r="B3277" i="17"/>
  <c r="B3278" i="17"/>
  <c r="B3279" i="17"/>
  <c r="B3280" i="17"/>
  <c r="B3281" i="17"/>
  <c r="B3282" i="17"/>
  <c r="B3283" i="17"/>
  <c r="B3284" i="17"/>
  <c r="B3285" i="17"/>
  <c r="B3286" i="17"/>
  <c r="B3287" i="17"/>
  <c r="B3288" i="17"/>
  <c r="B3289" i="17"/>
  <c r="B3290" i="17"/>
  <c r="B3291" i="17"/>
  <c r="B3292" i="17"/>
  <c r="B3293" i="17"/>
  <c r="B3294" i="17"/>
  <c r="B3295" i="17"/>
  <c r="B3296" i="17"/>
  <c r="B3297" i="17"/>
  <c r="B3298" i="17"/>
  <c r="B3299" i="17"/>
  <c r="B3300" i="17"/>
  <c r="B3301" i="17"/>
  <c r="B3302" i="17"/>
  <c r="B3303" i="17"/>
  <c r="B3304" i="17"/>
  <c r="B3305" i="17"/>
  <c r="B3306" i="17"/>
  <c r="B3307" i="17"/>
  <c r="B3308" i="17"/>
  <c r="B3309" i="17"/>
  <c r="B3310" i="17"/>
  <c r="B3311" i="17"/>
  <c r="B3312" i="17"/>
  <c r="B3313" i="17"/>
  <c r="B3314" i="17"/>
  <c r="B3315" i="17"/>
  <c r="B3316" i="17"/>
  <c r="B3317" i="17"/>
  <c r="B3318" i="17"/>
  <c r="B3319" i="17"/>
  <c r="B3320" i="17"/>
  <c r="B3321" i="17"/>
  <c r="B3322" i="17"/>
  <c r="B3323" i="17"/>
  <c r="B3324" i="17"/>
  <c r="B3325" i="17"/>
  <c r="B3326" i="17"/>
  <c r="B3327" i="17"/>
  <c r="B3328" i="17"/>
  <c r="B3329" i="17"/>
  <c r="B3330" i="17"/>
  <c r="B3331" i="17"/>
  <c r="B3332" i="17"/>
  <c r="B3333" i="17"/>
  <c r="B3334" i="17"/>
  <c r="B3335" i="17"/>
  <c r="B3336" i="17"/>
  <c r="B3337" i="17"/>
  <c r="B3338" i="17"/>
  <c r="B3339" i="17"/>
  <c r="B3340" i="17"/>
  <c r="B3341" i="17"/>
  <c r="B3342" i="17"/>
  <c r="B3343" i="17"/>
  <c r="B3344" i="17"/>
  <c r="B3345" i="17"/>
  <c r="B3346" i="17"/>
  <c r="B3347" i="17"/>
  <c r="B3348" i="17"/>
  <c r="B3349" i="17"/>
  <c r="B3350" i="17"/>
  <c r="B3351" i="17"/>
  <c r="B3352" i="17"/>
  <c r="B3353" i="17"/>
  <c r="B3354" i="17"/>
  <c r="B3355" i="17"/>
  <c r="B3356" i="17"/>
  <c r="B3357" i="17"/>
  <c r="B3358" i="17"/>
  <c r="B3359" i="17"/>
  <c r="B3360" i="17"/>
  <c r="B3361" i="17"/>
  <c r="B3362" i="17"/>
  <c r="B3363" i="17"/>
  <c r="B3364" i="17"/>
  <c r="B3365" i="17"/>
  <c r="B3366" i="17"/>
  <c r="B3367" i="17"/>
  <c r="B3368" i="17"/>
  <c r="B3369" i="17"/>
  <c r="B3370" i="17"/>
  <c r="B3371" i="17"/>
  <c r="B3372" i="17"/>
  <c r="B3373" i="17"/>
  <c r="B3374" i="17"/>
  <c r="B3375" i="17"/>
  <c r="B3376" i="17"/>
  <c r="B3377" i="17"/>
  <c r="B3378" i="17"/>
  <c r="B3379" i="17"/>
  <c r="B3380" i="17"/>
  <c r="B3381" i="17"/>
  <c r="B3382" i="17"/>
  <c r="B3383" i="17"/>
  <c r="B3384" i="17"/>
  <c r="B3385" i="17"/>
  <c r="B3386" i="17"/>
  <c r="B3387" i="17"/>
  <c r="B3388" i="17"/>
  <c r="B3389" i="17"/>
  <c r="B3390" i="17"/>
  <c r="B3391" i="17"/>
  <c r="B3392" i="17"/>
  <c r="B3393" i="17"/>
  <c r="B3394" i="17"/>
  <c r="B3395" i="17"/>
  <c r="B3396" i="17"/>
  <c r="B3397" i="17"/>
  <c r="B3398" i="17"/>
  <c r="B3399" i="17"/>
  <c r="B3400" i="17"/>
  <c r="B3401" i="17"/>
  <c r="B3402" i="17"/>
  <c r="B3403" i="17"/>
  <c r="B3404" i="17"/>
  <c r="B3405" i="17"/>
  <c r="B3406" i="17"/>
  <c r="B3407" i="17"/>
  <c r="B3408" i="17"/>
  <c r="B3409" i="17"/>
  <c r="B3410" i="17"/>
  <c r="B3411" i="17"/>
  <c r="B3412" i="17"/>
  <c r="B3413" i="17"/>
  <c r="B3414" i="17"/>
  <c r="B3415" i="17"/>
  <c r="B3416" i="17"/>
  <c r="B3417" i="17"/>
  <c r="B3418" i="17"/>
  <c r="B3419" i="17"/>
  <c r="B3420" i="17"/>
  <c r="B3421" i="17"/>
  <c r="B3422" i="17"/>
  <c r="B3423" i="17"/>
  <c r="B3424" i="17"/>
  <c r="B3425" i="17"/>
  <c r="B3426" i="17"/>
  <c r="B3427" i="17"/>
  <c r="B3428" i="17"/>
  <c r="B3429" i="17"/>
  <c r="B3430" i="17"/>
  <c r="B3431" i="17"/>
  <c r="B3432" i="17"/>
  <c r="B3433" i="17"/>
  <c r="B3434" i="17"/>
  <c r="B3435" i="17"/>
  <c r="B3436" i="17"/>
  <c r="B3437" i="17"/>
  <c r="B3438" i="17"/>
  <c r="B3439" i="17"/>
  <c r="B3440" i="17"/>
  <c r="B3441" i="17"/>
  <c r="B3442" i="17"/>
  <c r="B3443" i="17"/>
  <c r="B3444" i="17"/>
  <c r="B3445" i="17"/>
  <c r="B3446" i="17"/>
  <c r="B3447" i="17"/>
  <c r="B3448" i="17"/>
  <c r="B3449" i="17"/>
  <c r="B3450" i="17"/>
  <c r="B3451" i="17"/>
  <c r="B3452" i="17"/>
  <c r="B3453" i="17"/>
  <c r="B3454" i="17"/>
  <c r="B3455" i="17"/>
  <c r="B3456" i="17"/>
  <c r="B3457" i="17"/>
  <c r="B3458" i="17"/>
  <c r="B3459" i="17"/>
  <c r="B3460" i="17"/>
  <c r="B3461" i="17"/>
  <c r="B3462" i="17"/>
  <c r="B3463" i="17"/>
  <c r="B3464" i="17"/>
  <c r="B3465" i="17"/>
  <c r="B3466" i="17"/>
  <c r="B3467" i="17"/>
  <c r="B3468" i="17"/>
  <c r="B3469" i="17"/>
  <c r="B3470" i="17"/>
  <c r="B3471" i="17"/>
  <c r="B3472" i="17"/>
  <c r="B3473" i="17"/>
  <c r="B3474" i="17"/>
  <c r="B3475" i="17"/>
  <c r="B3476" i="17"/>
  <c r="B3477" i="17"/>
  <c r="B3478" i="17"/>
  <c r="B3479" i="17"/>
  <c r="B3480" i="17"/>
  <c r="B3481" i="17"/>
  <c r="B3482" i="17"/>
  <c r="B3483" i="17"/>
  <c r="B3484" i="17"/>
  <c r="B3485" i="17"/>
  <c r="B3486" i="17"/>
  <c r="B3487" i="17"/>
  <c r="B3488" i="17"/>
  <c r="B3489" i="17"/>
  <c r="B3490" i="17"/>
  <c r="B3491" i="17"/>
  <c r="B3492" i="17"/>
  <c r="B3493" i="17"/>
  <c r="B3494" i="17"/>
  <c r="B3495" i="17"/>
  <c r="B3496" i="17"/>
  <c r="B3497" i="17"/>
  <c r="B3498" i="17"/>
  <c r="B3499" i="17"/>
  <c r="B3500" i="17"/>
  <c r="B3501" i="17"/>
  <c r="B3502" i="17"/>
  <c r="B3503" i="17"/>
  <c r="B3504" i="17"/>
  <c r="B3505" i="17"/>
  <c r="B3506" i="17"/>
  <c r="B3507" i="17"/>
  <c r="B3508" i="17"/>
  <c r="B3509" i="17"/>
  <c r="B3510" i="17"/>
  <c r="B3511" i="17"/>
  <c r="B3512" i="17"/>
  <c r="B3513" i="17"/>
  <c r="B3514" i="17"/>
  <c r="B3515" i="17"/>
  <c r="B3516" i="17"/>
  <c r="B3517" i="17"/>
  <c r="B3518" i="17"/>
  <c r="B3519" i="17"/>
  <c r="B3520" i="17"/>
  <c r="B3521" i="17"/>
  <c r="B3522" i="17"/>
  <c r="B3523" i="17"/>
  <c r="B3524" i="17"/>
  <c r="B3525" i="17"/>
  <c r="B3526" i="17"/>
  <c r="B3527" i="17"/>
  <c r="B3528" i="17"/>
  <c r="B3529" i="17"/>
  <c r="B3530" i="17"/>
  <c r="B3531" i="17"/>
  <c r="B3532" i="17"/>
  <c r="B3533" i="17"/>
  <c r="B3534" i="17"/>
  <c r="B3535" i="17"/>
  <c r="B3536" i="17"/>
  <c r="B3537" i="17"/>
  <c r="B3538" i="17"/>
  <c r="B3539" i="17"/>
  <c r="B3540" i="17"/>
  <c r="B3541" i="17"/>
  <c r="B3542" i="17"/>
  <c r="B3543" i="17"/>
  <c r="B3544" i="17"/>
  <c r="B3545" i="17"/>
  <c r="B3546" i="17"/>
  <c r="B3547" i="17"/>
  <c r="B3548" i="17"/>
  <c r="B3549" i="17"/>
  <c r="B3550" i="17"/>
  <c r="B3551" i="17"/>
  <c r="B3552" i="17"/>
  <c r="B3553" i="17"/>
  <c r="B3554" i="17"/>
  <c r="B3555" i="17"/>
  <c r="B3556" i="17"/>
  <c r="B3557" i="17"/>
  <c r="B3558" i="17"/>
  <c r="B3559" i="17"/>
  <c r="B3560" i="17"/>
  <c r="B3561" i="17"/>
  <c r="B3562" i="17"/>
  <c r="B3563" i="17"/>
  <c r="B3564" i="17"/>
  <c r="B3565" i="17"/>
  <c r="B3566" i="17"/>
  <c r="B3567" i="17"/>
  <c r="B3568" i="17"/>
  <c r="B3569" i="17"/>
  <c r="B3570" i="17"/>
  <c r="B3571" i="17"/>
  <c r="B3572" i="17"/>
  <c r="B3573" i="17"/>
  <c r="B3574" i="17"/>
  <c r="B3575" i="17"/>
  <c r="B3576" i="17"/>
  <c r="B3577" i="17"/>
  <c r="B3578" i="17"/>
  <c r="B3579" i="17"/>
  <c r="B3580" i="17"/>
  <c r="B3581" i="17"/>
  <c r="B3582" i="17"/>
  <c r="B3583" i="17"/>
  <c r="B3584" i="17"/>
  <c r="B3585" i="17"/>
  <c r="B3586" i="17"/>
  <c r="B3587" i="17"/>
  <c r="B3588" i="17"/>
  <c r="B3589" i="17"/>
  <c r="B3590" i="17"/>
  <c r="B3591" i="17"/>
  <c r="B3592" i="17"/>
  <c r="B3593" i="17"/>
  <c r="B3594" i="17"/>
  <c r="B3595" i="17"/>
  <c r="B3596" i="17"/>
  <c r="B3597" i="17"/>
  <c r="B3598" i="17"/>
  <c r="B3599" i="17"/>
  <c r="B3600" i="17"/>
  <c r="B3601" i="17"/>
  <c r="B3602" i="17"/>
  <c r="B3603" i="17"/>
  <c r="B3604" i="17"/>
  <c r="B3605" i="17"/>
  <c r="B3606" i="17"/>
  <c r="B3607" i="17"/>
  <c r="B3608" i="17"/>
  <c r="B3609" i="17"/>
  <c r="B3610" i="17"/>
  <c r="B3611" i="17"/>
  <c r="B3612" i="17"/>
  <c r="B3613" i="17"/>
  <c r="B3614" i="17"/>
  <c r="B3615" i="17"/>
  <c r="B3616" i="17"/>
  <c r="B3617" i="17"/>
  <c r="B3618" i="17"/>
  <c r="B3619" i="17"/>
  <c r="B3620" i="17"/>
  <c r="B3621" i="17"/>
  <c r="B3622" i="17"/>
  <c r="B3623" i="17"/>
  <c r="B3624" i="17"/>
  <c r="B3625" i="17"/>
  <c r="B3626" i="17"/>
  <c r="B3627" i="17"/>
  <c r="B3628" i="17"/>
  <c r="B3629" i="17"/>
  <c r="B3630" i="17"/>
  <c r="B3631" i="17"/>
  <c r="B3632" i="17"/>
  <c r="B3633" i="17"/>
  <c r="B3634" i="17"/>
  <c r="B3635" i="17"/>
  <c r="B3636" i="17"/>
  <c r="B3637" i="17"/>
  <c r="B3638" i="17"/>
  <c r="B3639" i="17"/>
  <c r="B3640" i="17"/>
  <c r="B3641" i="17"/>
  <c r="B3642" i="17"/>
  <c r="B3643" i="17"/>
  <c r="B3644" i="17"/>
  <c r="B3645" i="17"/>
  <c r="B3646" i="17"/>
  <c r="B3647" i="17"/>
  <c r="B3648" i="17"/>
  <c r="B3649" i="17"/>
  <c r="B3650" i="17"/>
  <c r="B3651" i="17"/>
  <c r="B3652" i="17"/>
  <c r="B3653" i="17"/>
  <c r="B3654" i="17"/>
  <c r="B3655" i="17"/>
  <c r="B3656" i="17"/>
  <c r="B3657" i="17"/>
  <c r="B3658" i="17"/>
  <c r="B3659" i="17"/>
  <c r="B3660" i="17"/>
  <c r="B3661" i="17"/>
  <c r="B3662" i="17"/>
  <c r="B3663" i="17"/>
  <c r="B3664" i="17"/>
  <c r="B3665" i="17"/>
  <c r="B3666" i="17"/>
  <c r="B3667" i="17"/>
  <c r="B3668" i="17"/>
  <c r="B3669" i="17"/>
  <c r="B3670" i="17"/>
  <c r="B3671" i="17"/>
  <c r="B3672" i="17"/>
  <c r="B3673" i="17"/>
  <c r="B3674" i="17"/>
  <c r="B3675" i="17"/>
  <c r="B3676" i="17"/>
  <c r="B3677" i="17"/>
  <c r="B3678" i="17"/>
  <c r="B3679" i="17"/>
  <c r="B3680" i="17"/>
  <c r="B3681" i="17"/>
  <c r="B3682" i="17"/>
  <c r="B3683" i="17"/>
  <c r="B3684" i="17"/>
  <c r="B3685" i="17"/>
  <c r="B3686" i="17"/>
  <c r="B3687" i="17"/>
  <c r="B3688" i="17"/>
  <c r="B3689" i="17"/>
  <c r="B3690" i="17"/>
  <c r="B3691" i="17"/>
  <c r="B3692" i="17"/>
  <c r="B3693" i="17"/>
  <c r="B3694" i="17"/>
  <c r="B3695" i="17"/>
  <c r="B3696" i="17"/>
  <c r="B3697" i="17"/>
  <c r="B3698" i="17"/>
  <c r="B3699" i="17"/>
  <c r="B3700" i="17"/>
  <c r="B3701" i="17"/>
  <c r="B3702" i="17"/>
  <c r="B3703" i="17"/>
  <c r="B3704" i="17"/>
  <c r="B3705" i="17"/>
  <c r="B3706" i="17"/>
  <c r="B3707" i="17"/>
  <c r="B3708" i="17"/>
  <c r="B3709" i="17"/>
  <c r="B3710" i="17"/>
  <c r="B3711" i="17"/>
  <c r="B3712" i="17"/>
  <c r="B3713" i="17"/>
  <c r="B3714" i="17"/>
  <c r="B3715" i="17"/>
  <c r="B3716" i="17"/>
  <c r="B3717" i="17"/>
  <c r="B3718" i="17"/>
  <c r="B3719" i="17"/>
  <c r="B3720" i="17"/>
  <c r="B3721" i="17"/>
  <c r="B3722" i="17"/>
  <c r="B3723" i="17"/>
  <c r="B3724" i="17"/>
  <c r="B3725" i="17"/>
  <c r="B3726" i="17"/>
  <c r="B3727" i="17"/>
  <c r="B3728" i="17"/>
  <c r="B3729" i="17"/>
  <c r="B3730" i="17"/>
  <c r="B3731" i="17"/>
  <c r="B3732" i="17"/>
  <c r="B3733" i="17"/>
  <c r="B3734" i="17"/>
  <c r="B3735" i="17"/>
  <c r="B3736" i="17"/>
  <c r="B3737" i="17"/>
  <c r="B3738" i="17"/>
  <c r="B3739" i="17"/>
  <c r="B3740" i="17"/>
  <c r="B3741" i="17"/>
  <c r="B3742" i="17"/>
  <c r="B3743" i="17"/>
  <c r="B3744" i="17"/>
  <c r="B3745" i="17"/>
  <c r="B3746" i="17"/>
  <c r="B3747" i="17"/>
  <c r="B3748" i="17"/>
  <c r="B3749" i="17"/>
  <c r="B3750" i="17"/>
  <c r="B3751" i="17"/>
  <c r="B3752" i="17"/>
  <c r="B3753" i="17"/>
  <c r="B3754" i="17"/>
  <c r="B3755" i="17"/>
  <c r="B3756" i="17"/>
  <c r="B3757" i="17"/>
  <c r="B3758" i="17"/>
  <c r="B3759" i="17"/>
  <c r="B3760" i="17"/>
  <c r="B3761" i="17"/>
  <c r="B3762" i="17"/>
  <c r="B3763" i="17"/>
  <c r="B3764" i="17"/>
  <c r="B3765" i="17"/>
  <c r="B3766" i="17"/>
  <c r="B3767" i="17"/>
  <c r="B3768" i="17"/>
  <c r="B3769" i="17"/>
  <c r="B3770" i="17"/>
  <c r="B3771" i="17"/>
  <c r="B3772" i="17"/>
  <c r="B3773" i="17"/>
  <c r="B3774" i="17"/>
  <c r="B3775" i="17"/>
  <c r="B3776" i="17"/>
  <c r="B3777" i="17"/>
  <c r="B3778" i="17"/>
  <c r="B3779" i="17"/>
  <c r="B3780" i="17"/>
  <c r="B3781" i="17"/>
  <c r="B3782" i="17"/>
  <c r="B3783" i="17"/>
  <c r="B3784" i="17"/>
  <c r="B3785" i="17"/>
  <c r="B3786" i="17"/>
  <c r="B3787" i="17"/>
  <c r="B3788" i="17"/>
  <c r="B3789" i="17"/>
  <c r="B3790" i="17"/>
  <c r="B3791" i="17"/>
  <c r="B3792" i="17"/>
  <c r="B3793" i="17"/>
  <c r="B3794" i="17"/>
  <c r="B3795" i="17"/>
  <c r="B3796" i="17"/>
  <c r="B3797" i="17"/>
  <c r="B3798" i="17"/>
  <c r="B3799" i="17"/>
  <c r="B3800" i="17"/>
  <c r="B3801" i="17"/>
  <c r="B3802" i="17"/>
  <c r="B3803" i="17"/>
  <c r="B3804" i="17"/>
  <c r="B3805" i="17"/>
  <c r="B3806" i="17"/>
  <c r="B3807" i="17"/>
  <c r="B3808" i="17"/>
  <c r="B3809" i="17"/>
  <c r="B3810" i="17"/>
  <c r="B3811" i="17"/>
  <c r="B3812" i="17"/>
  <c r="B3813" i="17"/>
  <c r="B3814" i="17"/>
  <c r="B3815" i="17"/>
  <c r="B3816" i="17"/>
  <c r="B3817" i="17"/>
  <c r="B3818" i="17"/>
  <c r="B3819" i="17"/>
  <c r="B3820" i="17"/>
  <c r="B3821" i="17"/>
  <c r="B3822" i="17"/>
  <c r="B3823" i="17"/>
  <c r="B3824" i="17"/>
  <c r="B3825" i="17"/>
  <c r="B3826" i="17"/>
  <c r="B3827" i="17"/>
  <c r="B3828" i="17"/>
  <c r="B3829" i="17"/>
  <c r="B3830" i="17"/>
  <c r="B3831" i="17"/>
  <c r="B3832" i="17"/>
  <c r="B3833" i="17"/>
  <c r="B3834" i="17"/>
  <c r="B3835" i="17"/>
  <c r="B3836" i="17"/>
  <c r="B3837" i="17"/>
  <c r="B3838" i="17"/>
  <c r="B3839" i="17"/>
  <c r="B3840" i="17"/>
  <c r="B3841" i="17"/>
  <c r="B3842" i="17"/>
  <c r="B3843" i="17"/>
  <c r="B3844" i="17"/>
  <c r="B3845" i="17"/>
  <c r="B3846" i="17"/>
  <c r="B3847" i="17"/>
  <c r="B3848" i="17"/>
  <c r="B3849" i="17"/>
  <c r="B3850" i="17"/>
  <c r="B3851" i="17"/>
  <c r="B3852" i="17"/>
  <c r="B3853" i="17"/>
  <c r="B3854" i="17"/>
  <c r="B3855" i="17"/>
  <c r="B3856" i="17"/>
  <c r="B3857" i="17"/>
  <c r="B3858" i="17"/>
  <c r="B3859" i="17"/>
  <c r="B3860" i="17"/>
  <c r="B3861" i="17"/>
  <c r="B3862" i="17"/>
  <c r="B3863" i="17"/>
  <c r="B3864" i="17"/>
  <c r="B3865" i="17"/>
  <c r="B3866" i="17"/>
  <c r="B3867" i="17"/>
  <c r="B3868" i="17"/>
  <c r="B3869" i="17"/>
  <c r="B3870" i="17"/>
  <c r="B3871" i="17"/>
  <c r="B3872" i="17"/>
  <c r="B3873" i="17"/>
  <c r="B3874" i="17"/>
  <c r="B3875" i="17"/>
  <c r="B3876" i="17"/>
  <c r="B3877" i="17"/>
  <c r="B3878" i="17"/>
  <c r="B3879" i="17"/>
  <c r="B3880" i="17"/>
  <c r="B3881" i="17"/>
  <c r="B3882" i="17"/>
  <c r="B3883" i="17"/>
  <c r="B3884" i="17"/>
  <c r="B3885" i="17"/>
  <c r="B3886" i="17"/>
  <c r="B3887" i="17"/>
  <c r="B3888" i="17"/>
  <c r="B3889" i="17"/>
  <c r="B3890" i="17"/>
  <c r="B3891" i="17"/>
  <c r="B3892" i="17"/>
  <c r="B3893" i="17"/>
  <c r="B3894" i="17"/>
  <c r="B3895" i="17"/>
  <c r="B3896" i="17"/>
  <c r="B3897" i="17"/>
  <c r="B3898" i="17"/>
  <c r="B3899" i="17"/>
  <c r="B3900" i="17"/>
  <c r="B3901" i="17"/>
  <c r="B3902" i="17"/>
  <c r="B3903" i="17"/>
  <c r="B3904" i="17"/>
  <c r="B3905" i="17"/>
  <c r="B3906" i="17"/>
  <c r="B3907" i="17"/>
  <c r="B3908" i="17"/>
  <c r="B3909" i="17"/>
  <c r="B3910" i="17"/>
  <c r="B3911" i="17"/>
  <c r="B3912" i="17"/>
  <c r="B3913" i="17"/>
  <c r="B3914" i="17"/>
  <c r="B3915" i="17"/>
  <c r="B3916" i="17"/>
  <c r="B3917" i="17"/>
  <c r="B3918" i="17"/>
  <c r="B3919" i="17"/>
  <c r="B3920" i="17"/>
  <c r="B3921" i="17"/>
  <c r="B3922" i="17"/>
  <c r="B3923" i="17"/>
  <c r="B3924" i="17"/>
  <c r="B3925" i="17"/>
  <c r="B3926" i="17"/>
  <c r="B3927" i="17"/>
  <c r="B3928" i="17"/>
  <c r="B3929" i="17"/>
  <c r="B3930" i="17"/>
  <c r="B3931" i="17"/>
  <c r="B3932" i="17"/>
  <c r="B3933" i="17"/>
  <c r="B3934" i="17"/>
  <c r="B3935" i="17"/>
  <c r="B3936" i="17"/>
  <c r="B3937" i="17"/>
  <c r="B3938" i="17"/>
  <c r="B3939" i="17"/>
  <c r="B3940" i="17"/>
  <c r="B3941" i="17"/>
  <c r="B3942" i="17"/>
  <c r="B3943" i="17"/>
  <c r="B3944" i="17"/>
  <c r="B3945" i="17"/>
  <c r="B3946" i="17"/>
  <c r="B3947" i="17"/>
  <c r="B3948" i="17"/>
  <c r="B3949" i="17"/>
  <c r="B3950" i="17"/>
  <c r="B3951" i="17"/>
  <c r="B3952" i="17"/>
  <c r="B3953" i="17"/>
  <c r="B3954" i="17"/>
  <c r="B3955" i="17"/>
  <c r="B3956" i="17"/>
  <c r="B3957" i="17"/>
  <c r="B3958" i="17"/>
  <c r="B3959" i="17"/>
  <c r="B3960" i="17"/>
  <c r="B3961" i="17"/>
  <c r="B3962" i="17"/>
  <c r="B3963" i="17"/>
  <c r="B3964" i="17"/>
  <c r="B3965" i="17"/>
  <c r="B3966" i="17"/>
  <c r="B3967" i="17"/>
  <c r="B3968" i="17"/>
  <c r="B3969" i="17"/>
  <c r="B3970" i="17"/>
  <c r="B3971" i="17"/>
  <c r="B3972" i="17"/>
  <c r="B3973" i="17"/>
  <c r="B3974" i="17"/>
  <c r="B3975" i="17"/>
  <c r="B3976" i="17"/>
  <c r="B3977" i="17"/>
  <c r="B3978" i="17"/>
  <c r="B3979" i="17"/>
  <c r="B3980" i="17"/>
  <c r="B3981" i="17"/>
  <c r="B3982" i="17"/>
  <c r="B3983" i="17"/>
  <c r="B3984" i="17"/>
  <c r="B3985" i="17"/>
  <c r="B3986" i="17"/>
  <c r="B3987" i="17"/>
  <c r="B3988" i="17"/>
  <c r="B3989" i="17"/>
  <c r="B3990" i="17"/>
  <c r="B3991" i="17"/>
  <c r="B3992" i="17"/>
  <c r="B3993" i="17"/>
  <c r="B3994" i="17"/>
  <c r="B3995" i="17"/>
  <c r="B3996" i="17"/>
  <c r="B3997" i="17"/>
  <c r="B3998" i="17"/>
  <c r="B3999" i="17"/>
  <c r="B4000" i="17"/>
  <c r="B4001" i="17"/>
  <c r="B4002" i="17"/>
  <c r="B4003" i="17"/>
  <c r="B4004" i="17"/>
  <c r="B4005" i="17"/>
  <c r="B4006" i="17"/>
  <c r="B4007" i="17"/>
  <c r="B4008" i="17"/>
  <c r="B4009" i="17"/>
  <c r="B4010" i="17"/>
  <c r="B4011" i="17"/>
  <c r="B4012" i="17"/>
  <c r="B4013" i="17"/>
  <c r="B4014" i="17"/>
  <c r="B4015" i="17"/>
  <c r="B4016" i="17"/>
  <c r="B4017" i="17"/>
  <c r="B4018" i="17"/>
  <c r="B4019" i="17"/>
  <c r="B4020" i="17"/>
  <c r="B4021" i="17"/>
  <c r="B4022" i="17"/>
  <c r="B4023" i="17"/>
  <c r="B4024" i="17"/>
  <c r="B4025" i="17"/>
  <c r="B4026" i="17"/>
  <c r="B4027" i="17"/>
  <c r="B4028" i="17"/>
  <c r="B4029" i="17"/>
  <c r="B4030" i="17"/>
  <c r="B4031" i="17"/>
  <c r="B4032" i="17"/>
  <c r="B4033" i="17"/>
  <c r="B4034" i="17"/>
  <c r="B4035" i="17"/>
  <c r="B4036" i="17"/>
  <c r="B4037" i="17"/>
  <c r="B4038" i="17"/>
  <c r="B4039" i="17"/>
  <c r="B4040" i="17"/>
  <c r="B4041" i="17"/>
  <c r="B4042" i="17"/>
  <c r="B4043" i="17"/>
  <c r="B4044" i="17"/>
  <c r="B4045" i="17"/>
  <c r="B4046" i="17"/>
  <c r="B4047" i="17"/>
  <c r="B4048" i="17"/>
  <c r="B4049" i="17"/>
  <c r="B4050" i="17"/>
  <c r="B4051" i="17"/>
  <c r="B4052" i="17"/>
  <c r="B4053" i="17"/>
  <c r="B4054" i="17"/>
  <c r="B4055" i="17"/>
  <c r="B4056" i="17"/>
  <c r="B4057" i="17"/>
  <c r="B4058" i="17"/>
  <c r="B4059" i="17"/>
  <c r="B4060" i="17"/>
  <c r="B4061" i="17"/>
  <c r="B4062" i="17"/>
  <c r="B4063" i="17"/>
  <c r="B4064" i="17"/>
  <c r="B4065" i="17"/>
  <c r="B4066" i="17"/>
  <c r="B4067" i="17"/>
  <c r="B4068" i="17"/>
  <c r="B4069" i="17"/>
  <c r="B4070" i="17"/>
  <c r="B4071" i="17"/>
  <c r="B4072" i="17"/>
  <c r="B4073" i="17"/>
  <c r="B4074" i="17"/>
  <c r="B4075" i="17"/>
  <c r="B4076" i="17"/>
  <c r="B4077" i="17"/>
  <c r="B4078" i="17"/>
  <c r="B4079" i="17"/>
  <c r="B4080" i="17"/>
  <c r="B4081" i="17"/>
  <c r="B4082" i="17"/>
  <c r="B4083" i="17"/>
  <c r="B4084" i="17"/>
  <c r="B4085" i="17"/>
  <c r="B4086" i="17"/>
  <c r="B4087" i="17"/>
  <c r="B4088" i="17"/>
  <c r="B4089" i="17"/>
  <c r="B4090" i="17"/>
  <c r="B4091" i="17"/>
  <c r="B4092" i="17"/>
  <c r="B4093" i="17"/>
  <c r="B4094" i="17"/>
  <c r="B4095" i="17"/>
  <c r="B4096" i="17"/>
  <c r="B4097" i="17"/>
  <c r="B4098" i="17"/>
  <c r="B4099" i="17"/>
  <c r="B4100" i="17"/>
  <c r="B4101" i="17"/>
  <c r="B4102" i="17"/>
  <c r="B4103" i="17"/>
  <c r="B4104" i="17"/>
  <c r="B4105" i="17"/>
  <c r="B4106" i="17"/>
  <c r="B4107" i="17"/>
  <c r="B4108" i="17"/>
  <c r="B4109" i="17"/>
  <c r="B4110" i="17"/>
  <c r="B4111" i="17"/>
  <c r="B4112" i="17"/>
  <c r="B4113" i="17"/>
  <c r="B4114" i="17"/>
  <c r="B4115" i="17"/>
  <c r="B4116" i="17"/>
  <c r="B4117" i="17"/>
  <c r="B4118" i="17"/>
  <c r="B4119" i="17"/>
  <c r="B4120" i="17"/>
  <c r="B4121" i="17"/>
  <c r="B4122" i="17"/>
  <c r="B4123" i="17"/>
  <c r="B4124" i="17"/>
  <c r="B4125" i="17"/>
  <c r="B4126" i="17"/>
  <c r="B4127" i="17"/>
  <c r="B4128" i="17"/>
  <c r="B4129" i="17"/>
  <c r="B4130" i="17"/>
  <c r="B4131" i="17"/>
  <c r="B4132" i="17"/>
  <c r="B4133" i="17"/>
  <c r="B4134" i="17"/>
  <c r="B4135" i="17"/>
  <c r="B4136" i="17"/>
  <c r="B4137" i="17"/>
  <c r="B4138" i="17"/>
  <c r="B4139" i="17"/>
  <c r="B4140" i="17"/>
  <c r="B4141" i="17"/>
  <c r="B4142" i="17"/>
  <c r="B4143" i="17"/>
  <c r="B4144" i="17"/>
  <c r="B4145" i="17"/>
  <c r="B4146" i="17"/>
  <c r="B4147" i="17"/>
  <c r="B4148" i="17"/>
  <c r="B4149" i="17"/>
  <c r="B4150" i="17"/>
  <c r="B4151" i="17"/>
  <c r="B4152" i="17"/>
  <c r="B4153" i="17"/>
  <c r="B4154" i="17"/>
  <c r="B4155" i="17"/>
  <c r="B4156" i="17"/>
  <c r="B4157" i="17"/>
  <c r="B4158" i="17"/>
  <c r="B4159" i="17"/>
  <c r="B4160" i="17"/>
  <c r="B4161" i="17"/>
  <c r="B4162" i="17"/>
  <c r="B4163" i="17"/>
  <c r="B4164" i="17"/>
  <c r="B4165" i="17"/>
  <c r="B4166" i="17"/>
  <c r="B4167" i="17"/>
  <c r="B4168" i="17"/>
  <c r="B4169" i="17"/>
  <c r="B4170" i="17"/>
  <c r="B4171" i="17"/>
  <c r="B4172" i="17"/>
  <c r="B4173" i="17"/>
  <c r="B4174" i="17"/>
  <c r="B4175" i="17"/>
  <c r="B4176" i="17"/>
  <c r="B4177" i="17"/>
  <c r="B4178" i="17"/>
  <c r="B4179" i="17"/>
  <c r="B4180" i="17"/>
  <c r="B4181" i="17"/>
  <c r="B4182" i="17"/>
  <c r="B4183" i="17"/>
  <c r="B4184" i="17"/>
  <c r="B4185" i="17"/>
  <c r="B4186" i="17"/>
  <c r="B4187" i="17"/>
  <c r="B4188" i="17"/>
  <c r="B4189" i="17"/>
  <c r="B4190" i="17"/>
  <c r="B4191" i="17"/>
  <c r="B4192" i="17"/>
  <c r="B4193" i="17"/>
  <c r="B4194" i="17"/>
  <c r="B4195" i="17"/>
  <c r="B4196" i="17"/>
  <c r="B4197" i="17"/>
  <c r="B4198" i="17"/>
  <c r="B4199" i="17"/>
  <c r="B4200" i="17"/>
  <c r="B4201" i="17"/>
  <c r="B4202" i="17"/>
  <c r="B4203" i="17"/>
  <c r="B4204" i="17"/>
  <c r="B4205" i="17"/>
  <c r="B4206" i="17"/>
  <c r="B4207" i="17"/>
  <c r="B4208" i="17"/>
  <c r="B4209" i="17"/>
  <c r="B4210" i="17"/>
  <c r="B4211" i="17"/>
  <c r="B4212" i="17"/>
  <c r="B4213" i="17"/>
  <c r="B4214" i="17"/>
  <c r="B4215" i="17"/>
  <c r="B4216" i="17"/>
  <c r="B4217" i="17"/>
  <c r="B4218" i="17"/>
  <c r="B4219" i="17"/>
  <c r="B4220" i="17"/>
  <c r="B4221" i="17"/>
  <c r="B4222" i="17"/>
  <c r="B4223" i="17"/>
  <c r="B4224" i="17"/>
  <c r="B4225" i="17"/>
  <c r="B4226" i="17"/>
  <c r="B4227" i="17"/>
  <c r="B4228" i="17"/>
  <c r="B4229" i="17"/>
  <c r="B4230" i="17"/>
  <c r="B4231" i="17"/>
  <c r="B4232" i="17"/>
  <c r="B4233" i="17"/>
  <c r="B4234" i="17"/>
  <c r="B4235" i="17"/>
  <c r="B4236" i="17"/>
  <c r="B4237" i="17"/>
  <c r="B4238" i="17"/>
  <c r="B4239" i="17"/>
  <c r="B4240" i="17"/>
  <c r="B4241" i="17"/>
  <c r="B4242" i="17"/>
  <c r="B4243" i="17"/>
  <c r="B4244" i="17"/>
  <c r="B4245" i="17"/>
  <c r="B4246" i="17"/>
  <c r="B4247" i="17"/>
  <c r="B4248" i="17"/>
  <c r="B4249" i="17"/>
  <c r="B4250" i="17"/>
  <c r="B4251" i="17"/>
  <c r="B4252" i="17"/>
  <c r="B4253" i="17"/>
  <c r="B4254" i="17"/>
  <c r="B4255" i="17"/>
  <c r="B4256" i="17"/>
  <c r="B4257" i="17"/>
  <c r="B4258" i="17"/>
  <c r="B4259" i="17"/>
  <c r="B4260" i="17"/>
  <c r="B4261" i="17"/>
  <c r="B4262" i="17"/>
  <c r="B4263" i="17"/>
  <c r="B4264" i="17"/>
  <c r="B4265" i="17"/>
  <c r="B4266" i="17"/>
  <c r="B4267" i="17"/>
  <c r="B4268" i="17"/>
  <c r="B4269" i="17"/>
  <c r="B4270" i="17"/>
  <c r="B4271" i="17"/>
  <c r="B4272" i="17"/>
  <c r="B4273" i="17"/>
  <c r="B4274" i="17"/>
  <c r="B4275" i="17"/>
  <c r="B4276" i="17"/>
  <c r="B4277" i="17"/>
  <c r="B4278" i="17"/>
  <c r="B4279" i="17"/>
  <c r="B4280" i="17"/>
  <c r="B4281" i="17"/>
  <c r="B4282" i="17"/>
  <c r="B4283" i="17"/>
  <c r="B4284" i="17"/>
  <c r="B4285" i="17"/>
  <c r="B4286" i="17"/>
  <c r="B4287" i="17"/>
  <c r="B4288" i="17"/>
  <c r="B4289" i="17"/>
  <c r="B4290" i="17"/>
  <c r="B4291" i="17"/>
  <c r="B4292" i="17"/>
  <c r="B4293" i="17"/>
  <c r="B4294" i="17"/>
  <c r="B4295" i="17"/>
  <c r="B4296" i="17"/>
  <c r="B4297" i="17"/>
  <c r="B4298" i="17"/>
  <c r="B4299" i="17"/>
  <c r="B4300" i="17"/>
  <c r="B4301" i="17"/>
  <c r="B4302" i="17"/>
  <c r="B4303" i="17"/>
  <c r="B4304" i="17"/>
  <c r="B4305" i="17"/>
  <c r="B4306" i="17"/>
  <c r="B4307" i="17"/>
  <c r="B4308" i="17"/>
  <c r="B4309" i="17"/>
  <c r="B4310" i="17"/>
  <c r="B4311" i="17"/>
  <c r="B4312" i="17"/>
  <c r="B4313" i="17"/>
  <c r="B4314" i="17"/>
  <c r="B4315" i="17"/>
  <c r="B4316" i="17"/>
  <c r="B4317" i="17"/>
  <c r="B4318" i="17"/>
  <c r="B4319" i="17"/>
  <c r="B4320" i="17"/>
  <c r="B4321" i="17"/>
  <c r="B4322" i="17"/>
  <c r="B4323" i="17"/>
  <c r="B4324" i="17"/>
  <c r="B4325" i="17"/>
  <c r="B4326" i="17"/>
  <c r="B4327" i="17"/>
  <c r="B4328" i="17"/>
  <c r="B4329" i="17"/>
  <c r="B4330" i="17"/>
  <c r="B4331" i="17"/>
  <c r="B4332" i="17"/>
  <c r="B4333" i="17"/>
  <c r="B4334" i="17"/>
  <c r="B4335" i="17"/>
  <c r="B4336" i="17"/>
  <c r="B4337" i="17"/>
  <c r="B4338" i="17"/>
  <c r="B4339" i="17"/>
  <c r="B4340" i="17"/>
  <c r="B4341" i="17"/>
  <c r="B4342" i="17"/>
  <c r="B4343" i="17"/>
  <c r="B4344" i="17"/>
  <c r="B4345" i="17"/>
  <c r="B4346" i="17"/>
  <c r="B4347" i="17"/>
  <c r="B4348" i="17"/>
  <c r="B4349" i="17"/>
  <c r="B4350" i="17"/>
  <c r="B4351" i="17"/>
  <c r="B4352" i="17"/>
  <c r="B4353" i="17"/>
  <c r="B4354" i="17"/>
  <c r="B4355" i="17"/>
  <c r="B4356" i="17"/>
  <c r="B4357" i="17"/>
  <c r="B4358" i="17"/>
  <c r="B4359" i="17"/>
  <c r="B4360" i="17"/>
  <c r="B4361" i="17"/>
  <c r="B4362" i="17"/>
  <c r="B4363" i="17"/>
  <c r="B4364" i="17"/>
  <c r="B4365" i="17"/>
  <c r="B4366" i="17"/>
  <c r="B4367" i="17"/>
  <c r="B4368" i="17"/>
  <c r="B4369" i="17"/>
  <c r="B4370" i="17"/>
  <c r="B4371" i="17"/>
  <c r="B4372" i="17"/>
  <c r="B4373" i="17"/>
  <c r="B4374" i="17"/>
  <c r="B4375" i="17"/>
  <c r="B4376" i="17"/>
  <c r="B4377" i="17"/>
  <c r="B4378" i="17"/>
  <c r="B4379" i="17"/>
  <c r="B4380" i="17"/>
  <c r="B4381" i="17"/>
  <c r="B4382" i="17"/>
  <c r="B4383" i="17"/>
  <c r="B4384" i="17"/>
  <c r="B4385" i="17"/>
  <c r="B4386" i="17"/>
  <c r="B4387" i="17"/>
  <c r="B4388" i="17"/>
  <c r="B4389" i="17"/>
  <c r="B4390" i="17"/>
  <c r="B4391" i="17"/>
  <c r="B4392" i="17"/>
  <c r="B4393" i="17"/>
  <c r="B4394" i="17"/>
  <c r="B4395" i="17"/>
  <c r="B4396" i="17"/>
  <c r="B4397" i="17"/>
  <c r="B4398" i="17"/>
  <c r="B4399" i="17"/>
  <c r="B4400" i="17"/>
  <c r="B4401" i="17"/>
  <c r="B4402" i="17"/>
  <c r="B4403" i="17"/>
  <c r="B4404" i="17"/>
  <c r="B4405" i="17"/>
  <c r="B4406" i="17"/>
  <c r="B4407" i="17"/>
  <c r="B4408" i="17"/>
  <c r="B4409" i="17"/>
  <c r="B4410" i="17"/>
  <c r="B4411" i="17"/>
  <c r="B4412" i="17"/>
  <c r="B4413" i="17"/>
  <c r="B4414" i="17"/>
  <c r="B4415" i="17"/>
  <c r="B4416" i="17"/>
  <c r="B4417" i="17"/>
  <c r="B4418" i="17"/>
  <c r="B4419" i="17"/>
  <c r="B4420" i="17"/>
  <c r="B4421" i="17"/>
  <c r="B4422" i="17"/>
  <c r="B4423" i="17"/>
  <c r="B4424" i="17"/>
  <c r="B4425" i="17"/>
  <c r="B4426" i="17"/>
  <c r="B4427" i="17"/>
  <c r="B4428" i="17"/>
  <c r="B4429" i="17"/>
  <c r="B4430" i="17"/>
  <c r="B4431" i="17"/>
  <c r="B4432" i="17"/>
  <c r="B4433" i="17"/>
  <c r="B4434" i="17"/>
  <c r="B4435" i="17"/>
  <c r="B4436" i="17"/>
  <c r="B4437" i="17"/>
  <c r="B4438" i="17"/>
  <c r="B4439" i="17"/>
  <c r="B4440" i="17"/>
  <c r="B4441" i="17"/>
  <c r="B4442" i="17"/>
  <c r="B4443" i="17"/>
  <c r="B4444" i="17"/>
  <c r="B4445" i="17"/>
  <c r="B4446" i="17"/>
  <c r="B4447" i="17"/>
  <c r="B4448" i="17"/>
  <c r="B4449" i="17"/>
  <c r="B4450" i="17"/>
  <c r="B4451" i="17"/>
  <c r="B4452" i="17"/>
  <c r="B4453" i="17"/>
  <c r="B4454" i="17"/>
  <c r="B4455" i="17"/>
  <c r="B4456" i="17"/>
  <c r="B4457" i="17"/>
  <c r="B4458" i="17"/>
  <c r="B4459" i="17"/>
  <c r="B4460" i="17"/>
  <c r="B4461" i="17"/>
  <c r="B4462" i="17"/>
  <c r="B4463" i="17"/>
  <c r="B4464" i="17"/>
  <c r="B4465" i="17"/>
  <c r="B4466" i="17"/>
  <c r="B4467" i="17"/>
  <c r="B4468" i="17"/>
  <c r="B4469" i="17"/>
  <c r="B4470" i="17"/>
  <c r="B4471" i="17"/>
  <c r="B4472" i="17"/>
  <c r="B4473" i="17"/>
  <c r="B4474" i="17"/>
  <c r="B4475" i="17"/>
  <c r="B4476" i="17"/>
  <c r="B4477" i="17"/>
  <c r="B4478" i="17"/>
  <c r="B4479" i="17"/>
  <c r="B4480" i="17"/>
  <c r="B4481" i="17"/>
  <c r="B4482" i="17"/>
  <c r="B4483" i="17"/>
  <c r="B4484" i="17"/>
  <c r="B4485" i="17"/>
  <c r="B4486" i="17"/>
  <c r="B4487" i="17"/>
  <c r="B4488" i="17"/>
  <c r="B4489" i="17"/>
  <c r="B4490" i="17"/>
  <c r="B4491" i="17"/>
  <c r="B4492" i="17"/>
  <c r="B4493" i="17"/>
  <c r="B4494" i="17"/>
  <c r="B4495" i="17"/>
  <c r="B4496" i="17"/>
  <c r="B4497" i="17"/>
  <c r="B4498" i="17"/>
  <c r="B4499" i="17"/>
  <c r="B4500" i="17"/>
  <c r="B4501" i="17"/>
  <c r="B4502" i="17"/>
  <c r="B4503" i="17"/>
  <c r="B4504" i="17"/>
  <c r="B4505" i="17"/>
  <c r="B4506" i="17"/>
  <c r="B4507" i="17"/>
  <c r="B4508" i="17"/>
  <c r="B4509" i="17"/>
  <c r="B4510" i="17"/>
  <c r="B4511" i="17"/>
  <c r="B4512" i="17"/>
  <c r="B4513" i="17"/>
  <c r="B4514" i="17"/>
  <c r="B4515" i="17"/>
  <c r="B4516" i="17"/>
  <c r="B4517" i="17"/>
  <c r="B4518" i="17"/>
  <c r="B4519" i="17"/>
  <c r="B4520" i="17"/>
  <c r="B4521" i="17"/>
  <c r="B4522" i="17"/>
  <c r="B4523" i="17"/>
  <c r="B4524" i="17"/>
  <c r="B4525" i="17"/>
  <c r="B4526" i="17"/>
  <c r="B4527" i="17"/>
  <c r="B4528" i="17"/>
  <c r="B4529" i="17"/>
  <c r="B4530" i="17"/>
  <c r="B4531" i="17"/>
  <c r="B4532" i="17"/>
  <c r="B4533" i="17"/>
  <c r="B4534" i="17"/>
  <c r="B4535" i="17"/>
  <c r="B4536" i="17"/>
  <c r="B4537" i="17"/>
  <c r="B4538" i="17"/>
  <c r="B4539" i="17"/>
  <c r="B4540" i="17"/>
  <c r="B4541" i="17"/>
  <c r="B4542" i="17"/>
  <c r="B4543" i="17"/>
  <c r="B4544" i="17"/>
  <c r="B4545" i="17"/>
  <c r="B4546" i="17"/>
  <c r="B4547" i="17"/>
  <c r="B4548" i="17"/>
  <c r="B4549" i="17"/>
  <c r="B4550" i="17"/>
  <c r="B4551" i="17"/>
  <c r="B4552" i="17"/>
  <c r="B4553" i="17"/>
  <c r="B4554" i="17"/>
  <c r="B4555" i="17"/>
  <c r="B4556" i="17"/>
  <c r="B4557" i="17"/>
  <c r="B4558" i="17"/>
  <c r="B4559" i="17"/>
  <c r="B4560" i="17"/>
  <c r="B4561" i="17"/>
  <c r="B4562" i="17"/>
  <c r="B4563" i="17"/>
  <c r="B4564" i="17"/>
  <c r="B4565" i="17"/>
  <c r="B4566" i="17"/>
  <c r="B4567" i="17"/>
  <c r="B4568" i="17"/>
  <c r="B4569" i="17"/>
  <c r="B4570" i="17"/>
  <c r="B4571" i="17"/>
  <c r="B4572" i="17"/>
  <c r="B4573" i="17"/>
  <c r="B4574" i="17"/>
  <c r="B4575" i="17"/>
  <c r="B4576" i="17"/>
  <c r="B4577" i="17"/>
  <c r="B4578" i="17"/>
  <c r="B4579" i="17"/>
  <c r="B4580" i="17"/>
  <c r="B4581" i="17"/>
  <c r="B4582" i="17"/>
  <c r="B4583" i="17"/>
  <c r="B4584" i="17"/>
  <c r="B4585" i="17"/>
  <c r="B4586" i="17"/>
  <c r="B4587" i="17"/>
  <c r="B4588" i="17"/>
  <c r="B4589" i="17"/>
  <c r="B4590" i="17"/>
  <c r="B4591" i="17"/>
  <c r="B4592" i="17"/>
  <c r="B4593" i="17"/>
  <c r="B4594" i="17"/>
  <c r="B4595" i="17"/>
  <c r="B4596" i="17"/>
  <c r="B4597" i="17"/>
  <c r="B4598" i="17"/>
  <c r="B4599" i="17"/>
  <c r="B4600" i="17"/>
  <c r="B4601" i="17"/>
  <c r="B4602" i="17"/>
  <c r="B4603" i="17"/>
  <c r="B4604" i="17"/>
  <c r="B4605" i="17"/>
  <c r="B4606" i="17"/>
  <c r="B4607" i="17"/>
  <c r="B4608" i="17"/>
  <c r="B4609" i="17"/>
  <c r="B4610" i="17"/>
  <c r="B4611" i="17"/>
  <c r="B4612" i="17"/>
  <c r="B4613" i="17"/>
  <c r="B4614" i="17"/>
  <c r="B4615" i="17"/>
  <c r="B4616" i="17"/>
  <c r="B4617" i="17"/>
  <c r="B4618" i="17"/>
  <c r="B4619" i="17"/>
  <c r="B4620" i="17"/>
  <c r="B4621" i="17"/>
  <c r="B4622" i="17"/>
  <c r="B4623" i="17"/>
  <c r="B4624" i="17"/>
  <c r="B4625" i="17"/>
  <c r="B4626" i="17"/>
  <c r="B4627" i="17"/>
  <c r="B4628" i="17"/>
  <c r="B4629" i="17"/>
  <c r="B4630" i="17"/>
  <c r="B4631" i="17"/>
  <c r="B4632" i="17"/>
  <c r="B4633" i="17"/>
  <c r="B4634" i="17"/>
  <c r="B4635" i="17"/>
  <c r="B4636" i="17"/>
  <c r="B4637" i="17"/>
  <c r="B4638" i="17"/>
  <c r="B4639" i="17"/>
  <c r="B4640" i="17"/>
  <c r="B4641" i="17"/>
  <c r="B4642" i="17"/>
  <c r="B4643" i="17"/>
  <c r="B4644" i="17"/>
  <c r="B4645" i="17"/>
  <c r="B4646" i="17"/>
  <c r="B4647" i="17"/>
  <c r="B4648" i="17"/>
  <c r="B4649" i="17"/>
  <c r="B4650" i="17"/>
  <c r="B4651" i="17"/>
  <c r="B4652" i="17"/>
  <c r="B4653" i="17"/>
  <c r="B4654" i="17"/>
  <c r="B4655" i="17"/>
  <c r="B4656" i="17"/>
  <c r="B4657" i="17"/>
  <c r="B4658" i="17"/>
  <c r="B4659" i="17"/>
  <c r="B4660" i="17"/>
  <c r="B4661" i="17"/>
  <c r="B4662" i="17"/>
  <c r="B4663" i="17"/>
  <c r="B4664" i="17"/>
  <c r="B4665" i="17"/>
  <c r="B4666" i="17"/>
  <c r="B4667" i="17"/>
  <c r="B4668" i="17"/>
  <c r="B4669" i="17"/>
  <c r="B4670" i="17"/>
  <c r="B4671" i="17"/>
  <c r="B4672" i="17"/>
  <c r="B4673" i="17"/>
  <c r="B4674" i="17"/>
  <c r="B4675" i="17"/>
  <c r="B4676" i="17"/>
  <c r="B4677" i="17"/>
  <c r="B4678" i="17"/>
  <c r="B4679" i="17"/>
  <c r="B4680" i="17"/>
  <c r="B4681" i="17"/>
  <c r="B4682" i="17"/>
  <c r="B4683" i="17"/>
  <c r="B4684" i="17"/>
  <c r="B4685" i="17"/>
  <c r="B4686" i="17"/>
  <c r="B4687" i="17"/>
  <c r="B4688" i="17"/>
  <c r="B4689" i="17"/>
  <c r="B4690" i="17"/>
  <c r="B4691" i="17"/>
  <c r="B4692" i="17"/>
  <c r="B4693" i="17"/>
  <c r="B4694" i="17"/>
  <c r="B4695" i="17"/>
  <c r="B4696" i="17"/>
  <c r="B4697" i="17"/>
  <c r="B4698" i="17"/>
  <c r="B4699" i="17"/>
  <c r="B4700" i="17"/>
  <c r="B4701" i="17"/>
  <c r="B4702" i="17"/>
  <c r="B4703" i="17"/>
  <c r="B4704" i="17"/>
  <c r="B4705" i="17"/>
  <c r="B4706" i="17"/>
  <c r="B4707" i="17"/>
  <c r="B4708" i="17"/>
  <c r="B4709" i="17"/>
  <c r="B4710" i="17"/>
  <c r="B4711" i="17"/>
  <c r="B4712" i="17"/>
  <c r="B4713" i="17"/>
  <c r="B4714" i="17"/>
  <c r="B4715" i="17"/>
  <c r="B4716" i="17"/>
  <c r="B4717" i="17"/>
  <c r="B4718" i="17"/>
  <c r="B4719" i="17"/>
  <c r="B4720" i="17"/>
  <c r="B4721" i="17"/>
  <c r="B4722" i="17"/>
  <c r="B4723" i="17"/>
  <c r="B4724" i="17"/>
  <c r="B4725" i="17"/>
  <c r="B4726" i="17"/>
  <c r="B4727" i="17"/>
  <c r="B4728" i="17"/>
  <c r="B4729" i="17"/>
  <c r="B4730" i="17"/>
  <c r="B4731" i="17"/>
  <c r="B4732" i="17"/>
  <c r="B4733" i="17"/>
  <c r="B4734" i="17"/>
  <c r="B4735" i="17"/>
  <c r="B4736" i="17"/>
  <c r="B4737" i="17"/>
  <c r="B4738" i="17"/>
  <c r="B4739" i="17"/>
  <c r="B4740" i="17"/>
  <c r="B4741" i="17"/>
  <c r="B4742" i="17"/>
  <c r="B4743" i="17"/>
  <c r="B4744" i="17"/>
  <c r="B4745" i="17"/>
  <c r="B4746" i="17"/>
  <c r="B4747" i="17"/>
  <c r="B4748" i="17"/>
  <c r="B4749" i="17"/>
  <c r="B4750" i="17"/>
  <c r="B4751" i="17"/>
  <c r="B4752" i="17"/>
  <c r="B4753" i="17"/>
  <c r="B4754" i="17"/>
  <c r="B4755" i="17"/>
  <c r="B4756" i="17"/>
  <c r="B4757" i="17"/>
  <c r="B4758" i="17"/>
  <c r="B4759" i="17"/>
  <c r="B4760" i="17"/>
  <c r="B4761" i="17"/>
  <c r="B4762" i="17"/>
  <c r="B4763" i="17"/>
  <c r="B4764" i="17"/>
  <c r="B4765" i="17"/>
  <c r="B4766" i="17"/>
  <c r="B4767" i="17"/>
  <c r="B4768" i="17"/>
  <c r="B4769" i="17"/>
  <c r="B4770" i="17"/>
  <c r="B4771" i="17"/>
  <c r="B4772" i="17"/>
  <c r="B4773" i="17"/>
  <c r="B4774" i="17"/>
  <c r="B4775" i="17"/>
  <c r="B4776" i="17"/>
  <c r="B4777" i="17"/>
  <c r="B4778" i="17"/>
  <c r="B4779" i="17"/>
  <c r="B4780" i="17"/>
  <c r="B4781" i="17"/>
  <c r="B4782" i="17"/>
  <c r="B4783" i="17"/>
  <c r="B4784" i="17"/>
  <c r="B4785" i="17"/>
  <c r="B4786" i="17"/>
  <c r="B4787" i="17"/>
  <c r="B4788" i="17"/>
  <c r="B4789" i="17"/>
  <c r="B4790" i="17"/>
  <c r="B4791" i="17"/>
  <c r="B4792" i="17"/>
  <c r="B4793" i="17"/>
  <c r="B4794" i="17"/>
  <c r="B4795" i="17"/>
  <c r="B4796" i="17"/>
  <c r="B4797" i="17"/>
  <c r="B4798" i="17"/>
  <c r="B4799" i="17"/>
  <c r="B4800" i="17"/>
  <c r="B4801" i="17"/>
  <c r="B4802" i="17"/>
  <c r="B4803" i="17"/>
  <c r="B4804" i="17"/>
  <c r="B4805" i="17"/>
  <c r="B4806" i="17"/>
  <c r="B4807" i="17"/>
  <c r="B4808" i="17"/>
  <c r="B4809" i="17"/>
  <c r="B4810" i="17"/>
  <c r="B4811" i="17"/>
  <c r="B4812" i="17"/>
  <c r="B4813" i="17"/>
  <c r="B4814" i="17"/>
  <c r="B4815" i="17"/>
  <c r="B4816" i="17"/>
  <c r="B4817" i="17"/>
  <c r="B4818" i="17"/>
  <c r="B4819" i="17"/>
  <c r="B4820" i="17"/>
  <c r="B4821" i="17"/>
  <c r="B4822" i="17"/>
  <c r="B4823" i="17"/>
  <c r="B4824" i="17"/>
  <c r="B4825" i="17"/>
  <c r="B4826" i="17"/>
  <c r="B4827" i="17"/>
  <c r="B4828" i="17"/>
  <c r="B4829" i="17"/>
  <c r="B4830" i="17"/>
  <c r="B4831" i="17"/>
  <c r="B4832" i="17"/>
  <c r="B4833" i="17"/>
  <c r="B4834" i="17"/>
  <c r="B4835" i="17"/>
  <c r="B4836" i="17"/>
  <c r="B4837" i="17"/>
  <c r="B4838" i="17"/>
  <c r="B4839" i="17"/>
  <c r="B4840" i="17"/>
  <c r="B4841" i="17"/>
  <c r="B4842" i="17"/>
  <c r="B4843" i="17"/>
  <c r="B4844" i="17"/>
  <c r="B4845" i="17"/>
  <c r="B4846" i="17"/>
  <c r="B4847" i="17"/>
  <c r="B4848" i="17"/>
  <c r="B4849" i="17"/>
  <c r="B4850" i="17"/>
  <c r="B4851" i="17"/>
  <c r="B4852" i="17"/>
  <c r="B4853" i="17"/>
  <c r="B4854" i="17"/>
  <c r="B4855" i="17"/>
  <c r="B4856" i="17"/>
  <c r="B4857" i="17"/>
  <c r="B4858" i="17"/>
  <c r="B4859" i="17"/>
  <c r="B4860" i="17"/>
  <c r="B4861" i="17"/>
  <c r="B4862" i="17"/>
  <c r="B4863" i="17"/>
  <c r="B4864" i="17"/>
  <c r="B4865" i="17"/>
  <c r="B4866" i="17"/>
  <c r="B4867" i="17"/>
  <c r="B4868" i="17"/>
  <c r="B4869" i="17"/>
  <c r="B4870" i="17"/>
  <c r="B4871" i="17"/>
  <c r="B4872" i="17"/>
  <c r="B4873" i="17"/>
  <c r="B4874" i="17"/>
  <c r="B4875" i="17"/>
  <c r="B4876" i="17"/>
  <c r="B4877" i="17"/>
  <c r="B4878" i="17"/>
  <c r="B4879" i="17"/>
  <c r="B4880" i="17"/>
  <c r="B4881" i="17"/>
  <c r="B4882" i="17"/>
  <c r="B4883" i="17"/>
  <c r="B4884" i="17"/>
  <c r="B4885" i="17"/>
  <c r="B4886" i="17"/>
  <c r="B4887" i="17"/>
  <c r="B4888" i="17"/>
  <c r="B4889" i="17"/>
  <c r="B4890" i="17"/>
  <c r="B4891" i="17"/>
  <c r="B4892" i="17"/>
  <c r="B4893" i="17"/>
  <c r="B4894" i="17"/>
  <c r="B4895" i="17"/>
  <c r="B4896" i="17"/>
  <c r="B4897" i="17"/>
  <c r="B4898" i="17"/>
  <c r="B4899" i="17"/>
  <c r="B4900" i="17"/>
  <c r="B4901" i="17"/>
  <c r="B4902" i="17"/>
  <c r="B4903" i="17"/>
  <c r="B4904" i="17"/>
  <c r="B4905" i="17"/>
  <c r="B4906" i="17"/>
  <c r="B4907" i="17"/>
  <c r="B4908" i="17"/>
  <c r="B4909" i="17"/>
  <c r="B4910" i="17"/>
  <c r="B4911" i="17"/>
  <c r="B4912" i="17"/>
  <c r="B4913" i="17"/>
  <c r="B4914" i="17"/>
  <c r="B4915" i="17"/>
  <c r="B4916" i="17"/>
  <c r="B4917" i="17"/>
  <c r="B4918" i="17"/>
  <c r="B4919" i="17"/>
  <c r="B4920" i="17"/>
  <c r="B4921" i="17"/>
  <c r="B4922" i="17"/>
  <c r="B4923" i="17"/>
  <c r="B4924" i="17"/>
  <c r="B4925" i="17"/>
  <c r="B4926" i="17"/>
  <c r="B4927" i="17"/>
  <c r="B4928" i="17"/>
  <c r="B4929" i="17"/>
  <c r="B4930" i="17"/>
  <c r="B4931" i="17"/>
  <c r="B4932" i="17"/>
  <c r="B4933" i="17"/>
  <c r="B4934" i="17"/>
  <c r="B4935" i="17"/>
  <c r="B4936" i="17"/>
  <c r="B4937" i="17"/>
  <c r="B4938" i="17"/>
  <c r="B4939" i="17"/>
  <c r="B4940" i="17"/>
  <c r="B4941" i="17"/>
  <c r="B4942" i="17"/>
  <c r="B4943" i="17"/>
  <c r="B4944" i="17"/>
  <c r="B4945" i="17"/>
  <c r="B4946" i="17"/>
  <c r="B4947" i="17"/>
  <c r="B4948" i="17"/>
  <c r="B4949" i="17"/>
  <c r="B4950" i="17"/>
  <c r="B4951" i="17"/>
  <c r="B4952" i="17"/>
  <c r="B4953" i="17"/>
  <c r="B4954" i="17"/>
  <c r="B4955" i="17"/>
  <c r="B4956" i="17"/>
  <c r="B4957" i="17"/>
  <c r="B4958" i="17"/>
  <c r="B4959" i="17"/>
  <c r="B4960" i="17"/>
  <c r="B4961" i="17"/>
  <c r="B4962" i="17"/>
  <c r="B4963" i="17"/>
  <c r="B4964" i="17"/>
  <c r="B4965" i="17"/>
  <c r="B4966" i="17"/>
  <c r="B4967" i="17"/>
  <c r="B4968" i="17"/>
  <c r="B4969" i="17"/>
  <c r="B4970" i="17"/>
  <c r="B4971" i="17"/>
  <c r="B4972" i="17"/>
  <c r="B4973" i="17"/>
  <c r="B4974" i="17"/>
  <c r="B4975" i="17"/>
  <c r="B4976" i="17"/>
  <c r="B4977" i="17"/>
  <c r="B4978" i="17"/>
  <c r="B4979" i="17"/>
  <c r="B4980" i="17"/>
  <c r="B4981" i="17"/>
  <c r="B4982" i="17"/>
  <c r="B4983" i="17"/>
  <c r="B4984" i="17"/>
  <c r="B4985" i="17"/>
  <c r="B4986" i="17"/>
  <c r="B4987" i="17"/>
  <c r="B4988" i="17"/>
  <c r="B4989" i="17"/>
  <c r="B4990" i="17"/>
  <c r="B4991" i="17"/>
  <c r="B4992" i="17"/>
  <c r="B4993" i="17"/>
  <c r="B4994" i="17"/>
  <c r="B4995" i="17"/>
  <c r="B4996" i="17"/>
  <c r="B4997" i="17"/>
  <c r="B4998" i="17"/>
  <c r="B4999" i="17"/>
  <c r="B5000" i="17"/>
  <c r="B5001" i="17"/>
  <c r="B5002" i="17"/>
  <c r="B5003" i="17"/>
  <c r="B5004" i="17"/>
  <c r="B5005" i="17"/>
  <c r="B5006" i="17"/>
  <c r="B5007" i="17"/>
  <c r="B5008" i="17"/>
  <c r="B5009" i="17"/>
  <c r="B5010" i="17"/>
  <c r="B5011" i="17"/>
  <c r="B5012" i="17"/>
  <c r="B5013" i="17"/>
  <c r="B5014" i="17"/>
  <c r="B5015" i="17"/>
  <c r="B5016" i="17"/>
  <c r="B5017" i="17"/>
  <c r="B5018" i="17"/>
  <c r="B5019" i="17"/>
  <c r="B5020" i="17"/>
  <c r="B5021" i="17"/>
  <c r="B5022" i="17"/>
  <c r="B5023" i="17"/>
  <c r="B5024" i="17"/>
  <c r="B5025" i="17"/>
  <c r="B5026" i="17"/>
  <c r="B5027" i="17"/>
  <c r="B5028" i="17"/>
  <c r="B5029" i="17"/>
  <c r="B5030" i="17"/>
  <c r="B5031" i="17"/>
  <c r="B5032" i="17"/>
  <c r="B5033" i="17"/>
  <c r="B5034" i="17"/>
  <c r="B5035" i="17"/>
  <c r="B5036" i="17"/>
  <c r="B5037" i="17"/>
  <c r="B5038" i="17"/>
  <c r="B5039" i="17"/>
  <c r="B5040" i="17"/>
  <c r="B5041" i="17"/>
  <c r="B5042" i="17"/>
  <c r="B5043" i="17"/>
  <c r="B5044" i="17"/>
  <c r="B5045" i="17"/>
  <c r="B5046" i="17"/>
  <c r="B5047" i="17"/>
  <c r="B5048" i="17"/>
  <c r="B5049" i="17"/>
  <c r="B5050" i="17"/>
  <c r="B5051" i="17"/>
  <c r="B5052" i="17"/>
  <c r="B5053" i="17"/>
  <c r="B5054" i="17"/>
  <c r="B5055" i="17"/>
  <c r="B5056" i="17"/>
  <c r="B5057" i="17"/>
  <c r="B5058" i="17"/>
  <c r="B5059" i="17"/>
  <c r="B5060" i="17"/>
  <c r="B5061" i="17"/>
  <c r="B5062" i="17"/>
  <c r="B5063" i="17"/>
  <c r="B5064" i="17"/>
  <c r="B5065" i="17"/>
  <c r="B5066" i="17"/>
  <c r="B5067" i="17"/>
  <c r="B5068" i="17"/>
  <c r="B5069" i="17"/>
  <c r="B5070" i="17"/>
  <c r="B5071" i="17"/>
  <c r="B5072" i="17"/>
  <c r="B5073" i="17"/>
  <c r="B5074" i="17"/>
  <c r="B5075" i="17"/>
  <c r="B5076" i="17"/>
  <c r="B5077" i="17"/>
  <c r="B5078" i="17"/>
  <c r="B5079" i="17"/>
  <c r="B5080" i="17"/>
  <c r="B5081" i="17"/>
  <c r="B5082" i="17"/>
  <c r="B5083" i="17"/>
  <c r="B5084" i="17"/>
  <c r="B5085" i="17"/>
  <c r="B5086" i="17"/>
  <c r="B5087" i="17"/>
  <c r="B5088" i="17"/>
  <c r="B5089" i="17"/>
  <c r="B5090" i="17"/>
  <c r="B5091" i="17"/>
  <c r="B5092" i="17"/>
  <c r="B5093" i="17"/>
  <c r="B5094" i="17"/>
  <c r="B5095" i="17"/>
  <c r="B5096" i="17"/>
  <c r="B5097" i="17"/>
  <c r="B5098" i="17"/>
  <c r="B5099" i="17"/>
  <c r="B5100" i="17"/>
  <c r="B5101" i="17"/>
  <c r="B5102" i="17"/>
  <c r="B5103" i="17"/>
  <c r="B5104" i="17"/>
  <c r="B5105" i="17"/>
  <c r="B5106" i="17"/>
  <c r="B5107" i="17"/>
  <c r="B5108" i="17"/>
  <c r="B5109" i="17"/>
  <c r="B5110" i="17"/>
  <c r="B5111" i="17"/>
  <c r="B5112" i="17"/>
  <c r="B5113" i="17"/>
  <c r="B5114" i="17"/>
  <c r="B5115" i="17"/>
  <c r="B5116" i="17"/>
  <c r="B5117" i="17"/>
  <c r="B5118" i="17"/>
  <c r="B5119" i="17"/>
  <c r="B5120" i="17"/>
  <c r="B5121" i="17"/>
  <c r="B5122" i="17"/>
  <c r="B5123" i="17"/>
  <c r="B5124" i="17"/>
  <c r="B5125" i="17"/>
  <c r="B5126" i="17"/>
  <c r="B5127" i="17"/>
  <c r="B5128" i="17"/>
  <c r="B5129" i="17"/>
  <c r="B5130" i="17"/>
  <c r="B5131" i="17"/>
  <c r="B5132" i="17"/>
  <c r="B5133" i="17"/>
  <c r="B5134" i="17"/>
  <c r="B5135" i="17"/>
  <c r="B5136" i="17"/>
  <c r="B5137" i="17"/>
  <c r="B5138" i="17"/>
  <c r="B5139" i="17"/>
  <c r="B5140" i="17"/>
  <c r="B5141" i="17"/>
  <c r="B5142" i="17"/>
  <c r="B5143" i="17"/>
  <c r="B5144" i="17"/>
  <c r="B5145" i="17"/>
  <c r="B5146" i="17"/>
  <c r="B5147" i="17"/>
  <c r="B5148" i="17"/>
  <c r="B5149" i="17"/>
  <c r="B5150" i="17"/>
  <c r="B5151" i="17"/>
  <c r="B5152" i="17"/>
  <c r="B5153" i="17"/>
  <c r="B5154" i="17"/>
  <c r="B5155" i="17"/>
  <c r="B5156" i="17"/>
  <c r="B5157" i="17"/>
  <c r="B5158" i="17"/>
  <c r="B5159" i="17"/>
  <c r="B5160" i="17"/>
  <c r="B5161" i="17"/>
  <c r="B5162" i="17"/>
  <c r="B5163" i="17"/>
  <c r="B5164" i="17"/>
  <c r="B5165" i="17"/>
  <c r="B5166" i="17"/>
  <c r="B5167" i="17"/>
  <c r="B5168" i="17"/>
  <c r="B5169" i="17"/>
  <c r="B5170" i="17"/>
  <c r="B5171" i="17"/>
  <c r="B5172" i="17"/>
  <c r="B5173" i="17"/>
  <c r="B5174" i="17"/>
  <c r="B5175" i="17"/>
  <c r="B5176" i="17"/>
  <c r="B5177" i="17"/>
  <c r="B5178" i="17"/>
  <c r="B5179" i="17"/>
  <c r="B5180" i="17"/>
  <c r="B5181" i="17"/>
  <c r="B5182" i="17"/>
  <c r="B5183" i="17"/>
  <c r="B5184" i="17"/>
  <c r="B5185" i="17"/>
  <c r="B5186" i="17"/>
  <c r="B5187" i="17"/>
  <c r="B5188" i="17"/>
  <c r="B5189" i="17"/>
  <c r="B5190" i="17"/>
  <c r="B5191" i="17"/>
  <c r="B5192" i="17"/>
  <c r="B5193" i="17"/>
  <c r="B5194" i="17"/>
  <c r="B5195" i="17"/>
  <c r="B5196" i="17"/>
  <c r="B5197" i="17"/>
  <c r="B5198" i="17"/>
  <c r="B5199" i="17"/>
  <c r="B5200" i="17"/>
  <c r="B5201" i="17"/>
  <c r="B5202" i="17"/>
  <c r="B5203" i="17"/>
  <c r="B5204" i="17"/>
  <c r="B5205" i="17"/>
  <c r="B5206" i="17"/>
  <c r="B5207" i="17"/>
  <c r="B5208" i="17"/>
  <c r="B5209" i="17"/>
  <c r="B5210" i="17"/>
  <c r="B5211" i="17"/>
  <c r="B5212" i="17"/>
  <c r="B5213" i="17"/>
  <c r="B5214" i="17"/>
  <c r="B5215" i="17"/>
  <c r="B5216" i="17"/>
  <c r="B5217" i="17"/>
  <c r="B5218" i="17"/>
  <c r="B5219" i="17"/>
  <c r="B5220" i="17"/>
  <c r="B5221" i="17"/>
  <c r="B5222" i="17"/>
  <c r="B5223" i="17"/>
  <c r="B5224" i="17"/>
  <c r="B5225" i="17"/>
  <c r="B5226" i="17"/>
  <c r="B5227" i="17"/>
  <c r="B5228" i="17"/>
  <c r="B5229" i="17"/>
  <c r="B5230" i="17"/>
  <c r="B5231" i="17"/>
  <c r="B5232" i="17"/>
  <c r="B5233" i="17"/>
  <c r="B5234" i="17"/>
  <c r="B5235" i="17"/>
  <c r="B5236" i="17"/>
  <c r="B5237" i="17"/>
  <c r="B5238" i="17"/>
  <c r="B5239" i="17"/>
  <c r="B5240" i="17"/>
  <c r="B5241" i="17"/>
  <c r="B5242" i="17"/>
  <c r="B5243" i="17"/>
  <c r="B5244" i="17"/>
  <c r="B5245" i="17"/>
  <c r="B5246" i="17"/>
  <c r="B5247" i="17"/>
  <c r="B5248" i="17"/>
  <c r="B5249" i="17"/>
  <c r="B5250" i="17"/>
  <c r="B5251" i="17"/>
  <c r="B5252" i="17"/>
  <c r="B5253" i="17"/>
  <c r="B5254" i="17"/>
  <c r="B5255" i="17"/>
  <c r="B5256" i="17"/>
  <c r="B5257" i="17"/>
  <c r="B5258" i="17"/>
  <c r="B5259" i="17"/>
  <c r="B5260" i="17"/>
  <c r="B5261" i="17"/>
  <c r="B5262" i="17"/>
  <c r="B5263" i="17"/>
  <c r="B5264" i="17"/>
  <c r="B5265" i="17"/>
  <c r="B5266" i="17"/>
  <c r="B5267" i="17"/>
  <c r="B5268" i="17"/>
  <c r="B5269" i="17"/>
  <c r="B5270" i="17"/>
  <c r="B5271" i="17"/>
  <c r="B5272" i="17"/>
  <c r="B5273" i="17"/>
  <c r="B5274" i="17"/>
  <c r="B5275" i="17"/>
  <c r="B5276" i="17"/>
  <c r="B5277" i="17"/>
  <c r="B5278" i="17"/>
  <c r="B5279" i="17"/>
  <c r="B5280" i="17"/>
  <c r="B5281" i="17"/>
  <c r="B5282" i="17"/>
  <c r="B5283" i="17"/>
  <c r="B5284" i="17"/>
  <c r="B5285" i="17"/>
  <c r="B5286" i="17"/>
  <c r="B5287" i="17"/>
  <c r="B5288" i="17"/>
  <c r="B5289" i="17"/>
  <c r="B5290" i="17"/>
  <c r="B5291" i="17"/>
  <c r="B5292" i="17"/>
  <c r="B5293" i="17"/>
  <c r="B5294" i="17"/>
  <c r="B5295" i="17"/>
  <c r="B5296" i="17"/>
  <c r="B5297" i="17"/>
  <c r="B5298" i="17"/>
  <c r="B5299" i="17"/>
  <c r="B5300" i="17"/>
  <c r="B5301" i="17"/>
  <c r="B5302" i="17"/>
  <c r="B5303" i="17"/>
  <c r="B5304" i="17"/>
  <c r="B5305" i="17"/>
  <c r="B5306" i="17"/>
  <c r="B5307" i="17"/>
  <c r="B5308" i="17"/>
  <c r="B5309" i="17"/>
  <c r="B5310" i="17"/>
  <c r="B5311" i="17"/>
  <c r="B5312" i="17"/>
  <c r="B5313" i="17"/>
  <c r="B5314" i="17"/>
  <c r="B5315" i="17"/>
  <c r="B5316" i="17"/>
  <c r="B5317" i="17"/>
  <c r="B5318" i="17"/>
  <c r="B5319" i="17"/>
  <c r="B5320" i="17"/>
  <c r="B5321" i="17"/>
  <c r="B5322" i="17"/>
  <c r="B5323" i="17"/>
  <c r="B5324" i="17"/>
  <c r="B5325" i="17"/>
  <c r="B5326" i="17"/>
  <c r="B5327" i="17"/>
  <c r="B5328" i="17"/>
  <c r="B5329" i="17"/>
  <c r="B5330" i="17"/>
  <c r="B5331" i="17"/>
  <c r="B5332" i="17"/>
  <c r="B5333" i="17"/>
  <c r="B5334" i="17"/>
  <c r="B5335" i="17"/>
  <c r="B5336" i="17"/>
  <c r="B5337" i="17"/>
  <c r="B5338" i="17"/>
  <c r="B5339" i="17"/>
  <c r="B5340" i="17"/>
  <c r="B5341" i="17"/>
  <c r="B5342" i="17"/>
  <c r="B5343" i="17"/>
  <c r="B5344" i="17"/>
  <c r="B5345" i="17"/>
  <c r="B5346" i="17"/>
  <c r="B5347" i="17"/>
  <c r="B5348" i="17"/>
  <c r="B5349" i="17"/>
  <c r="B5350" i="17"/>
  <c r="B5351" i="17"/>
  <c r="B5352" i="17"/>
  <c r="B5353" i="17"/>
  <c r="B5354" i="17"/>
  <c r="B5355" i="17"/>
  <c r="B5356" i="17"/>
  <c r="B5357" i="17"/>
  <c r="B5358" i="17"/>
  <c r="B5359" i="17"/>
  <c r="B5360" i="17"/>
  <c r="B5361" i="17"/>
  <c r="B5362" i="17"/>
  <c r="B5363" i="17"/>
  <c r="B5364" i="17"/>
  <c r="B5365" i="17"/>
  <c r="B5366" i="17"/>
  <c r="B5367" i="17"/>
  <c r="B5368" i="17"/>
  <c r="B5369" i="17"/>
  <c r="B5370" i="17"/>
  <c r="B5371" i="17"/>
  <c r="B5372" i="17"/>
  <c r="B5373" i="17"/>
  <c r="B5374" i="17"/>
  <c r="B5375" i="17"/>
  <c r="B5376" i="17"/>
  <c r="B5377" i="17"/>
  <c r="B5378" i="17"/>
  <c r="B5379" i="17"/>
  <c r="B5380" i="17"/>
  <c r="B5381" i="17"/>
  <c r="B5382" i="17"/>
  <c r="B5383" i="17"/>
  <c r="B5384" i="17"/>
  <c r="B5385" i="17"/>
  <c r="B5386" i="17"/>
  <c r="B5387" i="17"/>
  <c r="B5388" i="17"/>
  <c r="B5389" i="17"/>
  <c r="B5390" i="17"/>
  <c r="B5391" i="17"/>
  <c r="B5392" i="17"/>
  <c r="B5393" i="17"/>
  <c r="B5394" i="17"/>
  <c r="B5395" i="17"/>
  <c r="B5396" i="17"/>
  <c r="B5397" i="17"/>
  <c r="B5398" i="17"/>
  <c r="B5399" i="17"/>
  <c r="B5400" i="17"/>
  <c r="B5401" i="17"/>
  <c r="B5402" i="17"/>
  <c r="B5403" i="17"/>
  <c r="B5404" i="17"/>
  <c r="B5405" i="17"/>
  <c r="B5406" i="17"/>
  <c r="B5407" i="17"/>
  <c r="B5408" i="17"/>
  <c r="B5409" i="17"/>
  <c r="B5410" i="17"/>
  <c r="B5411" i="17"/>
  <c r="B5412" i="17"/>
  <c r="B5413" i="17"/>
  <c r="B5414" i="17"/>
  <c r="B5415" i="17"/>
  <c r="B5416" i="17"/>
  <c r="B5417" i="17"/>
  <c r="B5418" i="17"/>
  <c r="B5419" i="17"/>
  <c r="B5420" i="17"/>
  <c r="B5421" i="17"/>
  <c r="B5422" i="17"/>
  <c r="B5423" i="17"/>
  <c r="B5424" i="17"/>
  <c r="B5425" i="17"/>
  <c r="B5426" i="17"/>
  <c r="B5427" i="17"/>
  <c r="B5428" i="17"/>
  <c r="B5429" i="17"/>
  <c r="B5430" i="17"/>
  <c r="B5431" i="17"/>
  <c r="B5432" i="17"/>
  <c r="B5433" i="17"/>
  <c r="B5434" i="17"/>
  <c r="B5435" i="17"/>
  <c r="B5436" i="17"/>
  <c r="B5437" i="17"/>
  <c r="B5438" i="17"/>
  <c r="B5439" i="17"/>
  <c r="B5440" i="17"/>
  <c r="B5441" i="17"/>
  <c r="B5442" i="17"/>
  <c r="B5443" i="17"/>
  <c r="B5444" i="17"/>
  <c r="B5445" i="17"/>
  <c r="B5446" i="17"/>
  <c r="B5447" i="17"/>
  <c r="B5448" i="17"/>
  <c r="B5449" i="17"/>
  <c r="B5450" i="17"/>
  <c r="B5451" i="17"/>
  <c r="B5452" i="17"/>
  <c r="B5453" i="17"/>
  <c r="B5454" i="17"/>
  <c r="B5455" i="17"/>
  <c r="B5456" i="17"/>
  <c r="B5457" i="17"/>
  <c r="B5458" i="17"/>
  <c r="B5459" i="17"/>
  <c r="B5460" i="17"/>
  <c r="B5461" i="17"/>
  <c r="B5462" i="17"/>
  <c r="B5463" i="17"/>
  <c r="B5464" i="17"/>
  <c r="B5465" i="17"/>
  <c r="B5466" i="17"/>
  <c r="B5467" i="17"/>
  <c r="B5468" i="17"/>
  <c r="B5469" i="17"/>
  <c r="B5470" i="17"/>
  <c r="B5471" i="17"/>
  <c r="B5472" i="17"/>
  <c r="B5473" i="17"/>
  <c r="B5474" i="17"/>
  <c r="B5475" i="17"/>
  <c r="B5476" i="17"/>
  <c r="B5477" i="17"/>
  <c r="B5478" i="17"/>
  <c r="B5479" i="17"/>
  <c r="B5480" i="17"/>
  <c r="B5481" i="17"/>
  <c r="B5482" i="17"/>
  <c r="B5483" i="17"/>
  <c r="B5484" i="17"/>
  <c r="B5485" i="17"/>
  <c r="B5486" i="17"/>
  <c r="B5487" i="17"/>
  <c r="B5488" i="17"/>
  <c r="B5489" i="17"/>
  <c r="B5490" i="17"/>
  <c r="B5491" i="17"/>
  <c r="B5492" i="17"/>
  <c r="B5493" i="17"/>
  <c r="B5494" i="17"/>
  <c r="B5495" i="17"/>
  <c r="B5496" i="17"/>
  <c r="B5497" i="17"/>
  <c r="B5498" i="17"/>
  <c r="B5499" i="17"/>
  <c r="B5500" i="17"/>
  <c r="B5501" i="17"/>
  <c r="B5502" i="17"/>
  <c r="B5503" i="17"/>
  <c r="B5504" i="17"/>
  <c r="B5505" i="17"/>
  <c r="B5506" i="17"/>
  <c r="B5507" i="17"/>
  <c r="B5508" i="17"/>
  <c r="B5509" i="17"/>
  <c r="B5510" i="17"/>
  <c r="B5511" i="17"/>
  <c r="B5512" i="17"/>
  <c r="B5513" i="17"/>
  <c r="B5514" i="17"/>
  <c r="B5515" i="17"/>
  <c r="B5516" i="17"/>
  <c r="B5517" i="17"/>
  <c r="B5518" i="17"/>
  <c r="B5519" i="17"/>
  <c r="B5520" i="17"/>
  <c r="B5521" i="17"/>
  <c r="B5522" i="17"/>
  <c r="B5523" i="17"/>
  <c r="B5524" i="17"/>
  <c r="B5525" i="17"/>
  <c r="B5526" i="17"/>
  <c r="B5527" i="17"/>
  <c r="B5528" i="17"/>
  <c r="B5529" i="17"/>
  <c r="B5530" i="17"/>
  <c r="B5531" i="17"/>
  <c r="B5532" i="17"/>
  <c r="B5533" i="17"/>
  <c r="B5534" i="17"/>
  <c r="B5535" i="17"/>
  <c r="B5536" i="17"/>
  <c r="B5537" i="17"/>
  <c r="B5538" i="17"/>
  <c r="B5539" i="17"/>
  <c r="B5540" i="17"/>
  <c r="B5541" i="17"/>
  <c r="B5542" i="17"/>
  <c r="B5543" i="17"/>
  <c r="B5544" i="17"/>
  <c r="B5545" i="17"/>
  <c r="B5546" i="17"/>
  <c r="B5547" i="17"/>
  <c r="B5548" i="17"/>
  <c r="B5549" i="17"/>
  <c r="B5550" i="17"/>
  <c r="B5551" i="17"/>
  <c r="B5552" i="17"/>
  <c r="B5553" i="17"/>
  <c r="B5554" i="17"/>
  <c r="B5555" i="17"/>
  <c r="B114" i="17"/>
  <c r="B115" i="17"/>
  <c r="B116" i="17"/>
  <c r="B117" i="17"/>
  <c r="B118" i="17"/>
  <c r="B119" i="17"/>
  <c r="B120" i="17"/>
  <c r="B112" i="17"/>
  <c r="B113" i="17"/>
  <c r="C5" i="15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Z21" i="15"/>
  <c r="AA21" i="15" s="1"/>
  <c r="AB21" i="15" l="1"/>
  <c r="AC21" i="15" s="1"/>
  <c r="Z20" i="15"/>
  <c r="AA20" i="15" s="1"/>
  <c r="C7" i="15"/>
  <c r="C6" i="15"/>
  <c r="F6" i="15" s="1"/>
  <c r="E196" i="15"/>
  <c r="H195" i="15"/>
  <c r="F192" i="15"/>
  <c r="K188" i="15"/>
  <c r="C198" i="15" s="1"/>
  <c r="F174" i="15"/>
  <c r="I173" i="15" s="1"/>
  <c r="D143" i="15"/>
  <c r="W139" i="15"/>
  <c r="T143" i="15" s="1"/>
  <c r="G132" i="15"/>
  <c r="S139" i="15" s="1"/>
  <c r="Q143" i="15" s="1"/>
  <c r="Q88" i="15"/>
  <c r="L85" i="15"/>
  <c r="D75" i="15"/>
  <c r="AD58" i="15"/>
  <c r="AC58" i="15"/>
  <c r="AD57" i="15"/>
  <c r="AC57" i="15"/>
  <c r="AD56" i="15"/>
  <c r="AC56" i="15"/>
  <c r="AD55" i="15"/>
  <c r="AD54" i="15"/>
  <c r="AD53" i="15"/>
  <c r="AJ52" i="15"/>
  <c r="AH52" i="15"/>
  <c r="AD52" i="15"/>
  <c r="AD51" i="15"/>
  <c r="AD50" i="15"/>
  <c r="C50" i="15"/>
  <c r="AD49" i="15"/>
  <c r="AD48" i="15"/>
  <c r="AD47" i="15"/>
  <c r="AD46" i="15"/>
  <c r="AD45" i="15"/>
  <c r="AD44" i="15"/>
  <c r="AD43" i="15"/>
  <c r="AD42" i="15"/>
  <c r="AD41" i="15"/>
  <c r="AD40" i="15"/>
  <c r="AD39" i="15"/>
  <c r="AD38" i="15"/>
  <c r="F38" i="15"/>
  <c r="AD37" i="15"/>
  <c r="AD36" i="15"/>
  <c r="AD35" i="15"/>
  <c r="AD34" i="15"/>
  <c r="AD33" i="15"/>
  <c r="AD32" i="15"/>
  <c r="AD31" i="15"/>
  <c r="S31" i="15"/>
  <c r="S32" i="15" s="1"/>
  <c r="AC32" i="15" s="1"/>
  <c r="AF30" i="15"/>
  <c r="AH30" i="15" s="1"/>
  <c r="AD30" i="15"/>
  <c r="AC30" i="15"/>
  <c r="AJ29" i="15"/>
  <c r="AH29" i="15"/>
  <c r="M22" i="15"/>
  <c r="M21" i="15"/>
  <c r="M20" i="15"/>
  <c r="L20" i="15"/>
  <c r="M19" i="15"/>
  <c r="F5" i="15"/>
  <c r="F88" i="15"/>
  <c r="M64" i="15" l="1"/>
  <c r="L64" i="15"/>
  <c r="K25" i="15"/>
  <c r="R140" i="15"/>
  <c r="AC31" i="15"/>
  <c r="Q21" i="15"/>
  <c r="AJ30" i="15"/>
  <c r="AF31" i="15"/>
  <c r="AJ31" i="15" s="1"/>
  <c r="AB20" i="15"/>
  <c r="AC20" i="15" s="1"/>
  <c r="I81" i="15" s="1"/>
  <c r="E88" i="15"/>
  <c r="I88" i="15"/>
  <c r="P22" i="15"/>
  <c r="D56" i="15"/>
  <c r="K56" i="15" s="1"/>
  <c r="F56" i="15" s="1"/>
  <c r="Q20" i="15"/>
  <c r="I143" i="15"/>
  <c r="P21" i="15"/>
  <c r="G25" i="15"/>
  <c r="C30" i="15" s="1"/>
  <c r="G188" i="15"/>
  <c r="N189" i="15" s="1"/>
  <c r="P20" i="15"/>
  <c r="Q19" i="15"/>
  <c r="S19" i="15" s="1"/>
  <c r="L23" i="15"/>
  <c r="O23" i="15" s="1"/>
  <c r="I40" i="15"/>
  <c r="L21" i="15"/>
  <c r="S33" i="15"/>
  <c r="P19" i="15"/>
  <c r="E143" i="15"/>
  <c r="D55" i="15"/>
  <c r="F167" i="15" s="1"/>
  <c r="I196" i="15"/>
  <c r="U143" i="15"/>
  <c r="R143" i="15"/>
  <c r="M72" i="15" l="1"/>
  <c r="L72" i="15"/>
  <c r="M70" i="15"/>
  <c r="L70" i="15"/>
  <c r="M69" i="15"/>
  <c r="L69" i="15"/>
  <c r="M68" i="15"/>
  <c r="L68" i="15"/>
  <c r="M71" i="15"/>
  <c r="L71" i="15"/>
  <c r="L67" i="15"/>
  <c r="M67" i="15"/>
  <c r="M66" i="15"/>
  <c r="L66" i="15"/>
  <c r="M65" i="15"/>
  <c r="L65" i="15"/>
  <c r="F143" i="15"/>
  <c r="AF32" i="15"/>
  <c r="AF33" i="15" s="1"/>
  <c r="AH33" i="15" s="1"/>
  <c r="AH31" i="15"/>
  <c r="I183" i="15"/>
  <c r="I185" i="15" s="1"/>
  <c r="J186" i="15" s="1"/>
  <c r="I178" i="15"/>
  <c r="I180" i="15" s="1"/>
  <c r="J181" i="15" s="1"/>
  <c r="K170" i="15"/>
  <c r="P23" i="15"/>
  <c r="R21" i="15" s="1"/>
  <c r="O19" i="15"/>
  <c r="R20" i="15"/>
  <c r="S21" i="15"/>
  <c r="O20" i="15"/>
  <c r="J37" i="15"/>
  <c r="T22" i="15"/>
  <c r="T19" i="15"/>
  <c r="T23" i="15"/>
  <c r="T21" i="15"/>
  <c r="S20" i="15"/>
  <c r="T20" i="15" s="1"/>
  <c r="AC33" i="15"/>
  <c r="S34" i="15"/>
  <c r="N43" i="15"/>
  <c r="M43" i="15"/>
  <c r="L43" i="15"/>
  <c r="G197" i="15"/>
  <c r="E197" i="15"/>
  <c r="C197" i="15"/>
  <c r="O21" i="15"/>
  <c r="L22" i="15"/>
  <c r="Q22" i="15"/>
  <c r="D58" i="15"/>
  <c r="AH32" i="15" l="1"/>
  <c r="AJ32" i="15"/>
  <c r="AJ33" i="15"/>
  <c r="AF34" i="15"/>
  <c r="R19" i="15"/>
  <c r="U19" i="15" s="1"/>
  <c r="U20" i="15" s="1"/>
  <c r="U21" i="15" s="1"/>
  <c r="G88" i="15"/>
  <c r="S22" i="15"/>
  <c r="R22" i="15"/>
  <c r="K88" i="15"/>
  <c r="K143" i="15"/>
  <c r="O22" i="15"/>
  <c r="Q23" i="15"/>
  <c r="AC34" i="15"/>
  <c r="S35" i="15"/>
  <c r="F216" i="15"/>
  <c r="F129" i="15"/>
  <c r="B171" i="15"/>
  <c r="E170" i="15"/>
  <c r="AH34" i="15" l="1"/>
  <c r="AF35" i="15"/>
  <c r="AJ34" i="15"/>
  <c r="F130" i="15"/>
  <c r="H143" i="15" s="1"/>
  <c r="G143" i="15"/>
  <c r="I82" i="15"/>
  <c r="H88" i="15" s="1"/>
  <c r="G191" i="15"/>
  <c r="G34" i="15"/>
  <c r="U22" i="15"/>
  <c r="AC35" i="15"/>
  <c r="S36" i="15"/>
  <c r="S23" i="15"/>
  <c r="R23" i="15"/>
  <c r="L143" i="15"/>
  <c r="M143" i="15" s="1"/>
  <c r="C143" i="15" s="1"/>
  <c r="B144" i="15" s="1"/>
  <c r="N143" i="15"/>
  <c r="N88" i="15"/>
  <c r="L88" i="15"/>
  <c r="M88" i="15" s="1"/>
  <c r="C88" i="15" s="1"/>
  <c r="AJ35" i="15" l="1"/>
  <c r="AH35" i="15"/>
  <c r="AF36" i="15"/>
  <c r="P144" i="15"/>
  <c r="B89" i="15"/>
  <c r="G198" i="15" a="1"/>
  <c r="G198" i="15" s="1"/>
  <c r="D36" i="15" a="1"/>
  <c r="D36" i="15" s="1"/>
  <c r="K14" i="15" s="1"/>
  <c r="U23" i="15"/>
  <c r="Q144" i="15"/>
  <c r="D144" i="15"/>
  <c r="T144" i="15"/>
  <c r="P89" i="15"/>
  <c r="J143" i="15"/>
  <c r="O143" i="15"/>
  <c r="G144" i="15" s="1"/>
  <c r="S37" i="15"/>
  <c r="AC36" i="15"/>
  <c r="R144" i="15"/>
  <c r="U144" i="15"/>
  <c r="AJ36" i="15" l="1"/>
  <c r="AH36" i="15"/>
  <c r="AF37" i="15"/>
  <c r="J88" i="15"/>
  <c r="O88" i="15"/>
  <c r="G89" i="15" s="1"/>
  <c r="Q89" i="15"/>
  <c r="D89" i="15"/>
  <c r="I89" i="15" s="1"/>
  <c r="F213" i="15"/>
  <c r="E208" i="15" s="1"/>
  <c r="E14" i="15"/>
  <c r="F211" i="15"/>
  <c r="E209" i="15" s="1"/>
  <c r="F144" i="15"/>
  <c r="H144" i="15" s="1"/>
  <c r="P145" i="15" s="1"/>
  <c r="S38" i="15"/>
  <c r="AC37" i="15"/>
  <c r="I144" i="15"/>
  <c r="E144" i="15"/>
  <c r="K144" i="15"/>
  <c r="F89" i="15"/>
  <c r="AH37" i="15" l="1"/>
  <c r="AF38" i="15"/>
  <c r="AJ37" i="15"/>
  <c r="E89" i="15"/>
  <c r="K89" i="15"/>
  <c r="L89" i="15" s="1"/>
  <c r="M89" i="15" s="1"/>
  <c r="C89" i="15" s="1"/>
  <c r="B90" i="15" s="1"/>
  <c r="H89" i="15"/>
  <c r="P90" i="15" s="1"/>
  <c r="F217" i="15"/>
  <c r="K217" i="15" s="1"/>
  <c r="G217" i="15" s="1"/>
  <c r="N144" i="15"/>
  <c r="L144" i="15"/>
  <c r="M144" i="15" s="1"/>
  <c r="C144" i="15" s="1"/>
  <c r="B145" i="15" s="1"/>
  <c r="AC38" i="15"/>
  <c r="S39" i="15"/>
  <c r="AH38" i="15" l="1"/>
  <c r="AF39" i="15"/>
  <c r="AJ38" i="15"/>
  <c r="N89" i="15"/>
  <c r="O89" i="15" s="1"/>
  <c r="G90" i="15" s="1"/>
  <c r="I217" i="15"/>
  <c r="J144" i="15"/>
  <c r="J89" i="15"/>
  <c r="D145" i="15"/>
  <c r="T145" i="15"/>
  <c r="Q145" i="15"/>
  <c r="AC39" i="15"/>
  <c r="S40" i="15"/>
  <c r="O144" i="15"/>
  <c r="G145" i="15" s="1"/>
  <c r="D90" i="15"/>
  <c r="Q90" i="15"/>
  <c r="U145" i="15"/>
  <c r="R145" i="15"/>
  <c r="F90" i="15"/>
  <c r="AF40" i="15" l="1"/>
  <c r="AJ39" i="15"/>
  <c r="AH39" i="15"/>
  <c r="F145" i="15"/>
  <c r="H145" i="15" s="1"/>
  <c r="P146" i="15" s="1"/>
  <c r="H149" i="15" s="1"/>
  <c r="H90" i="15"/>
  <c r="P91" i="15" s="1"/>
  <c r="E90" i="15"/>
  <c r="I90" i="15"/>
  <c r="K90" i="15"/>
  <c r="S41" i="15"/>
  <c r="AC40" i="15"/>
  <c r="E145" i="15"/>
  <c r="K145" i="15"/>
  <c r="I145" i="15"/>
  <c r="AF41" i="15" l="1"/>
  <c r="AH40" i="15"/>
  <c r="AJ40" i="15"/>
  <c r="AC41" i="15"/>
  <c r="S42" i="15"/>
  <c r="N145" i="15"/>
  <c r="L145" i="15"/>
  <c r="M145" i="15" s="1"/>
  <c r="C145" i="15" s="1"/>
  <c r="B146" i="15" s="1"/>
  <c r="N90" i="15"/>
  <c r="L90" i="15"/>
  <c r="M90" i="15" s="1"/>
  <c r="C90" i="15" s="1"/>
  <c r="B91" i="15" s="1"/>
  <c r="AF42" i="15" l="1"/>
  <c r="AH41" i="15"/>
  <c r="AJ41" i="15"/>
  <c r="J90" i="15"/>
  <c r="D91" i="15"/>
  <c r="Q91" i="15"/>
  <c r="O90" i="15"/>
  <c r="G91" i="15" s="1"/>
  <c r="D146" i="15"/>
  <c r="T146" i="15"/>
  <c r="Q146" i="15"/>
  <c r="O145" i="15"/>
  <c r="G146" i="15" s="1"/>
  <c r="S43" i="15"/>
  <c r="AC42" i="15"/>
  <c r="J145" i="15"/>
  <c r="U146" i="15"/>
  <c r="F91" i="15"/>
  <c r="R146" i="15"/>
  <c r="AF43" i="15" l="1"/>
  <c r="AH42" i="15"/>
  <c r="AJ42" i="15"/>
  <c r="H91" i="15"/>
  <c r="P92" i="15" s="1"/>
  <c r="F146" i="15"/>
  <c r="H146" i="15" s="1"/>
  <c r="K146" i="15"/>
  <c r="I146" i="15"/>
  <c r="E146" i="15"/>
  <c r="AC43" i="15"/>
  <c r="S44" i="15"/>
  <c r="E91" i="15"/>
  <c r="I91" i="15"/>
  <c r="K91" i="15"/>
  <c r="AH43" i="15" l="1"/>
  <c r="AJ43" i="15"/>
  <c r="AF44" i="15"/>
  <c r="AC44" i="15"/>
  <c r="S45" i="15"/>
  <c r="N91" i="15"/>
  <c r="L91" i="15"/>
  <c r="M91" i="15" s="1"/>
  <c r="C91" i="15" s="1"/>
  <c r="B92" i="15" s="1"/>
  <c r="L146" i="15"/>
  <c r="M146" i="15" s="1"/>
  <c r="C146" i="15" s="1"/>
  <c r="J146" i="15" s="1"/>
  <c r="E150" i="15" s="1" a="1"/>
  <c r="E150" i="15" s="1"/>
  <c r="N146" i="15"/>
  <c r="AH44" i="15" l="1"/>
  <c r="AF45" i="15"/>
  <c r="AJ44" i="15"/>
  <c r="O146" i="15"/>
  <c r="O91" i="15"/>
  <c r="G92" i="15" s="1"/>
  <c r="S46" i="15"/>
  <c r="AC45" i="15"/>
  <c r="D92" i="15"/>
  <c r="Q92" i="15"/>
  <c r="J91" i="15"/>
  <c r="F92" i="15"/>
  <c r="AJ45" i="15" l="1"/>
  <c r="AH45" i="15"/>
  <c r="AF46" i="15"/>
  <c r="H92" i="15"/>
  <c r="P93" i="15" s="1"/>
  <c r="E92" i="15"/>
  <c r="I92" i="15"/>
  <c r="K92" i="15"/>
  <c r="AC46" i="15"/>
  <c r="S47" i="15"/>
  <c r="AJ46" i="15" l="1"/>
  <c r="AF47" i="15"/>
  <c r="AH46" i="15"/>
  <c r="N92" i="15"/>
  <c r="L92" i="15"/>
  <c r="M92" i="15" s="1"/>
  <c r="C92" i="15" s="1"/>
  <c r="B93" i="15" s="1"/>
  <c r="AC47" i="15"/>
  <c r="S48" i="15"/>
  <c r="AF48" i="15" l="1"/>
  <c r="AJ47" i="15"/>
  <c r="AH47" i="15"/>
  <c r="AC48" i="15"/>
  <c r="S49" i="15"/>
  <c r="J92" i="15"/>
  <c r="Q93" i="15"/>
  <c r="D93" i="15"/>
  <c r="O92" i="15"/>
  <c r="G93" i="15" s="1"/>
  <c r="F93" i="15"/>
  <c r="AJ48" i="15" l="1"/>
  <c r="AH48" i="15"/>
  <c r="AF49" i="15"/>
  <c r="H93" i="15"/>
  <c r="P94" i="15" s="1"/>
  <c r="AC49" i="15"/>
  <c r="S50" i="15"/>
  <c r="K93" i="15"/>
  <c r="I93" i="15"/>
  <c r="E93" i="15"/>
  <c r="AH49" i="15" l="1"/>
  <c r="AF50" i="15"/>
  <c r="AJ49" i="15"/>
  <c r="S51" i="15"/>
  <c r="AC50" i="15"/>
  <c r="L93" i="15"/>
  <c r="M93" i="15" s="1"/>
  <c r="C93" i="15" s="1"/>
  <c r="B94" i="15" s="1"/>
  <c r="N93" i="15"/>
  <c r="AF51" i="15" l="1"/>
  <c r="AJ50" i="15"/>
  <c r="AH50" i="15"/>
  <c r="D94" i="15"/>
  <c r="Q94" i="15"/>
  <c r="O93" i="15"/>
  <c r="G94" i="15" s="1"/>
  <c r="AC51" i="15"/>
  <c r="S52" i="15"/>
  <c r="J93" i="15"/>
  <c r="F94" i="15"/>
  <c r="C41" i="15"/>
  <c r="AJ51" i="15" l="1"/>
  <c r="AH51" i="15"/>
  <c r="H94" i="15"/>
  <c r="P95" i="15" s="1"/>
  <c r="AC52" i="15"/>
  <c r="S53" i="15"/>
  <c r="K94" i="15"/>
  <c r="E94" i="15"/>
  <c r="I94" i="15"/>
  <c r="G41" i="15"/>
  <c r="E41" i="15"/>
  <c r="C42" i="15" l="1"/>
  <c r="N94" i="15"/>
  <c r="L94" i="15"/>
  <c r="M94" i="15" s="1"/>
  <c r="C94" i="15" s="1"/>
  <c r="B95" i="15" s="1"/>
  <c r="S54" i="15"/>
  <c r="AC53" i="15"/>
  <c r="I64" i="15" l="1"/>
  <c r="I68" i="15"/>
  <c r="I67" i="15"/>
  <c r="I65" i="15"/>
  <c r="I69" i="15"/>
  <c r="I70" i="15"/>
  <c r="I71" i="15"/>
  <c r="I66" i="15"/>
  <c r="I72" i="15"/>
  <c r="H58" i="15"/>
  <c r="C47" i="15"/>
  <c r="H55" i="15"/>
  <c r="Q95" i="15"/>
  <c r="D95" i="15"/>
  <c r="AC54" i="15"/>
  <c r="S55" i="15"/>
  <c r="O94" i="15"/>
  <c r="G95" i="15" s="1"/>
  <c r="J94" i="15"/>
  <c r="F189" i="15"/>
  <c r="F95" i="15"/>
  <c r="L58" i="15" l="1"/>
  <c r="K58" i="15"/>
  <c r="F58" i="15" s="1"/>
  <c r="K55" i="15"/>
  <c r="L55" i="15"/>
  <c r="G190" i="15"/>
  <c r="H95" i="15"/>
  <c r="P96" i="15" s="1"/>
  <c r="AC55" i="15"/>
  <c r="K95" i="15"/>
  <c r="I95" i="15"/>
  <c r="E95" i="15"/>
  <c r="B59" i="15" l="1"/>
  <c r="F55" i="15"/>
  <c r="L95" i="15"/>
  <c r="M95" i="15" s="1"/>
  <c r="C95" i="15" s="1"/>
  <c r="B96" i="15" s="1"/>
  <c r="N95" i="15"/>
  <c r="G199" i="15"/>
  <c r="D195" i="15"/>
  <c r="H194" i="15" s="1"/>
  <c r="C199" i="15" s="1"/>
  <c r="K199" i="15" l="1"/>
  <c r="E199" i="15" s="1"/>
  <c r="O95" i="15"/>
  <c r="G96" i="15" s="1"/>
  <c r="D96" i="15"/>
  <c r="Q96" i="15"/>
  <c r="J95" i="15"/>
  <c r="F96" i="15"/>
  <c r="B200" i="15" l="1"/>
  <c r="H96" i="15"/>
  <c r="P97" i="15" s="1"/>
  <c r="K96" i="15"/>
  <c r="E96" i="15"/>
  <c r="I96" i="15"/>
  <c r="N96" i="15" l="1"/>
  <c r="L96" i="15"/>
  <c r="M96" i="15" s="1"/>
  <c r="C96" i="15" s="1"/>
  <c r="B97" i="15" s="1"/>
  <c r="Q97" i="15" l="1"/>
  <c r="D97" i="15"/>
  <c r="O96" i="15"/>
  <c r="G97" i="15" s="1"/>
  <c r="J96" i="15"/>
  <c r="F97" i="15"/>
  <c r="H97" i="15" l="1"/>
  <c r="P98" i="15" s="1"/>
  <c r="K97" i="15"/>
  <c r="I97" i="15"/>
  <c r="E97" i="15"/>
  <c r="N97" i="15" l="1"/>
  <c r="L97" i="15"/>
  <c r="M97" i="15" s="1"/>
  <c r="C97" i="15" s="1"/>
  <c r="B98" i="15" s="1"/>
  <c r="D98" i="15" l="1"/>
  <c r="Q98" i="15"/>
  <c r="J97" i="15"/>
  <c r="O97" i="15"/>
  <c r="G98" i="15" s="1"/>
  <c r="F98" i="15"/>
  <c r="H98" i="15" l="1"/>
  <c r="P99" i="15" s="1"/>
  <c r="K98" i="15"/>
  <c r="E98" i="15"/>
  <c r="I98" i="15"/>
  <c r="N98" i="15" l="1"/>
  <c r="L98" i="15"/>
  <c r="M98" i="15" s="1"/>
  <c r="C98" i="15" s="1"/>
  <c r="B99" i="15" s="1"/>
  <c r="J98" i="15" l="1"/>
  <c r="Q99" i="15"/>
  <c r="D99" i="15"/>
  <c r="O98" i="15"/>
  <c r="G99" i="15" s="1"/>
  <c r="F99" i="15"/>
  <c r="H99" i="15" l="1"/>
  <c r="P100" i="15" s="1"/>
  <c r="K99" i="15"/>
  <c r="E99" i="15"/>
  <c r="I99" i="15"/>
  <c r="L99" i="15" l="1"/>
  <c r="M99" i="15" s="1"/>
  <c r="C99" i="15" s="1"/>
  <c r="B100" i="15" s="1"/>
  <c r="N99" i="15"/>
  <c r="O99" i="15" l="1"/>
  <c r="G100" i="15" s="1"/>
  <c r="Q100" i="15"/>
  <c r="D100" i="15"/>
  <c r="J99" i="15"/>
  <c r="F100" i="15"/>
  <c r="H100" i="15" l="1"/>
  <c r="P101" i="15" s="1"/>
  <c r="K100" i="15"/>
  <c r="E100" i="15"/>
  <c r="I100" i="15"/>
  <c r="N100" i="15" l="1"/>
  <c r="L100" i="15"/>
  <c r="M100" i="15" s="1"/>
  <c r="C100" i="15" s="1"/>
  <c r="B101" i="15" s="1"/>
  <c r="Q101" i="15" l="1"/>
  <c r="D101" i="15"/>
  <c r="O100" i="15"/>
  <c r="G101" i="15" s="1"/>
  <c r="J100" i="15"/>
  <c r="F101" i="15"/>
  <c r="H101" i="15" l="1"/>
  <c r="P102" i="15" s="1"/>
  <c r="K101" i="15"/>
  <c r="E101" i="15"/>
  <c r="I101" i="15"/>
  <c r="N101" i="15" l="1"/>
  <c r="L101" i="15"/>
  <c r="M101" i="15" s="1"/>
  <c r="C101" i="15" s="1"/>
  <c r="B102" i="15" s="1"/>
  <c r="O101" i="15" l="1"/>
  <c r="G102" i="15" s="1"/>
  <c r="Q102" i="15"/>
  <c r="D102" i="15"/>
  <c r="J101" i="15"/>
  <c r="F102" i="15"/>
  <c r="H102" i="15" l="1"/>
  <c r="P103" i="15" s="1"/>
  <c r="K102" i="15"/>
  <c r="E102" i="15"/>
  <c r="I102" i="15"/>
  <c r="N102" i="15" l="1"/>
  <c r="L102" i="15"/>
  <c r="M102" i="15" s="1"/>
  <c r="C102" i="15" s="1"/>
  <c r="B103" i="15" s="1"/>
  <c r="Q103" i="15" l="1"/>
  <c r="D103" i="15"/>
  <c r="O102" i="15"/>
  <c r="G103" i="15" s="1"/>
  <c r="J102" i="15"/>
  <c r="F103" i="15"/>
  <c r="H103" i="15" l="1"/>
  <c r="P104" i="15" s="1"/>
  <c r="K103" i="15"/>
  <c r="E103" i="15"/>
  <c r="I103" i="15"/>
  <c r="L103" i="15" l="1"/>
  <c r="M103" i="15" s="1"/>
  <c r="C103" i="15" s="1"/>
  <c r="B104" i="15" s="1"/>
  <c r="N103" i="15"/>
  <c r="Q104" i="15" l="1"/>
  <c r="D104" i="15"/>
  <c r="O103" i="15"/>
  <c r="G104" i="15" s="1"/>
  <c r="J103" i="15"/>
  <c r="F104" i="15"/>
  <c r="H104" i="15" l="1"/>
  <c r="P105" i="15" s="1"/>
  <c r="K104" i="15"/>
  <c r="E104" i="15"/>
  <c r="I104" i="15"/>
  <c r="N104" i="15" l="1"/>
  <c r="L104" i="15"/>
  <c r="M104" i="15" s="1"/>
  <c r="C104" i="15" s="1"/>
  <c r="B105" i="15" s="1"/>
  <c r="O104" i="15" l="1"/>
  <c r="G105" i="15" s="1"/>
  <c r="Q105" i="15"/>
  <c r="D105" i="15"/>
  <c r="J104" i="15"/>
  <c r="F105" i="15"/>
  <c r="H105" i="15" l="1"/>
  <c r="P106" i="15" s="1"/>
  <c r="K105" i="15"/>
  <c r="E105" i="15"/>
  <c r="I105" i="15"/>
  <c r="N105" i="15" l="1"/>
  <c r="L105" i="15"/>
  <c r="M105" i="15" s="1"/>
  <c r="C105" i="15" s="1"/>
  <c r="B106" i="15" s="1"/>
  <c r="O105" i="15" l="1"/>
  <c r="G106" i="15" s="1"/>
  <c r="Q106" i="15"/>
  <c r="D106" i="15"/>
  <c r="J105" i="15"/>
  <c r="F106" i="15"/>
  <c r="H106" i="15" l="1"/>
  <c r="P107" i="15" s="1"/>
  <c r="K106" i="15"/>
  <c r="E106" i="15"/>
  <c r="I106" i="15"/>
  <c r="N106" i="15" l="1"/>
  <c r="L106" i="15"/>
  <c r="M106" i="15" s="1"/>
  <c r="C106" i="15" s="1"/>
  <c r="B107" i="15" s="1"/>
  <c r="O106" i="15" l="1"/>
  <c r="G107" i="15" s="1"/>
  <c r="Q107" i="15"/>
  <c r="D107" i="15"/>
  <c r="J106" i="15"/>
  <c r="F107" i="15"/>
  <c r="H107" i="15" l="1"/>
  <c r="P108" i="15" s="1"/>
  <c r="K107" i="15"/>
  <c r="E107" i="15"/>
  <c r="I107" i="15"/>
  <c r="L107" i="15" l="1"/>
  <c r="M107" i="15" s="1"/>
  <c r="C107" i="15" s="1"/>
  <c r="B108" i="15" s="1"/>
  <c r="N107" i="15"/>
  <c r="Q108" i="15" l="1"/>
  <c r="D108" i="15"/>
  <c r="O107" i="15"/>
  <c r="G108" i="15" s="1"/>
  <c r="J107" i="15"/>
  <c r="F108" i="15"/>
  <c r="H108" i="15" l="1"/>
  <c r="P109" i="15" s="1"/>
  <c r="K108" i="15"/>
  <c r="E108" i="15"/>
  <c r="I108" i="15"/>
  <c r="N108" i="15" l="1"/>
  <c r="L108" i="15"/>
  <c r="M108" i="15" s="1"/>
  <c r="C108" i="15" s="1"/>
  <c r="B109" i="15" s="1"/>
  <c r="Q109" i="15" l="1"/>
  <c r="D109" i="15"/>
  <c r="O108" i="15"/>
  <c r="G109" i="15" s="1"/>
  <c r="J108" i="15"/>
  <c r="F109" i="15"/>
  <c r="H109" i="15" l="1"/>
  <c r="P110" i="15" s="1"/>
  <c r="K109" i="15"/>
  <c r="E109" i="15"/>
  <c r="I109" i="15"/>
  <c r="N109" i="15" l="1"/>
  <c r="L109" i="15"/>
  <c r="M109" i="15" s="1"/>
  <c r="C109" i="15" s="1"/>
  <c r="B110" i="15" s="1"/>
  <c r="J109" i="15" l="1"/>
  <c r="Q110" i="15"/>
  <c r="D110" i="15"/>
  <c r="O109" i="15"/>
  <c r="G110" i="15" s="1"/>
  <c r="F110" i="15"/>
  <c r="H110" i="15" l="1"/>
  <c r="P111" i="15" s="1"/>
  <c r="K110" i="15"/>
  <c r="E110" i="15"/>
  <c r="I110" i="15"/>
  <c r="N110" i="15" l="1"/>
  <c r="L110" i="15"/>
  <c r="M110" i="15" s="1"/>
  <c r="C110" i="15" s="1"/>
  <c r="B111" i="15" s="1"/>
  <c r="O110" i="15" l="1"/>
  <c r="G111" i="15" s="1"/>
  <c r="Q111" i="15"/>
  <c r="D111" i="15"/>
  <c r="J110" i="15"/>
  <c r="F111" i="15"/>
  <c r="H111" i="15" l="1"/>
  <c r="P112" i="15" s="1"/>
  <c r="K111" i="15"/>
  <c r="E111" i="15"/>
  <c r="I111" i="15"/>
  <c r="N111" i="15" l="1"/>
  <c r="L111" i="15"/>
  <c r="M111" i="15" s="1"/>
  <c r="C111" i="15" s="1"/>
  <c r="B112" i="15" s="1"/>
  <c r="O111" i="15" l="1"/>
  <c r="G112" i="15" s="1"/>
  <c r="Q112" i="15"/>
  <c r="D112" i="15"/>
  <c r="J111" i="15"/>
  <c r="F112" i="15"/>
  <c r="H112" i="15" l="1"/>
  <c r="P113" i="15" s="1"/>
  <c r="K112" i="15"/>
  <c r="E112" i="15"/>
  <c r="I112" i="15"/>
  <c r="N112" i="15" l="1"/>
  <c r="L112" i="15"/>
  <c r="M112" i="15" s="1"/>
  <c r="C112" i="15" s="1"/>
  <c r="B113" i="15" s="1"/>
  <c r="Q113" i="15" l="1"/>
  <c r="D113" i="15"/>
  <c r="O112" i="15"/>
  <c r="G113" i="15" s="1"/>
  <c r="J112" i="15"/>
  <c r="F113" i="15"/>
  <c r="H113" i="15" l="1"/>
  <c r="P114" i="15" s="1"/>
  <c r="K113" i="15"/>
  <c r="E113" i="15"/>
  <c r="I113" i="15"/>
  <c r="N113" i="15" l="1"/>
  <c r="L113" i="15"/>
  <c r="M113" i="15" s="1"/>
  <c r="C113" i="15" s="1"/>
  <c r="B114" i="15" s="1"/>
  <c r="Q114" i="15" l="1"/>
  <c r="D114" i="15"/>
  <c r="O113" i="15"/>
  <c r="G114" i="15" s="1"/>
  <c r="J113" i="15"/>
  <c r="F114" i="15"/>
  <c r="H114" i="15" l="1"/>
  <c r="P115" i="15" s="1"/>
  <c r="K114" i="15"/>
  <c r="E114" i="15"/>
  <c r="I114" i="15"/>
  <c r="N114" i="15" l="1"/>
  <c r="L114" i="15"/>
  <c r="M114" i="15" s="1"/>
  <c r="C114" i="15" s="1"/>
  <c r="B115" i="15" s="1"/>
  <c r="D115" i="15" l="1"/>
  <c r="Q115" i="15"/>
  <c r="O114" i="15"/>
  <c r="G115" i="15" s="1"/>
  <c r="J114" i="15"/>
  <c r="F115" i="15"/>
  <c r="H115" i="15" l="1"/>
  <c r="P116" i="15" s="1"/>
  <c r="K115" i="15"/>
  <c r="E115" i="15"/>
  <c r="I115" i="15"/>
  <c r="N115" i="15" l="1"/>
  <c r="L115" i="15"/>
  <c r="M115" i="15" s="1"/>
  <c r="C115" i="15" s="1"/>
  <c r="B116" i="15" s="1"/>
  <c r="O115" i="15" l="1"/>
  <c r="G116" i="15" s="1"/>
  <c r="D116" i="15"/>
  <c r="Q116" i="15"/>
  <c r="J115" i="15"/>
  <c r="F116" i="15"/>
  <c r="E126" i="15" l="1"/>
  <c r="H127" i="15" s="1"/>
  <c r="H116" i="15"/>
  <c r="P117" i="15" s="1"/>
  <c r="K116" i="15"/>
  <c r="E116" i="15"/>
  <c r="I116" i="15"/>
  <c r="E152" i="15" l="1"/>
  <c r="E153" i="15" s="1"/>
  <c r="K6" i="15"/>
  <c r="N116" i="15"/>
  <c r="L116" i="15"/>
  <c r="M116" i="15" s="1"/>
  <c r="C116" i="15" s="1"/>
  <c r="B117" i="15" s="1"/>
  <c r="Q117" i="15" l="1"/>
  <c r="D117" i="15"/>
  <c r="O116" i="15"/>
  <c r="G117" i="15" s="1"/>
  <c r="J116" i="15"/>
  <c r="F117" i="15"/>
  <c r="H117" i="15" l="1"/>
  <c r="P118" i="15" s="1"/>
  <c r="K117" i="15"/>
  <c r="E117" i="15"/>
  <c r="I117" i="15"/>
  <c r="N117" i="15" l="1"/>
  <c r="L117" i="15"/>
  <c r="M117" i="15" s="1"/>
  <c r="C117" i="15" s="1"/>
  <c r="B118" i="15" s="1"/>
  <c r="Q118" i="15" l="1"/>
  <c r="D118" i="15"/>
  <c r="O117" i="15"/>
  <c r="G118" i="15" s="1"/>
  <c r="J117" i="15"/>
  <c r="F118" i="15"/>
  <c r="H118" i="15" l="1"/>
  <c r="P119" i="15" s="1"/>
  <c r="K118" i="15"/>
  <c r="E118" i="15"/>
  <c r="I118" i="15"/>
  <c r="N118" i="15" l="1"/>
  <c r="L118" i="15"/>
  <c r="M118" i="15" s="1"/>
  <c r="C118" i="15" s="1"/>
  <c r="B119" i="15" s="1"/>
  <c r="J118" i="15" l="1"/>
  <c r="D119" i="15"/>
  <c r="Q119" i="15"/>
  <c r="O118" i="15"/>
  <c r="G119" i="15" s="1"/>
  <c r="F119" i="15"/>
  <c r="H119" i="15" l="1"/>
  <c r="P120" i="15" s="1"/>
  <c r="K119" i="15"/>
  <c r="E119" i="15"/>
  <c r="I119" i="15"/>
  <c r="N119" i="15" l="1"/>
  <c r="L119" i="15"/>
  <c r="M119" i="15" s="1"/>
  <c r="C119" i="15" s="1"/>
  <c r="B120" i="15" s="1"/>
  <c r="D120" i="15" l="1"/>
  <c r="Q120" i="15"/>
  <c r="O119" i="15"/>
  <c r="G120" i="15" s="1"/>
  <c r="J119" i="15"/>
  <c r="F120" i="15"/>
  <c r="H120" i="15" l="1"/>
  <c r="P121" i="15" s="1"/>
  <c r="K120" i="15"/>
  <c r="E120" i="15"/>
  <c r="I120" i="15"/>
  <c r="N120" i="15" l="1"/>
  <c r="L120" i="15"/>
  <c r="M120" i="15" s="1"/>
  <c r="C120" i="15" s="1"/>
  <c r="B121" i="15" s="1"/>
  <c r="Q121" i="15" l="1"/>
  <c r="D121" i="15"/>
  <c r="O120" i="15"/>
  <c r="G121" i="15" s="1"/>
  <c r="J120" i="15"/>
  <c r="F121" i="15"/>
  <c r="H121" i="15" l="1"/>
  <c r="P122" i="15" s="1"/>
  <c r="H125" i="15" s="1"/>
  <c r="K121" i="15"/>
  <c r="E121" i="15"/>
  <c r="I121" i="15"/>
  <c r="N121" i="15" l="1"/>
  <c r="L121" i="15"/>
  <c r="M121" i="15" s="1"/>
  <c r="C121" i="15" s="1"/>
  <c r="B122" i="15" s="1"/>
  <c r="O121" i="15" l="1"/>
  <c r="G122" i="15" s="1"/>
  <c r="Q122" i="15"/>
  <c r="D122" i="15"/>
  <c r="J121" i="15"/>
  <c r="F122" i="15"/>
  <c r="H122" i="15" l="1"/>
  <c r="K122" i="15"/>
  <c r="E122" i="15"/>
  <c r="I122" i="15"/>
  <c r="N122" i="15" l="1"/>
  <c r="L122" i="15"/>
  <c r="M122" i="15" s="1"/>
  <c r="C122" i="15" s="1"/>
  <c r="J122" i="15" s="1"/>
  <c r="O122" i="15" l="1"/>
</calcChain>
</file>

<file path=xl/comments1.xml><?xml version="1.0" encoding="utf-8"?>
<comments xmlns="http://schemas.openxmlformats.org/spreadsheetml/2006/main">
  <authors>
    <author>TienKham</author>
    <author>tienkham213@gmail.com</author>
    <author>9999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Ko xóa ô này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</rPr>
          <t>Ko xóa ô này</t>
        </r>
      </text>
    </comment>
    <comment ref="K5" authorId="1" shapeId="0">
      <text>
        <r>
          <rPr>
            <b/>
            <sz val="9"/>
            <color indexed="81"/>
            <rFont val="Tahoma"/>
            <family val="2"/>
          </rPr>
          <t>Ko xóa ô này</t>
        </r>
      </text>
    </comment>
    <comment ref="L5" authorId="1" shapeId="0">
      <text>
        <r>
          <rPr>
            <b/>
            <sz val="9"/>
            <color indexed="81"/>
            <rFont val="Tahoma"/>
            <family val="2"/>
          </rPr>
          <t>Ko xóa ô này</t>
        </r>
      </text>
    </comment>
    <comment ref="K6" authorId="1" shapeId="0">
      <text>
        <r>
          <rPr>
            <b/>
            <sz val="9"/>
            <color indexed="81"/>
            <rFont val="Tahoma"/>
            <family val="2"/>
          </rPr>
          <t>Hệ số nền gán vào mô hình
Đơn vị: kN/m/m2</t>
        </r>
      </text>
    </comment>
    <comment ref="B19" authorId="2" shapeId="0">
      <text>
        <r>
          <rPr>
            <b/>
            <sz val="9"/>
            <color indexed="81"/>
            <rFont val="Tahoma"/>
            <family val="2"/>
          </rPr>
          <t>KC XN3:MẶC ĐỊNH LỚP SỐ 0 LÀ LỚP SAN NỀN. NẾU KHÔNG CÓ SAN NỀN THÌ CHO BỀ DÀY LỚP =0M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<sst xmlns="http://schemas.openxmlformats.org/spreadsheetml/2006/main" count="734" uniqueCount="328">
  <si>
    <t>Cấu kiện:</t>
  </si>
  <si>
    <t>Tải trọng tính toán chân cột</t>
  </si>
  <si>
    <t>N =</t>
  </si>
  <si>
    <t>M =</t>
  </si>
  <si>
    <t>Q =</t>
  </si>
  <si>
    <t>T</t>
  </si>
  <si>
    <t>Tiêu chuẩn TCVN 9362:2012</t>
  </si>
  <si>
    <t>Chiều sâu chôn móng tối thiểu đảm bảo điều kiện:</t>
  </si>
  <si>
    <t>m</t>
  </si>
  <si>
    <t>toàn bộ lực cắt Q truyền vào nền</t>
  </si>
  <si>
    <t>trong đó:</t>
  </si>
  <si>
    <t>Lớp đất</t>
  </si>
  <si>
    <t>Tên loại đất</t>
  </si>
  <si>
    <t>Áp lực tính toán lên nền ở đáy móng</t>
  </si>
  <si>
    <t>Sâu đáy lớp</t>
  </si>
  <si>
    <t>ứng với:</t>
  </si>
  <si>
    <t>ứng với nhà có sơ đồ kết cấu mềm</t>
  </si>
  <si>
    <t>ở lớp số</t>
  </si>
  <si>
    <t>o</t>
  </si>
  <si>
    <t>A =</t>
  </si>
  <si>
    <t>B =</t>
  </si>
  <si>
    <t>D =</t>
  </si>
  <si>
    <t>Chọn kích thước móng</t>
  </si>
  <si>
    <t>móng và đất trên đáy móng.</t>
  </si>
  <si>
    <t>Chọn kích thước đáy móng:</t>
  </si>
  <si>
    <t>Chiều rộng b =</t>
  </si>
  <si>
    <t>Chiều dài    l =</t>
  </si>
  <si>
    <t>Kiểm tra áp lực lên đáy móng</t>
  </si>
  <si>
    <t>Tải trọng tiêu chuẩn</t>
  </si>
  <si>
    <t>1,2R =</t>
  </si>
  <si>
    <t>Ứng suất nén trung bình:</t>
  </si>
  <si>
    <t>Ứng suất nén lớn nhất và nhỏ nhất do tải trọng tiêu chuẩn lên đáy móng:</t>
  </si>
  <si>
    <t>R =</t>
  </si>
  <si>
    <t>→</t>
  </si>
  <si>
    <t>Tính toán biến dạng nền</t>
  </si>
  <si>
    <t xml:space="preserve">Chia nền đất dưới đáy móng quy ước thành các lớp phân tố có chiều dày </t>
  </si>
  <si>
    <t>Trong mỗi lớp phân tố thứ i tính độ lún theo công thức sau:</t>
  </si>
  <si>
    <t>β - Hệ số phụ thuộc vào hệ số không nở hông của lớp đất. Quy phạm cho phép lấy β = 0,8</t>
  </si>
  <si>
    <t>không lớn hơn b/5 =</t>
  </si>
  <si>
    <t>hi</t>
  </si>
  <si>
    <t>Độ sâu dưới</t>
  </si>
  <si>
    <t>Chiều dày</t>
  </si>
  <si>
    <t>Độ sâu</t>
  </si>
  <si>
    <t>Index</t>
  </si>
  <si>
    <t xml:space="preserve">Còn lại đến </t>
  </si>
  <si>
    <t>γi</t>
  </si>
  <si>
    <t>Dừng</t>
  </si>
  <si>
    <t>mm</t>
  </si>
  <si>
    <t>đáy lớp, m</t>
  </si>
  <si>
    <t>Dừng tính lún tại điểm có</t>
  </si>
  <si>
    <t>Chiều dày lớp bảo vệ:</t>
  </si>
  <si>
    <t>Trong đó:</t>
  </si>
  <si>
    <t>Rb</t>
  </si>
  <si>
    <t>Rbt</t>
  </si>
  <si>
    <t>B</t>
  </si>
  <si>
    <t>Tính cốt thép đáy móng</t>
  </si>
  <si>
    <t>Cốt thép chịu moment do áp lực tính toán của phản lực nền gây ra. Coi cánh móng như console</t>
  </si>
  <si>
    <t>Giá trị moment tại ngàm theo cạnh ngắn:</t>
  </si>
  <si>
    <t>Tm</t>
  </si>
  <si>
    <t>Cốt thép mác:</t>
  </si>
  <si>
    <t>C-I</t>
  </si>
  <si>
    <t>C-IV</t>
  </si>
  <si>
    <t>Rsc</t>
  </si>
  <si>
    <t>Diện tích tiết diện cốt thép theo cạnh ngắn:</t>
  </si>
  <si>
    <t>Kiểm tra lớp đất yếu bên dưới</t>
  </si>
  <si>
    <t>Kiểm tra cho lớp số</t>
  </si>
  <si>
    <t>ở chiều sâu z =</t>
  </si>
  <si>
    <t>m so với đáy móng</t>
  </si>
  <si>
    <t>Áp lực tính toán lên mái của lớp đất số</t>
  </si>
  <si>
    <t>tính theo công thức:</t>
  </si>
  <si>
    <t>a = (l-b)/2 =</t>
  </si>
  <si>
    <t>Fm =</t>
  </si>
  <si>
    <t>T/m</t>
  </si>
  <si>
    <t>Kiểm tra với các tổ hợp</t>
  </si>
  <si>
    <t>Tổ hợp</t>
  </si>
  <si>
    <t>N</t>
  </si>
  <si>
    <t>p</t>
  </si>
  <si>
    <t>M</t>
  </si>
  <si>
    <t>Kiểm tra</t>
  </si>
  <si>
    <t>Chiều sâu mực nước ngầm:</t>
  </si>
  <si>
    <t>index</t>
  </si>
  <si>
    <t>Bề dày lại</t>
  </si>
  <si>
    <t>Sắp xếp lại theo z</t>
  </si>
  <si>
    <t>γ</t>
  </si>
  <si>
    <t>z</t>
  </si>
  <si>
    <t>theo điều 4.6.9 của tiêu chuẩn</t>
  </si>
  <si>
    <t>Áp lực tính toán tác dụng lên nền không vượt quá giá trị:</t>
  </si>
  <si>
    <t>m=2z/b hoặc z/r</t>
  </si>
  <si>
    <t>n=l/b</t>
  </si>
  <si>
    <t>tròn</t>
  </si>
  <si>
    <t>băng</t>
  </si>
  <si>
    <t>n&gt;=10</t>
  </si>
  <si>
    <t>Tính theo trường hợp móng</t>
  </si>
  <si>
    <t>n= l/b =</t>
  </si>
  <si>
    <t>m = 2z/b</t>
  </si>
  <si>
    <t>Áp lực thêm trong đất ở độ sâu z dưới đáy móng:</t>
  </si>
  <si>
    <t>Áp lực thiên nhiên ở độ sâu z dưới đáy móng:</t>
  </si>
  <si>
    <t>Áp lực thiên nhiên ở độ sâu đáy móng (z=0):</t>
  </si>
  <si>
    <t>α</t>
  </si>
  <si>
    <t>α -</t>
  </si>
  <si>
    <t>Hệ số tính đến sự thay đổi theo độ sâu của áp lực thêm trong đất, tại tâm móng</t>
  </si>
  <si>
    <t>γh</t>
  </si>
  <si>
    <t>Độ lún tại tâm móng:</t>
  </si>
  <si>
    <t>ở độ sâu:</t>
  </si>
  <si>
    <t>Độ lún cộng thêm do ảnh hưởng của móng lân cận</t>
  </si>
  <si>
    <t>Áp lực trung bình dưới đáy móng lân cận p=</t>
  </si>
  <si>
    <t>Kích thước móng lân cận:</t>
  </si>
  <si>
    <t>l =</t>
  </si>
  <si>
    <t>b =</t>
  </si>
  <si>
    <t>Áp lực tiêu chuẩn ở độ sâu z theo phương thẳng đứng qua điểm góc của móng chữ nhật tính theo:</t>
  </si>
  <si>
    <t>Hệ số tính đến sự thay đổi theo độ sâu của áp lực thêm trong đất, tại góc móng</t>
  </si>
  <si>
    <t>Khoảng cách thông thuỷ từ móng đang xét đến móng lân cận:</t>
  </si>
  <si>
    <t>Theo phương chiều rộng móng:</t>
  </si>
  <si>
    <t>x =</t>
  </si>
  <si>
    <t>Độ lún tổng cộng có cộng thêm ảnh hưởng của móng lân cận 2 bên là:</t>
  </si>
  <si>
    <t>Sơ đồ 1</t>
  </si>
  <si>
    <t>b=</t>
  </si>
  <si>
    <t>Sơ đồ 2</t>
  </si>
  <si>
    <t>Hệ số nền tính đổi:</t>
  </si>
  <si>
    <t>k =</t>
  </si>
  <si>
    <t>Kiểm tra móng theo điều kiện cường độ bêtông cốt thép</t>
  </si>
  <si>
    <t>Tm/m</t>
  </si>
  <si>
    <t>KIỂM TRA ỔN ĐỊNH TRƯỢT CỦA MÓNG</t>
  </si>
  <si>
    <t>Tính móng về trượt theo đáy móng trong trường hợp tác dụng lên móng lực ngang, theo tiêu chuẩn,</t>
  </si>
  <si>
    <t>tổng hình chiếu lên mặt trượt của các lực tính toán về giữ và về trượt</t>
  </si>
  <si>
    <t>Áp lực đất chủ động và bị động</t>
  </si>
  <si>
    <t>Lực ma sát giữa móng và nền đất</t>
  </si>
  <si>
    <t>Vậy</t>
  </si>
  <si>
    <t>(làm tròn)</t>
  </si>
  <si>
    <t>Hệ số kể đến ảnh hưởng của lực dọc</t>
  </si>
  <si>
    <t>Hệ số phụ thuộc vào loại bêtông, với bêtông nặng</t>
  </si>
  <si>
    <t>Bảng 14- Các hệ số A,B,D</t>
  </si>
  <si>
    <t>φ</t>
  </si>
  <si>
    <t>A</t>
  </si>
  <si>
    <t>D</t>
  </si>
  <si>
    <t>tính theo công thức cơ đất</t>
  </si>
  <si>
    <t>Story</t>
  </si>
  <si>
    <t>FX</t>
  </si>
  <si>
    <t>FY</t>
  </si>
  <si>
    <t>FZ</t>
  </si>
  <si>
    <t>MX</t>
  </si>
  <si>
    <t>MY</t>
  </si>
  <si>
    <t>MZ</t>
  </si>
  <si>
    <t>COMB1</t>
  </si>
  <si>
    <t>COMB2</t>
  </si>
  <si>
    <t>COMB3</t>
  </si>
  <si>
    <t>COMB4</t>
  </si>
  <si>
    <t>COMB5</t>
  </si>
  <si>
    <t xml:space="preserve">Tại nút số </t>
  </si>
  <si>
    <t>chữ nhật</t>
  </si>
  <si>
    <t>CB300-V</t>
  </si>
  <si>
    <t>CB500-V</t>
  </si>
  <si>
    <t>TÍNH TOÁN MÓNG ĐƠN TRÊN NỀN THIÊN NHIÊN</t>
  </si>
  <si>
    <t>Kiểm tra điều kiện chịu cắt của bản móng theo TCVN 5574-2018:</t>
  </si>
  <si>
    <t>Đất san nền</t>
  </si>
  <si>
    <t>Đất lấp</t>
  </si>
  <si>
    <t>Cát hạt mịn-xám xanh-kết cấu chặt</t>
  </si>
  <si>
    <t>Cát hạt mịn-xám trắng-kết cấu chặt</t>
  </si>
  <si>
    <t>Trụ địa chất</t>
  </si>
  <si>
    <t>Hsat</t>
  </si>
  <si>
    <t>Kích thước cổ cột:</t>
  </si>
  <si>
    <t xml:space="preserve"> - Hệ số :</t>
  </si>
  <si>
    <t>ξR  =</t>
  </si>
  <si>
    <t>m (so với cao độ san nền)</t>
  </si>
  <si>
    <t>m (so với cao độ tự nhiên)</t>
  </si>
  <si>
    <t>TABLE:  Joint Reactions</t>
  </si>
  <si>
    <t>Joint Label</t>
  </si>
  <si>
    <t>Unique Name</t>
  </si>
  <si>
    <t>Load Case/Combo</t>
  </si>
  <si>
    <t>kN</t>
  </si>
  <si>
    <t>kN-m</t>
  </si>
  <si>
    <t>Base</t>
  </si>
  <si>
    <t>COMB6</t>
  </si>
  <si>
    <t>COMB7</t>
  </si>
  <si>
    <t>COMB8</t>
  </si>
  <si>
    <t>COMB9</t>
  </si>
  <si>
    <t>Row Labels</t>
  </si>
  <si>
    <t>(blank)</t>
  </si>
  <si>
    <t>Grand Total</t>
  </si>
  <si>
    <t>Max of FZ</t>
  </si>
  <si>
    <t>Max of FX</t>
  </si>
  <si>
    <t>Max of FY</t>
  </si>
  <si>
    <t>Min of FX</t>
  </si>
  <si>
    <t>Min of FY</t>
  </si>
  <si>
    <t>B20</t>
  </si>
  <si>
    <t>B25</t>
  </si>
  <si>
    <t>B30</t>
  </si>
  <si>
    <t>B40</t>
  </si>
  <si>
    <t>B45</t>
  </si>
  <si>
    <t>B15</t>
  </si>
  <si>
    <t>B22.5</t>
  </si>
  <si>
    <t>Bêtông cấp độ bền:</t>
  </si>
  <si>
    <t>Es</t>
  </si>
  <si>
    <t>Cấp bền</t>
  </si>
  <si>
    <t>Bố trí cốt thép:</t>
  </si>
  <si>
    <t>Kết luận</t>
  </si>
  <si>
    <t>Giá trị moment tại ngàm theo cạnh dài:</t>
  </si>
  <si>
    <t>Diện tích tiết diện cốt thép theo cạnh dài:</t>
  </si>
  <si>
    <t>ngàm vào tiết diện đi qua mép cổ cột.</t>
  </si>
  <si>
    <t>( E.zone 1)</t>
  </si>
  <si>
    <t>Mđ-3(200x200)</t>
  </si>
  <si>
    <t>Độ lún cho phép:</t>
  </si>
  <si>
    <t>Kết luận:</t>
  </si>
  <si>
    <t>HK3</t>
  </si>
  <si>
    <t>Áp lực lên đáy móng</t>
  </si>
  <si>
    <t>TABLE:  Grid Lines</t>
  </si>
  <si>
    <t>Grid System</t>
  </si>
  <si>
    <t>Grid Direction</t>
  </si>
  <si>
    <t>Grid ID</t>
  </si>
  <si>
    <t>Visible</t>
  </si>
  <si>
    <t>Bubble Location</t>
  </si>
  <si>
    <t>Ordinate</t>
  </si>
  <si>
    <t>G1</t>
  </si>
  <si>
    <t>X</t>
  </si>
  <si>
    <t>Yes</t>
  </si>
  <si>
    <t>End</t>
  </si>
  <si>
    <t>Y</t>
  </si>
  <si>
    <t>Start</t>
  </si>
  <si>
    <t>C</t>
  </si>
  <si>
    <t>TABLE:  Joint Coordinates</t>
  </si>
  <si>
    <t>Label</t>
  </si>
  <si>
    <t>Z</t>
  </si>
  <si>
    <t>Special Point</t>
  </si>
  <si>
    <t>No</t>
  </si>
  <si>
    <r>
      <t>N</t>
    </r>
    <r>
      <rPr>
        <vertAlign val="superscript"/>
        <sz val="11"/>
        <color indexed="8"/>
        <rFont val="Times New Roman"/>
        <family val="1"/>
      </rPr>
      <t>tc</t>
    </r>
    <r>
      <rPr>
        <sz val="11"/>
        <color theme="1"/>
        <rFont val="Times New Roman"/>
        <family val="1"/>
      </rPr>
      <t xml:space="preserve"> =</t>
    </r>
  </si>
  <si>
    <r>
      <t>M</t>
    </r>
    <r>
      <rPr>
        <vertAlign val="superscript"/>
        <sz val="11"/>
        <color indexed="8"/>
        <rFont val="Times New Roman"/>
        <family val="1"/>
      </rPr>
      <t>tc</t>
    </r>
    <r>
      <rPr>
        <sz val="11"/>
        <color theme="1"/>
        <rFont val="Times New Roman"/>
        <family val="1"/>
      </rPr>
      <t xml:space="preserve"> =</t>
    </r>
  </si>
  <si>
    <r>
      <t>Chiều sâu chôn móng H</t>
    </r>
    <r>
      <rPr>
        <b/>
        <vertAlign val="subscript"/>
        <sz val="11"/>
        <color indexed="8"/>
        <rFont val="Times New Roman"/>
        <family val="1"/>
      </rPr>
      <t>m</t>
    </r>
  </si>
  <si>
    <r>
      <t xml:space="preserve">Q </t>
    </r>
    <r>
      <rPr>
        <sz val="11"/>
        <color indexed="8"/>
        <rFont val="Times New Roman"/>
        <family val="1"/>
      </rPr>
      <t>≤ q</t>
    </r>
    <r>
      <rPr>
        <vertAlign val="subscript"/>
        <sz val="11"/>
        <color indexed="8"/>
        <rFont val="Times New Roman"/>
        <family val="1"/>
      </rPr>
      <t>p</t>
    </r>
    <r>
      <rPr>
        <sz val="11"/>
        <color indexed="8"/>
        <rFont val="Times New Roman"/>
        <family val="1"/>
      </rPr>
      <t>bH</t>
    </r>
    <r>
      <rPr>
        <vertAlign val="subscript"/>
        <sz val="11"/>
        <color indexed="8"/>
        <rFont val="Times New Roman"/>
        <family val="1"/>
      </rPr>
      <t>m</t>
    </r>
    <r>
      <rPr>
        <sz val="11"/>
        <color indexed="8"/>
        <rFont val="Times New Roman"/>
        <family val="1"/>
      </rPr>
      <t>/2</t>
    </r>
  </si>
  <si>
    <r>
      <t>Trong đó q</t>
    </r>
    <r>
      <rPr>
        <vertAlign val="subscript"/>
        <sz val="11"/>
        <color indexed="8"/>
        <rFont val="Times New Roman"/>
        <family val="1"/>
      </rPr>
      <t>p</t>
    </r>
    <r>
      <rPr>
        <sz val="11"/>
        <color theme="1"/>
        <rFont val="Times New Roman"/>
        <family val="1"/>
      </rPr>
      <t xml:space="preserve"> là áp lực đất theo phương ngang:</t>
    </r>
  </si>
  <si>
    <r>
      <t>Chọn chiều sâu chôn móng H</t>
    </r>
    <r>
      <rPr>
        <vertAlign val="subscript"/>
        <sz val="11"/>
        <color indexed="8"/>
        <rFont val="Times New Roman"/>
        <family val="1"/>
      </rPr>
      <t>m</t>
    </r>
    <r>
      <rPr>
        <sz val="11"/>
        <color theme="1"/>
        <rFont val="Times New Roman"/>
        <family val="1"/>
      </rPr>
      <t>=</t>
    </r>
  </si>
  <si>
    <r>
      <rPr>
        <b/>
        <sz val="11"/>
        <rFont val="Times New Roman"/>
        <family val="1"/>
      </rPr>
      <t xml:space="preserve">Dày </t>
    </r>
    <r>
      <rPr>
        <sz val="11"/>
        <rFont val="Times New Roman"/>
        <family val="1"/>
      </rPr>
      <t>(m)</t>
    </r>
  </si>
  <si>
    <r>
      <t>γ</t>
    </r>
    <r>
      <rPr>
        <b/>
        <vertAlign val="subscript"/>
        <sz val="11"/>
        <rFont val="Times New Roman"/>
        <family val="1"/>
      </rPr>
      <t xml:space="preserve">w
</t>
    </r>
    <r>
      <rPr>
        <sz val="11"/>
        <rFont val="Times New Roman"/>
        <family val="1"/>
      </rPr>
      <t>T/m</t>
    </r>
    <r>
      <rPr>
        <vertAlign val="superscript"/>
        <sz val="11"/>
        <rFont val="Times New Roman"/>
        <family val="1"/>
      </rPr>
      <t>3</t>
    </r>
  </si>
  <si>
    <r>
      <t>γ</t>
    </r>
    <r>
      <rPr>
        <b/>
        <vertAlign val="subscript"/>
        <sz val="11"/>
        <rFont val="Times New Roman"/>
        <family val="1"/>
      </rPr>
      <t xml:space="preserve">nn
</t>
    </r>
    <r>
      <rPr>
        <sz val="11"/>
        <rFont val="Times New Roman"/>
        <family val="1"/>
      </rPr>
      <t>T/m</t>
    </r>
    <r>
      <rPr>
        <vertAlign val="superscript"/>
        <sz val="11"/>
        <rFont val="Times New Roman"/>
        <family val="1"/>
      </rPr>
      <t>3</t>
    </r>
  </si>
  <si>
    <r>
      <t xml:space="preserve">φ </t>
    </r>
    <r>
      <rPr>
        <sz val="11"/>
        <rFont val="Times New Roman"/>
        <family val="1"/>
      </rPr>
      <t>(</t>
    </r>
    <r>
      <rPr>
        <vertAlign val="superscript"/>
        <sz val="11"/>
        <rFont val="Times New Roman"/>
        <family val="1"/>
      </rPr>
      <t>o</t>
    </r>
    <r>
      <rPr>
        <sz val="11"/>
        <rFont val="Times New Roman"/>
        <family val="1"/>
      </rPr>
      <t>)</t>
    </r>
  </si>
  <si>
    <r>
      <t>E</t>
    </r>
    <r>
      <rPr>
        <b/>
        <vertAlign val="subscript"/>
        <sz val="11"/>
        <rFont val="Times New Roman"/>
        <family val="1"/>
      </rPr>
      <t>o</t>
    </r>
    <r>
      <rPr>
        <sz val="11"/>
        <rFont val="Times New Roman"/>
        <family val="1"/>
      </rPr>
      <t xml:space="preserve"> 
kG/cm</t>
    </r>
    <r>
      <rPr>
        <vertAlign val="superscript"/>
        <sz val="11"/>
        <rFont val="Times New Roman"/>
        <family val="1"/>
      </rPr>
      <t>2</t>
    </r>
  </si>
  <si>
    <r>
      <t>R = m</t>
    </r>
    <r>
      <rPr>
        <vertAlign val="subscript"/>
        <sz val="11"/>
        <color indexed="8"/>
        <rFont val="Times New Roman"/>
        <family val="1"/>
      </rPr>
      <t>1</t>
    </r>
    <r>
      <rPr>
        <sz val="11"/>
        <color theme="1"/>
        <rFont val="Times New Roman"/>
        <family val="1"/>
      </rPr>
      <t>.m</t>
    </r>
    <r>
      <rPr>
        <vertAlign val="subscript"/>
        <sz val="11"/>
        <color indexed="8"/>
        <rFont val="Times New Roman"/>
        <family val="1"/>
      </rPr>
      <t>2</t>
    </r>
    <r>
      <rPr>
        <sz val="11"/>
        <color theme="1"/>
        <rFont val="Times New Roman"/>
        <family val="1"/>
      </rPr>
      <t>/k</t>
    </r>
    <r>
      <rPr>
        <vertAlign val="subscript"/>
        <sz val="11"/>
        <color indexed="8"/>
        <rFont val="Times New Roman"/>
        <family val="1"/>
      </rPr>
      <t>tc</t>
    </r>
    <r>
      <rPr>
        <sz val="11"/>
        <color theme="1"/>
        <rFont val="Times New Roman"/>
        <family val="1"/>
      </rPr>
      <t xml:space="preserve"> (A.b.</t>
    </r>
    <r>
      <rPr>
        <sz val="11"/>
        <color indexed="8"/>
        <rFont val="Times New Roman"/>
        <family val="1"/>
      </rPr>
      <t>γ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indexed="8"/>
        <rFont val="Times New Roman"/>
        <family val="1"/>
      </rPr>
      <t xml:space="preserve"> + B.H</t>
    </r>
    <r>
      <rPr>
        <vertAlign val="subscript"/>
        <sz val="11"/>
        <color indexed="8"/>
        <rFont val="Times New Roman"/>
        <family val="1"/>
      </rPr>
      <t>m</t>
    </r>
    <r>
      <rPr>
        <sz val="11"/>
        <color indexed="8"/>
        <rFont val="Times New Roman"/>
        <family val="1"/>
      </rPr>
      <t>.γ'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indexed="8"/>
        <rFont val="Times New Roman"/>
        <family val="1"/>
      </rPr>
      <t xml:space="preserve"> + D.c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indexed="8"/>
        <rFont val="Times New Roman"/>
        <family val="1"/>
      </rPr>
      <t xml:space="preserve"> - γ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indexed="8"/>
        <rFont val="Times New Roman"/>
        <family val="1"/>
      </rPr>
      <t>.h</t>
    </r>
    <r>
      <rPr>
        <vertAlign val="subscript"/>
        <sz val="11"/>
        <color indexed="8"/>
        <rFont val="Times New Roman"/>
        <family val="1"/>
      </rPr>
      <t>o</t>
    </r>
    <r>
      <rPr>
        <sz val="11"/>
        <color indexed="8"/>
        <rFont val="Times New Roman"/>
        <family val="1"/>
      </rPr>
      <t>)</t>
    </r>
  </si>
  <si>
    <r>
      <t xml:space="preserve">Bảng C.1 TCVN 9362-2012 Hệ số </t>
    </r>
    <r>
      <rPr>
        <sz val="11"/>
        <color indexed="8"/>
        <rFont val="Times New Roman"/>
        <family val="1"/>
      </rPr>
      <t>α</t>
    </r>
  </si>
  <si>
    <r>
      <t>m</t>
    </r>
    <r>
      <rPr>
        <vertAlign val="subscript"/>
        <sz val="11"/>
        <color indexed="8"/>
        <rFont val="Times New Roman"/>
        <family val="1"/>
      </rPr>
      <t>1</t>
    </r>
    <r>
      <rPr>
        <sz val="11"/>
        <color theme="1"/>
        <rFont val="Times New Roman"/>
        <family val="1"/>
      </rPr>
      <t xml:space="preserve"> - Hệ số điều kiện làm việc của nền đất, lấy m</t>
    </r>
    <r>
      <rPr>
        <vertAlign val="subscript"/>
        <sz val="11"/>
        <color indexed="8"/>
        <rFont val="Times New Roman"/>
        <family val="1"/>
      </rPr>
      <t>1</t>
    </r>
    <r>
      <rPr>
        <sz val="11"/>
        <color theme="1"/>
        <rFont val="Times New Roman"/>
        <family val="1"/>
      </rPr>
      <t xml:space="preserve"> =</t>
    </r>
  </si>
  <si>
    <r>
      <t>m</t>
    </r>
    <r>
      <rPr>
        <vertAlign val="subscript"/>
        <sz val="11"/>
        <color indexed="8"/>
        <rFont val="Times New Roman"/>
        <family val="1"/>
      </rPr>
      <t>2</t>
    </r>
    <r>
      <rPr>
        <sz val="11"/>
        <color theme="1"/>
        <rFont val="Times New Roman"/>
        <family val="1"/>
      </rPr>
      <t xml:space="preserve"> - Hệ số điều kiện làm việc của công trình có tác dụng qua lại với nền, m</t>
    </r>
    <r>
      <rPr>
        <vertAlign val="subscript"/>
        <sz val="11"/>
        <color indexed="8"/>
        <rFont val="Times New Roman"/>
        <family val="1"/>
      </rPr>
      <t>2</t>
    </r>
    <r>
      <rPr>
        <sz val="11"/>
        <color theme="1"/>
        <rFont val="Times New Roman"/>
        <family val="1"/>
      </rPr>
      <t>=</t>
    </r>
  </si>
  <si>
    <r>
      <t>k</t>
    </r>
    <r>
      <rPr>
        <vertAlign val="subscript"/>
        <sz val="11"/>
        <color indexed="8"/>
        <rFont val="Times New Roman"/>
        <family val="1"/>
      </rPr>
      <t>tc</t>
    </r>
    <r>
      <rPr>
        <sz val="11"/>
        <color theme="1"/>
        <rFont val="Times New Roman"/>
        <family val="1"/>
      </rPr>
      <t xml:space="preserve"> - Hệ số độ tin cậy k</t>
    </r>
    <r>
      <rPr>
        <vertAlign val="subscript"/>
        <sz val="11"/>
        <color indexed="8"/>
        <rFont val="Times New Roman"/>
        <family val="1"/>
      </rPr>
      <t>tc</t>
    </r>
    <r>
      <rPr>
        <sz val="11"/>
        <color theme="1"/>
        <rFont val="Times New Roman"/>
        <family val="1"/>
      </rPr>
      <t xml:space="preserve"> = </t>
    </r>
  </si>
  <si>
    <r>
      <t>γ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indexed="8"/>
        <rFont val="Times New Roman"/>
        <family val="1"/>
      </rPr>
      <t xml:space="preserve"> - trọng lượng thể tích đất nằm dưới đáy móng,   γ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indexed="8"/>
        <rFont val="Times New Roman"/>
        <family val="1"/>
      </rPr>
      <t>=</t>
    </r>
  </si>
  <si>
    <r>
      <t>kN/m</t>
    </r>
    <r>
      <rPr>
        <vertAlign val="superscript"/>
        <sz val="11"/>
        <color indexed="8"/>
        <rFont val="Times New Roman"/>
        <family val="1"/>
      </rPr>
      <t>3</t>
    </r>
  </si>
  <si>
    <r>
      <t>γ'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indexed="8"/>
        <rFont val="Times New Roman"/>
        <family val="1"/>
      </rPr>
      <t xml:space="preserve"> - giá trị trung bình của trọng lượng thể tích đất nằm trên độ sâu đặt móng:</t>
    </r>
  </si>
  <si>
    <r>
      <t>γ'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indexed="8"/>
        <rFont val="Times New Roman"/>
        <family val="1"/>
      </rPr>
      <t xml:space="preserve"> =</t>
    </r>
  </si>
  <si>
    <r>
      <t>c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theme="1"/>
        <rFont val="Times New Roman"/>
        <family val="1"/>
      </rPr>
      <t xml:space="preserve"> - giá trị tính toán của lực dính đơn vị của đất nằm trực tiếp dưới đáy móng (lớp số</t>
    </r>
  </si>
  <si>
    <r>
      <t>c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theme="1"/>
        <rFont val="Times New Roman"/>
        <family val="1"/>
      </rPr>
      <t xml:space="preserve"> =</t>
    </r>
  </si>
  <si>
    <r>
      <t>kG/cm</t>
    </r>
    <r>
      <rPr>
        <vertAlign val="superscript"/>
        <sz val="11"/>
        <color indexed="8"/>
        <rFont val="Times New Roman"/>
        <family val="1"/>
      </rPr>
      <t>2</t>
    </r>
    <r>
      <rPr>
        <sz val="11"/>
        <color indexed="8"/>
        <rFont val="Times New Roman"/>
        <family val="1"/>
      </rPr>
      <t xml:space="preserve"> =</t>
    </r>
  </si>
  <si>
    <r>
      <t>kN/m</t>
    </r>
    <r>
      <rPr>
        <vertAlign val="superscript"/>
        <sz val="11"/>
        <color indexed="8"/>
        <rFont val="Times New Roman"/>
        <family val="1"/>
      </rPr>
      <t>2</t>
    </r>
  </si>
  <si>
    <r>
      <t>h</t>
    </r>
    <r>
      <rPr>
        <vertAlign val="subscript"/>
        <sz val="11"/>
        <color indexed="8"/>
        <rFont val="Times New Roman"/>
        <family val="1"/>
      </rPr>
      <t>o</t>
    </r>
    <r>
      <rPr>
        <sz val="11"/>
        <color theme="1"/>
        <rFont val="Times New Roman"/>
        <family val="1"/>
      </rPr>
      <t xml:space="preserve"> - chiều sâu đến nền tầng hầm; h</t>
    </r>
    <r>
      <rPr>
        <vertAlign val="subscript"/>
        <sz val="11"/>
        <color indexed="8"/>
        <rFont val="Times New Roman"/>
        <family val="1"/>
      </rPr>
      <t>o</t>
    </r>
    <r>
      <rPr>
        <sz val="11"/>
        <color theme="1"/>
        <rFont val="Times New Roman"/>
        <family val="1"/>
      </rPr>
      <t xml:space="preserve"> =</t>
    </r>
  </si>
  <si>
    <r>
      <t xml:space="preserve">A, B, D - hệ số phụ thuộc vào trị tính toán của góc ma sát trong </t>
    </r>
    <r>
      <rPr>
        <sz val="11"/>
        <color indexed="8"/>
        <rFont val="Times New Roman"/>
        <family val="1"/>
      </rPr>
      <t>φ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indexed="8"/>
        <rFont val="Times New Roman"/>
        <family val="1"/>
      </rPr>
      <t xml:space="preserve"> =</t>
    </r>
  </si>
  <si>
    <r>
      <rPr>
        <sz val="11"/>
        <color indexed="8"/>
        <rFont val="Times New Roman"/>
        <family val="1"/>
      </rPr>
      <t>→ R =</t>
    </r>
  </si>
  <si>
    <r>
      <t>T/m</t>
    </r>
    <r>
      <rPr>
        <vertAlign val="superscript"/>
        <sz val="11"/>
        <color indexed="8"/>
        <rFont val="Times New Roman"/>
        <family val="1"/>
      </rPr>
      <t>2</t>
    </r>
  </si>
  <si>
    <r>
      <t xml:space="preserve">Diện tích sơ bộ đáy móng </t>
    </r>
    <r>
      <rPr>
        <sz val="11"/>
        <color indexed="8"/>
        <rFont val="Times New Roman"/>
        <family val="1"/>
      </rPr>
      <t>≥ F</t>
    </r>
    <r>
      <rPr>
        <vertAlign val="subscript"/>
        <sz val="11"/>
        <color indexed="8"/>
        <rFont val="Times New Roman"/>
        <family val="1"/>
      </rPr>
      <t>min</t>
    </r>
    <r>
      <rPr>
        <sz val="11"/>
        <color indexed="8"/>
        <rFont val="Times New Roman"/>
        <family val="1"/>
      </rPr>
      <t xml:space="preserve"> = N / (R-γ</t>
    </r>
    <r>
      <rPr>
        <vertAlign val="subscript"/>
        <sz val="11"/>
        <color indexed="8"/>
        <rFont val="Times New Roman"/>
        <family val="1"/>
      </rPr>
      <t>tb</t>
    </r>
    <r>
      <rPr>
        <sz val="11"/>
        <color indexed="8"/>
        <rFont val="Times New Roman"/>
        <family val="1"/>
      </rPr>
      <t>.H</t>
    </r>
    <r>
      <rPr>
        <vertAlign val="subscript"/>
        <sz val="11"/>
        <color indexed="8"/>
        <rFont val="Times New Roman"/>
        <family val="1"/>
      </rPr>
      <t>m</t>
    </r>
    <r>
      <rPr>
        <sz val="11"/>
        <color indexed="8"/>
        <rFont val="Times New Roman"/>
        <family val="1"/>
      </rPr>
      <t>), với γ</t>
    </r>
    <r>
      <rPr>
        <vertAlign val="subscript"/>
        <sz val="11"/>
        <color indexed="8"/>
        <rFont val="Times New Roman"/>
        <family val="1"/>
      </rPr>
      <t>tb</t>
    </r>
    <r>
      <rPr>
        <sz val="11"/>
        <color indexed="8"/>
        <rFont val="Times New Roman"/>
        <family val="1"/>
      </rPr>
      <t xml:space="preserve"> = 20kN/m</t>
    </r>
    <r>
      <rPr>
        <vertAlign val="superscript"/>
        <sz val="11"/>
        <color indexed="8"/>
        <rFont val="Times New Roman"/>
        <family val="1"/>
      </rPr>
      <t>3</t>
    </r>
    <r>
      <rPr>
        <sz val="11"/>
        <color indexed="8"/>
        <rFont val="Times New Roman"/>
        <family val="1"/>
      </rPr>
      <t xml:space="preserve"> là trọng lượng trung bình của</t>
    </r>
  </si>
  <si>
    <r>
      <t>→</t>
    </r>
    <r>
      <rPr>
        <sz val="11"/>
        <color indexed="8"/>
        <rFont val="Times New Roman"/>
        <family val="1"/>
      </rPr>
      <t>F</t>
    </r>
    <r>
      <rPr>
        <vertAlign val="subscript"/>
        <sz val="11"/>
        <color indexed="8"/>
        <rFont val="Times New Roman"/>
        <family val="1"/>
      </rPr>
      <t>min</t>
    </r>
    <r>
      <rPr>
        <sz val="11"/>
        <color indexed="8"/>
        <rFont val="Times New Roman"/>
        <family val="1"/>
      </rPr>
      <t xml:space="preserve"> =</t>
    </r>
  </si>
  <si>
    <r>
      <t>m</t>
    </r>
    <r>
      <rPr>
        <vertAlign val="superscript"/>
        <sz val="11"/>
        <color indexed="8"/>
        <rFont val="Times New Roman"/>
        <family val="1"/>
      </rPr>
      <t>2</t>
    </r>
  </si>
  <si>
    <r>
      <t>p</t>
    </r>
    <r>
      <rPr>
        <vertAlign val="subscript"/>
        <sz val="11"/>
        <color indexed="8"/>
        <rFont val="Times New Roman"/>
        <family val="1"/>
      </rPr>
      <t>max</t>
    </r>
    <r>
      <rPr>
        <sz val="11"/>
        <color theme="1"/>
        <rFont val="Times New Roman"/>
        <family val="1"/>
      </rPr>
      <t xml:space="preserve"> =</t>
    </r>
  </si>
  <si>
    <r>
      <t>p</t>
    </r>
    <r>
      <rPr>
        <vertAlign val="subscript"/>
        <sz val="11"/>
        <color indexed="8"/>
        <rFont val="Times New Roman"/>
        <family val="1"/>
      </rPr>
      <t>min</t>
    </r>
    <r>
      <rPr>
        <sz val="11"/>
        <color theme="1"/>
        <rFont val="Times New Roman"/>
        <family val="1"/>
      </rPr>
      <t xml:space="preserve"> =</t>
    </r>
  </si>
  <si>
    <r>
      <t>p = (p</t>
    </r>
    <r>
      <rPr>
        <vertAlign val="subscript"/>
        <sz val="11"/>
        <color indexed="8"/>
        <rFont val="Times New Roman"/>
        <family val="1"/>
      </rPr>
      <t>max</t>
    </r>
    <r>
      <rPr>
        <sz val="11"/>
        <color theme="1"/>
        <rFont val="Times New Roman"/>
        <family val="1"/>
      </rPr>
      <t>+p</t>
    </r>
    <r>
      <rPr>
        <vertAlign val="subscript"/>
        <sz val="11"/>
        <color indexed="8"/>
        <rFont val="Times New Roman"/>
        <family val="1"/>
      </rPr>
      <t>min</t>
    </r>
    <r>
      <rPr>
        <sz val="11"/>
        <color theme="1"/>
        <rFont val="Times New Roman"/>
        <family val="1"/>
      </rPr>
      <t>)/2 =</t>
    </r>
  </si>
  <si>
    <r>
      <t>Q</t>
    </r>
    <r>
      <rPr>
        <vertAlign val="subscript"/>
        <sz val="11"/>
        <color theme="1"/>
        <rFont val="Times New Roman"/>
        <family val="1"/>
      </rPr>
      <t>A</t>
    </r>
  </si>
  <si>
    <r>
      <t>M</t>
    </r>
    <r>
      <rPr>
        <vertAlign val="subscript"/>
        <sz val="11"/>
        <color indexed="8"/>
        <rFont val="Times New Roman"/>
        <family val="1"/>
      </rPr>
      <t>2</t>
    </r>
  </si>
  <si>
    <r>
      <t>p</t>
    </r>
    <r>
      <rPr>
        <vertAlign val="subscript"/>
        <sz val="11"/>
        <color indexed="8"/>
        <rFont val="Times New Roman"/>
        <family val="1"/>
      </rPr>
      <t>max</t>
    </r>
  </si>
  <si>
    <r>
      <t>E</t>
    </r>
    <r>
      <rPr>
        <vertAlign val="subscript"/>
        <sz val="11"/>
        <rFont val="Times New Roman"/>
        <family val="1"/>
      </rPr>
      <t>oi</t>
    </r>
    <r>
      <rPr>
        <sz val="11"/>
        <rFont val="Times New Roman"/>
        <family val="1"/>
      </rPr>
      <t xml:space="preserve"> - Module biến dạng của lớp đất thứ i</t>
    </r>
  </si>
  <si>
    <r>
      <t>p</t>
    </r>
    <r>
      <rPr>
        <vertAlign val="subscript"/>
        <sz val="11"/>
        <rFont val="Times New Roman"/>
        <family val="1"/>
      </rPr>
      <t>oz</t>
    </r>
    <r>
      <rPr>
        <sz val="11"/>
        <rFont val="Times New Roman"/>
        <family val="1"/>
      </rPr>
      <t xml:space="preserve"> -</t>
    </r>
  </si>
  <si>
    <r>
      <t>p</t>
    </r>
    <r>
      <rPr>
        <vertAlign val="subscript"/>
        <sz val="11"/>
        <rFont val="Times New Roman"/>
        <family val="1"/>
      </rPr>
      <t>oz</t>
    </r>
    <r>
      <rPr>
        <sz val="11"/>
        <rFont val="Times New Roman"/>
        <family val="1"/>
      </rPr>
      <t xml:space="preserve"> = α(p - p</t>
    </r>
    <r>
      <rPr>
        <vertAlign val="subscript"/>
        <sz val="11"/>
        <rFont val="Times New Roman"/>
        <family val="1"/>
      </rPr>
      <t>đ</t>
    </r>
    <r>
      <rPr>
        <sz val="11"/>
        <rFont val="Times New Roman"/>
        <family val="1"/>
      </rPr>
      <t>) = αp</t>
    </r>
    <r>
      <rPr>
        <vertAlign val="subscript"/>
        <sz val="11"/>
        <rFont val="Times New Roman"/>
        <family val="1"/>
      </rPr>
      <t>o</t>
    </r>
  </si>
  <si>
    <r>
      <t>p</t>
    </r>
    <r>
      <rPr>
        <vertAlign val="subscript"/>
        <sz val="11"/>
        <rFont val="Times New Roman"/>
        <family val="1"/>
      </rPr>
      <t>đz</t>
    </r>
    <r>
      <rPr>
        <sz val="11"/>
        <rFont val="Times New Roman"/>
        <family val="1"/>
      </rPr>
      <t xml:space="preserve"> -</t>
    </r>
  </si>
  <si>
    <r>
      <t>p</t>
    </r>
    <r>
      <rPr>
        <vertAlign val="subscript"/>
        <sz val="11"/>
        <rFont val="Times New Roman"/>
        <family val="1"/>
      </rPr>
      <t>đ</t>
    </r>
    <r>
      <rPr>
        <sz val="11"/>
        <rFont val="Times New Roman"/>
        <family val="1"/>
      </rPr>
      <t xml:space="preserve"> -</t>
    </r>
  </si>
  <si>
    <r>
      <t>p</t>
    </r>
    <r>
      <rPr>
        <vertAlign val="subscript"/>
        <sz val="11"/>
        <rFont val="Times New Roman"/>
        <family val="1"/>
      </rPr>
      <t>đ</t>
    </r>
    <r>
      <rPr>
        <sz val="11"/>
        <rFont val="Times New Roman"/>
        <family val="1"/>
      </rPr>
      <t xml:space="preserve"> =</t>
    </r>
  </si>
  <si>
    <r>
      <t>p</t>
    </r>
    <r>
      <rPr>
        <vertAlign val="subscript"/>
        <sz val="11"/>
        <rFont val="Times New Roman"/>
        <family val="1"/>
      </rPr>
      <t>o</t>
    </r>
    <r>
      <rPr>
        <sz val="11"/>
        <rFont val="Times New Roman"/>
        <family val="1"/>
      </rPr>
      <t xml:space="preserve"> -</t>
    </r>
  </si>
  <si>
    <r>
      <t>Áp lực thêm trong đất ở độ sâu đáy móng (z=0):         p</t>
    </r>
    <r>
      <rPr>
        <vertAlign val="subscript"/>
        <sz val="11"/>
        <rFont val="Times New Roman"/>
        <family val="1"/>
      </rPr>
      <t>o</t>
    </r>
    <r>
      <rPr>
        <sz val="11"/>
        <rFont val="Times New Roman"/>
        <family val="1"/>
      </rPr>
      <t xml:space="preserve"> = p - p</t>
    </r>
    <r>
      <rPr>
        <vertAlign val="subscript"/>
        <sz val="11"/>
        <rFont val="Times New Roman"/>
        <family val="1"/>
      </rPr>
      <t>đ</t>
    </r>
    <r>
      <rPr>
        <sz val="11"/>
        <rFont val="Times New Roman"/>
        <family val="1"/>
      </rPr>
      <t xml:space="preserve"> =</t>
    </r>
  </si>
  <si>
    <r>
      <t>p</t>
    </r>
    <r>
      <rPr>
        <b/>
        <vertAlign val="subscript"/>
        <sz val="11"/>
        <rFont val="Times New Roman"/>
        <family val="1"/>
      </rPr>
      <t>đz</t>
    </r>
  </si>
  <si>
    <r>
      <t>p</t>
    </r>
    <r>
      <rPr>
        <b/>
        <vertAlign val="subscript"/>
        <sz val="11"/>
        <rFont val="Times New Roman"/>
        <family val="1"/>
      </rPr>
      <t>oz</t>
    </r>
  </si>
  <si>
    <r>
      <t>E</t>
    </r>
    <r>
      <rPr>
        <b/>
        <vertAlign val="subscript"/>
        <sz val="11"/>
        <rFont val="Times New Roman"/>
        <family val="1"/>
      </rPr>
      <t>oi</t>
    </r>
  </si>
  <si>
    <r>
      <t>S</t>
    </r>
    <r>
      <rPr>
        <b/>
        <vertAlign val="subscript"/>
        <sz val="11"/>
        <rFont val="Times New Roman"/>
        <family val="1"/>
      </rPr>
      <t>i</t>
    </r>
  </si>
  <si>
    <r>
      <t>γ</t>
    </r>
    <r>
      <rPr>
        <vertAlign val="subscript"/>
        <sz val="11"/>
        <rFont val="Times New Roman"/>
        <family val="1"/>
      </rPr>
      <t>i</t>
    </r>
    <r>
      <rPr>
        <sz val="11"/>
        <rFont val="Times New Roman"/>
        <family val="1"/>
      </rPr>
      <t>h</t>
    </r>
    <r>
      <rPr>
        <vertAlign val="subscript"/>
        <sz val="11"/>
        <rFont val="Times New Roman"/>
        <family val="1"/>
      </rPr>
      <t>i</t>
    </r>
  </si>
  <si>
    <r>
      <t xml:space="preserve">đáy móng, </t>
    </r>
    <r>
      <rPr>
        <sz val="11"/>
        <rFont val="Times New Roman"/>
        <family val="1"/>
      </rPr>
      <t>m</t>
    </r>
  </si>
  <si>
    <r>
      <t>h</t>
    </r>
    <r>
      <rPr>
        <b/>
        <vertAlign val="subscript"/>
        <sz val="11"/>
        <rFont val="Times New Roman"/>
        <family val="1"/>
      </rPr>
      <t>i</t>
    </r>
    <r>
      <rPr>
        <b/>
        <sz val="11"/>
        <rFont val="Times New Roman"/>
        <family val="1"/>
      </rPr>
      <t xml:space="preserve">, </t>
    </r>
    <r>
      <rPr>
        <sz val="11"/>
        <rFont val="Times New Roman"/>
        <family val="1"/>
      </rPr>
      <t>m</t>
    </r>
  </si>
  <si>
    <r>
      <t xml:space="preserve">thực, </t>
    </r>
    <r>
      <rPr>
        <sz val="11"/>
        <rFont val="Times New Roman"/>
        <family val="1"/>
      </rPr>
      <t>m</t>
    </r>
  </si>
  <si>
    <r>
      <t>T/m</t>
    </r>
    <r>
      <rPr>
        <vertAlign val="superscript"/>
        <sz val="11"/>
        <rFont val="Times New Roman"/>
        <family val="1"/>
      </rPr>
      <t>2</t>
    </r>
  </si>
  <si>
    <r>
      <t>kG/cm</t>
    </r>
    <r>
      <rPr>
        <vertAlign val="superscript"/>
        <sz val="11"/>
        <rFont val="Times New Roman"/>
        <family val="1"/>
      </rPr>
      <t>2</t>
    </r>
  </si>
  <si>
    <r>
      <t>T/m</t>
    </r>
    <r>
      <rPr>
        <vertAlign val="superscript"/>
        <sz val="11"/>
        <rFont val="Times New Roman"/>
        <family val="1"/>
      </rPr>
      <t>3</t>
    </r>
  </si>
  <si>
    <r>
      <t>p</t>
    </r>
    <r>
      <rPr>
        <vertAlign val="subscript"/>
        <sz val="11"/>
        <rFont val="Times New Roman"/>
        <family val="1"/>
      </rPr>
      <t>đz</t>
    </r>
    <r>
      <rPr>
        <sz val="11"/>
        <rFont val="Times New Roman"/>
        <family val="1"/>
      </rPr>
      <t xml:space="preserve"> &gt;</t>
    </r>
  </si>
  <si>
    <r>
      <t>p</t>
    </r>
    <r>
      <rPr>
        <vertAlign val="subscript"/>
        <sz val="11"/>
        <color theme="1"/>
        <rFont val="Times New Roman"/>
        <family val="1"/>
      </rPr>
      <t>oz</t>
    </r>
  </si>
  <si>
    <r>
      <t>Độ lún dự báo là :    S = ∑S</t>
    </r>
    <r>
      <rPr>
        <vertAlign val="subscript"/>
        <sz val="11"/>
        <rFont val="Times New Roman"/>
        <family val="1"/>
      </rPr>
      <t>i</t>
    </r>
    <r>
      <rPr>
        <sz val="11"/>
        <rFont val="Times New Roman"/>
        <family val="1"/>
      </rPr>
      <t xml:space="preserve"> =</t>
    </r>
  </si>
  <si>
    <r>
      <t>S</t>
    </r>
    <r>
      <rPr>
        <vertAlign val="subscript"/>
        <sz val="11"/>
        <rFont val="Times New Roman"/>
        <family val="1"/>
      </rPr>
      <t>gh</t>
    </r>
    <r>
      <rPr>
        <sz val="11"/>
        <rFont val="Times New Roman"/>
        <family val="1"/>
      </rPr>
      <t xml:space="preserve"> =</t>
    </r>
  </si>
  <si>
    <r>
      <t>p</t>
    </r>
    <r>
      <rPr>
        <vertAlign val="subscript"/>
        <sz val="11"/>
        <color theme="1"/>
        <rFont val="Times New Roman"/>
        <family val="1"/>
      </rPr>
      <t>o</t>
    </r>
    <r>
      <rPr>
        <sz val="11"/>
        <color theme="1"/>
        <rFont val="Times New Roman"/>
        <family val="1"/>
      </rPr>
      <t xml:space="preserve"> = p - p</t>
    </r>
    <r>
      <rPr>
        <vertAlign val="subscript"/>
        <sz val="11"/>
        <color theme="1"/>
        <rFont val="Times New Roman"/>
        <family val="1"/>
      </rPr>
      <t>đ</t>
    </r>
    <r>
      <rPr>
        <sz val="11"/>
        <color theme="1"/>
        <rFont val="Times New Roman"/>
        <family val="1"/>
      </rPr>
      <t xml:space="preserve"> =</t>
    </r>
  </si>
  <si>
    <r>
      <t>α</t>
    </r>
    <r>
      <rPr>
        <vertAlign val="subscript"/>
        <sz val="11"/>
        <rFont val="Times New Roman"/>
        <family val="1"/>
      </rPr>
      <t>1</t>
    </r>
    <r>
      <rPr>
        <sz val="11"/>
        <rFont val="Times New Roman"/>
        <family val="1"/>
      </rPr>
      <t xml:space="preserve"> -</t>
    </r>
  </si>
  <si>
    <r>
      <t>α</t>
    </r>
    <r>
      <rPr>
        <b/>
        <vertAlign val="subscript"/>
        <sz val="11"/>
        <rFont val="Times New Roman"/>
        <family val="1"/>
      </rPr>
      <t>1(1-2)</t>
    </r>
  </si>
  <si>
    <r>
      <t>p</t>
    </r>
    <r>
      <rPr>
        <b/>
        <vertAlign val="superscript"/>
        <sz val="11"/>
        <rFont val="Times New Roman"/>
        <family val="1"/>
      </rPr>
      <t>g</t>
    </r>
    <r>
      <rPr>
        <b/>
        <vertAlign val="subscript"/>
        <sz val="11"/>
        <rFont val="Times New Roman"/>
        <family val="1"/>
      </rPr>
      <t>oz</t>
    </r>
  </si>
  <si>
    <r>
      <t>m</t>
    </r>
    <r>
      <rPr>
        <vertAlign val="subscript"/>
        <sz val="11"/>
        <color theme="1"/>
        <rFont val="Times New Roman"/>
        <family val="1"/>
      </rPr>
      <t>1</t>
    </r>
    <r>
      <rPr>
        <sz val="11"/>
        <color theme="1"/>
        <rFont val="Times New Roman"/>
        <family val="1"/>
      </rPr>
      <t xml:space="preserve"> = z/b</t>
    </r>
  </si>
  <si>
    <r>
      <t>α</t>
    </r>
    <r>
      <rPr>
        <vertAlign val="subscript"/>
        <sz val="11"/>
        <color theme="1"/>
        <rFont val="Times New Roman"/>
        <family val="1"/>
      </rPr>
      <t>1(1)</t>
    </r>
  </si>
  <si>
    <r>
      <t>α</t>
    </r>
    <r>
      <rPr>
        <vertAlign val="subscript"/>
        <sz val="11"/>
        <color theme="1"/>
        <rFont val="Times New Roman"/>
        <family val="1"/>
      </rPr>
      <t>1(2)</t>
    </r>
  </si>
  <si>
    <r>
      <t>p</t>
    </r>
    <r>
      <rPr>
        <vertAlign val="superscript"/>
        <sz val="11"/>
        <color theme="1"/>
        <rFont val="Times New Roman"/>
        <family val="1"/>
      </rPr>
      <t>g</t>
    </r>
    <r>
      <rPr>
        <vertAlign val="subscript"/>
        <sz val="11"/>
        <color theme="1"/>
        <rFont val="Times New Roman"/>
        <family val="1"/>
      </rPr>
      <t>oz</t>
    </r>
  </si>
  <si>
    <r>
      <t>Độ lún dự báo là :    S</t>
    </r>
    <r>
      <rPr>
        <vertAlign val="subscript"/>
        <sz val="11"/>
        <rFont val="Times New Roman"/>
        <family val="1"/>
      </rPr>
      <t>ah</t>
    </r>
    <r>
      <rPr>
        <sz val="11"/>
        <rFont val="Times New Roman"/>
        <family val="1"/>
      </rPr>
      <t xml:space="preserve"> = ∑S</t>
    </r>
    <r>
      <rPr>
        <vertAlign val="subscript"/>
        <sz val="11"/>
        <rFont val="Times New Roman"/>
        <family val="1"/>
      </rPr>
      <t>i</t>
    </r>
    <r>
      <rPr>
        <sz val="11"/>
        <rFont val="Times New Roman"/>
        <family val="1"/>
      </rPr>
      <t xml:space="preserve"> =</t>
    </r>
  </si>
  <si>
    <r>
      <t>S + 2S</t>
    </r>
    <r>
      <rPr>
        <vertAlign val="subscript"/>
        <sz val="11"/>
        <rFont val="Times New Roman"/>
        <family val="1"/>
      </rPr>
      <t>ah</t>
    </r>
    <r>
      <rPr>
        <sz val="11"/>
        <rFont val="Times New Roman"/>
        <family val="1"/>
      </rPr>
      <t xml:space="preserve"> =</t>
    </r>
  </si>
  <si>
    <r>
      <t>Chiều cao    h</t>
    </r>
    <r>
      <rPr>
        <vertAlign val="subscript"/>
        <sz val="11"/>
        <color theme="1"/>
        <rFont val="Times New Roman"/>
        <family val="1"/>
      </rPr>
      <t>c</t>
    </r>
    <r>
      <rPr>
        <sz val="11"/>
        <color theme="1"/>
        <rFont val="Times New Roman"/>
        <family val="1"/>
      </rPr>
      <t xml:space="preserve"> =</t>
    </r>
  </si>
  <si>
    <r>
      <t>Chiều rộng   b</t>
    </r>
    <r>
      <rPr>
        <vertAlign val="subscript"/>
        <sz val="11"/>
        <color theme="1"/>
        <rFont val="Times New Roman"/>
        <family val="1"/>
      </rPr>
      <t>c</t>
    </r>
    <r>
      <rPr>
        <sz val="11"/>
        <color theme="1"/>
        <rFont val="Times New Roman"/>
        <family val="1"/>
      </rPr>
      <t xml:space="preserve"> =</t>
    </r>
  </si>
  <si>
    <r>
      <t>Chiều cao móng h</t>
    </r>
    <r>
      <rPr>
        <vertAlign val="subscript"/>
        <sz val="11"/>
        <color indexed="8"/>
        <rFont val="Times New Roman"/>
        <family val="1"/>
      </rPr>
      <t>m</t>
    </r>
    <r>
      <rPr>
        <sz val="11"/>
        <color theme="1"/>
        <rFont val="Times New Roman"/>
        <family val="1"/>
      </rPr>
      <t xml:space="preserve"> =</t>
    </r>
  </si>
  <si>
    <r>
      <t>Bề rộng móng b</t>
    </r>
    <r>
      <rPr>
        <vertAlign val="subscript"/>
        <sz val="11"/>
        <color indexed="8"/>
        <rFont val="Times New Roman"/>
        <family val="1"/>
      </rPr>
      <t>m</t>
    </r>
    <r>
      <rPr>
        <sz val="11"/>
        <color theme="1"/>
        <rFont val="Times New Roman"/>
        <family val="1"/>
      </rPr>
      <t xml:space="preserve"> =</t>
    </r>
  </si>
  <si>
    <r>
      <t>Q</t>
    </r>
    <r>
      <rPr>
        <vertAlign val="subscript"/>
        <sz val="11"/>
        <color indexed="8"/>
        <rFont val="Times New Roman"/>
        <family val="1"/>
      </rPr>
      <t>A</t>
    </r>
    <r>
      <rPr>
        <sz val="11"/>
        <color theme="1"/>
        <rFont val="Times New Roman"/>
        <family val="1"/>
      </rPr>
      <t xml:space="preserve"> </t>
    </r>
    <r>
      <rPr>
        <sz val="11"/>
        <color indexed="8"/>
        <rFont val="Times New Roman"/>
        <family val="1"/>
      </rPr>
      <t>≤ Q</t>
    </r>
    <r>
      <rPr>
        <vertAlign val="subscript"/>
        <sz val="11"/>
        <color indexed="8"/>
        <rFont val="Times New Roman"/>
        <family val="1"/>
      </rPr>
      <t>o</t>
    </r>
    <r>
      <rPr>
        <sz val="11"/>
        <color indexed="8"/>
        <rFont val="Times New Roman"/>
        <family val="1"/>
      </rPr>
      <t xml:space="preserve"> = 0,5bR</t>
    </r>
    <r>
      <rPr>
        <vertAlign val="subscript"/>
        <sz val="11"/>
        <color indexed="8"/>
        <rFont val="Times New Roman"/>
        <family val="1"/>
      </rPr>
      <t>bt</t>
    </r>
    <r>
      <rPr>
        <sz val="11"/>
        <color indexed="8"/>
        <rFont val="Times New Roman"/>
        <family val="1"/>
      </rPr>
      <t>h</t>
    </r>
    <r>
      <rPr>
        <vertAlign val="subscript"/>
        <sz val="11"/>
        <color indexed="8"/>
        <rFont val="Times New Roman"/>
        <family val="1"/>
      </rPr>
      <t>o</t>
    </r>
  </si>
  <si>
    <r>
      <t>h</t>
    </r>
    <r>
      <rPr>
        <vertAlign val="subscript"/>
        <sz val="11"/>
        <color indexed="8"/>
        <rFont val="Times New Roman"/>
        <family val="1"/>
      </rPr>
      <t>o</t>
    </r>
    <r>
      <rPr>
        <sz val="11"/>
        <color theme="1"/>
        <rFont val="Times New Roman"/>
        <family val="1"/>
      </rPr>
      <t xml:space="preserve"> =</t>
    </r>
  </si>
  <si>
    <r>
      <t>R</t>
    </r>
    <r>
      <rPr>
        <vertAlign val="subscript"/>
        <sz val="11"/>
        <color indexed="8"/>
        <rFont val="Times New Roman"/>
        <family val="1"/>
      </rPr>
      <t>bt</t>
    </r>
    <r>
      <rPr>
        <sz val="11"/>
        <color theme="1"/>
        <rFont val="Times New Roman"/>
        <family val="1"/>
      </rPr>
      <t xml:space="preserve"> - cường độ chịu kéo của bêtông R</t>
    </r>
    <r>
      <rPr>
        <vertAlign val="subscript"/>
        <sz val="11"/>
        <color indexed="8"/>
        <rFont val="Times New Roman"/>
        <family val="1"/>
      </rPr>
      <t>bt</t>
    </r>
    <r>
      <rPr>
        <sz val="11"/>
        <color theme="1"/>
        <rFont val="Times New Roman"/>
        <family val="1"/>
      </rPr>
      <t xml:space="preserve"> =</t>
    </r>
  </si>
  <si>
    <r>
      <t>kG/cm</t>
    </r>
    <r>
      <rPr>
        <vertAlign val="superscript"/>
        <sz val="11"/>
        <color indexed="8"/>
        <rFont val="Times New Roman"/>
        <family val="1"/>
      </rPr>
      <t>2</t>
    </r>
  </si>
  <si>
    <r>
      <t>Q</t>
    </r>
    <r>
      <rPr>
        <vertAlign val="subscript"/>
        <sz val="11"/>
        <color theme="1"/>
        <rFont val="Times New Roman"/>
        <family val="1"/>
      </rPr>
      <t>A</t>
    </r>
    <r>
      <rPr>
        <sz val="11"/>
        <color theme="1"/>
        <rFont val="Times New Roman"/>
        <family val="1"/>
      </rPr>
      <t xml:space="preserve"> = p</t>
    </r>
    <r>
      <rPr>
        <vertAlign val="subscript"/>
        <sz val="11"/>
        <color theme="1"/>
        <rFont val="Times New Roman"/>
        <family val="1"/>
      </rPr>
      <t>max</t>
    </r>
    <r>
      <rPr>
        <sz val="11"/>
        <color theme="1"/>
        <rFont val="Times New Roman"/>
        <family val="1"/>
      </rPr>
      <t>(l-h</t>
    </r>
    <r>
      <rPr>
        <vertAlign val="subscript"/>
        <sz val="11"/>
        <color theme="1"/>
        <rFont val="Times New Roman"/>
        <family val="1"/>
      </rPr>
      <t>c</t>
    </r>
    <r>
      <rPr>
        <sz val="11"/>
        <color theme="1"/>
        <rFont val="Times New Roman"/>
        <family val="1"/>
      </rPr>
      <t>)/2 =</t>
    </r>
  </si>
  <si>
    <r>
      <t>φ</t>
    </r>
    <r>
      <rPr>
        <vertAlign val="subscript"/>
        <sz val="11"/>
        <color theme="1"/>
        <rFont val="Times New Roman"/>
        <family val="1"/>
      </rPr>
      <t>b4</t>
    </r>
    <r>
      <rPr>
        <sz val="11"/>
        <color theme="1"/>
        <rFont val="Times New Roman"/>
        <family val="1"/>
      </rPr>
      <t xml:space="preserve"> =</t>
    </r>
  </si>
  <si>
    <r>
      <t>φ</t>
    </r>
    <r>
      <rPr>
        <vertAlign val="subscript"/>
        <sz val="11"/>
        <color theme="1"/>
        <rFont val="Times New Roman"/>
        <family val="1"/>
      </rPr>
      <t>n</t>
    </r>
    <r>
      <rPr>
        <sz val="11"/>
        <color theme="1"/>
        <rFont val="Times New Roman"/>
        <family val="1"/>
      </rPr>
      <t xml:space="preserve"> =</t>
    </r>
  </si>
  <si>
    <r>
      <t>→</t>
    </r>
    <r>
      <rPr>
        <sz val="11"/>
        <color indexed="8"/>
        <rFont val="Times New Roman"/>
        <family val="1"/>
      </rPr>
      <t xml:space="preserve"> Q</t>
    </r>
    <r>
      <rPr>
        <vertAlign val="subscript"/>
        <sz val="11"/>
        <color indexed="8"/>
        <rFont val="Times New Roman"/>
        <family val="1"/>
      </rPr>
      <t>o</t>
    </r>
    <r>
      <rPr>
        <sz val="11"/>
        <color indexed="8"/>
        <rFont val="Times New Roman"/>
        <family val="1"/>
      </rPr>
      <t xml:space="preserve"> =</t>
    </r>
  </si>
  <si>
    <r>
      <t>Q</t>
    </r>
    <r>
      <rPr>
        <vertAlign val="subscript"/>
        <sz val="11"/>
        <color indexed="8"/>
        <rFont val="Times New Roman"/>
        <family val="1"/>
      </rPr>
      <t>A</t>
    </r>
  </si>
  <si>
    <r>
      <t>Cường độ tính toán của cốt thép R</t>
    </r>
    <r>
      <rPr>
        <vertAlign val="subscript"/>
        <sz val="11"/>
        <color indexed="8"/>
        <rFont val="Times New Roman"/>
        <family val="1"/>
      </rPr>
      <t>s</t>
    </r>
    <r>
      <rPr>
        <sz val="11"/>
        <color theme="1"/>
        <rFont val="Times New Roman"/>
        <family val="1"/>
      </rPr>
      <t xml:space="preserve"> =</t>
    </r>
  </si>
  <si>
    <r>
      <t>cm</t>
    </r>
    <r>
      <rPr>
        <vertAlign val="superscript"/>
        <sz val="11"/>
        <color indexed="8"/>
        <rFont val="Times New Roman"/>
        <family val="1"/>
      </rPr>
      <t>2</t>
    </r>
    <r>
      <rPr>
        <sz val="11"/>
        <color theme="1"/>
        <rFont val="Times New Roman"/>
        <family val="1"/>
      </rPr>
      <t>/m</t>
    </r>
  </si>
  <si>
    <r>
      <t>A</t>
    </r>
    <r>
      <rPr>
        <vertAlign val="subscript"/>
        <sz val="11"/>
        <color theme="1"/>
        <rFont val="Times New Roman"/>
        <family val="1"/>
      </rPr>
      <t xml:space="preserve">s </t>
    </r>
    <r>
      <rPr>
        <sz val="11"/>
        <color theme="1"/>
        <rFont val="Times New Roman"/>
        <family val="1"/>
      </rPr>
      <t>chọn =</t>
    </r>
  </si>
  <si>
    <t>Hệ số α ứng với chiều sâu z: α =</t>
  </si>
  <si>
    <r>
      <t>Áp lực thêm trong đất ở chiều sâu z: p</t>
    </r>
    <r>
      <rPr>
        <vertAlign val="subscript"/>
        <sz val="11"/>
        <color theme="1"/>
        <rFont val="Times New Roman"/>
        <family val="1"/>
      </rPr>
      <t>oz</t>
    </r>
    <r>
      <rPr>
        <sz val="11"/>
        <color theme="1"/>
        <rFont val="Times New Roman"/>
        <family val="1"/>
      </rPr>
      <t xml:space="preserve"> =  αp</t>
    </r>
    <r>
      <rPr>
        <vertAlign val="subscript"/>
        <sz val="11"/>
        <color theme="1"/>
        <rFont val="Times New Roman"/>
        <family val="1"/>
      </rPr>
      <t>o</t>
    </r>
    <r>
      <rPr>
        <sz val="11"/>
        <color theme="1"/>
        <rFont val="Times New Roman"/>
        <family val="1"/>
      </rPr>
      <t xml:space="preserve"> =</t>
    </r>
  </si>
  <si>
    <r>
      <t>Áp lực thiên nhiên trong đất tại chiều sâu z: p</t>
    </r>
    <r>
      <rPr>
        <vertAlign val="subscript"/>
        <sz val="11"/>
        <color theme="1"/>
        <rFont val="Times New Roman"/>
        <family val="1"/>
      </rPr>
      <t>đ</t>
    </r>
    <r>
      <rPr>
        <vertAlign val="subscript"/>
        <sz val="11"/>
        <color indexed="8"/>
        <rFont val="Times New Roman"/>
        <family val="1"/>
      </rPr>
      <t>z</t>
    </r>
    <r>
      <rPr>
        <sz val="11"/>
        <color theme="1"/>
        <rFont val="Times New Roman"/>
        <family val="1"/>
      </rPr>
      <t>=</t>
    </r>
  </si>
  <si>
    <r>
      <t>R</t>
    </r>
    <r>
      <rPr>
        <vertAlign val="subscript"/>
        <sz val="11"/>
        <color indexed="8"/>
        <rFont val="Times New Roman"/>
        <family val="1"/>
      </rPr>
      <t>z</t>
    </r>
    <r>
      <rPr>
        <sz val="11"/>
        <color theme="1"/>
        <rFont val="Times New Roman"/>
        <family val="1"/>
      </rPr>
      <t xml:space="preserve"> = m</t>
    </r>
    <r>
      <rPr>
        <vertAlign val="subscript"/>
        <sz val="11"/>
        <color indexed="8"/>
        <rFont val="Times New Roman"/>
        <family val="1"/>
      </rPr>
      <t>1</t>
    </r>
    <r>
      <rPr>
        <sz val="11"/>
        <color theme="1"/>
        <rFont val="Times New Roman"/>
        <family val="1"/>
      </rPr>
      <t>.m</t>
    </r>
    <r>
      <rPr>
        <vertAlign val="subscript"/>
        <sz val="11"/>
        <color indexed="8"/>
        <rFont val="Times New Roman"/>
        <family val="1"/>
      </rPr>
      <t>2</t>
    </r>
    <r>
      <rPr>
        <sz val="11"/>
        <color theme="1"/>
        <rFont val="Times New Roman"/>
        <family val="1"/>
      </rPr>
      <t>/k</t>
    </r>
    <r>
      <rPr>
        <vertAlign val="subscript"/>
        <sz val="11"/>
        <color indexed="8"/>
        <rFont val="Times New Roman"/>
        <family val="1"/>
      </rPr>
      <t>tc</t>
    </r>
    <r>
      <rPr>
        <sz val="11"/>
        <color theme="1"/>
        <rFont val="Times New Roman"/>
        <family val="1"/>
      </rPr>
      <t xml:space="preserve"> (A.b</t>
    </r>
    <r>
      <rPr>
        <vertAlign val="subscript"/>
        <sz val="11"/>
        <color indexed="8"/>
        <rFont val="Times New Roman"/>
        <family val="1"/>
      </rPr>
      <t>z</t>
    </r>
    <r>
      <rPr>
        <sz val="11"/>
        <color theme="1"/>
        <rFont val="Times New Roman"/>
        <family val="1"/>
      </rPr>
      <t>.</t>
    </r>
    <r>
      <rPr>
        <sz val="11"/>
        <color indexed="8"/>
        <rFont val="Times New Roman"/>
        <family val="1"/>
      </rPr>
      <t>γ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indexed="8"/>
        <rFont val="Times New Roman"/>
        <family val="1"/>
      </rPr>
      <t xml:space="preserve"> + B.(H</t>
    </r>
    <r>
      <rPr>
        <vertAlign val="subscript"/>
        <sz val="11"/>
        <color indexed="8"/>
        <rFont val="Times New Roman"/>
        <family val="1"/>
      </rPr>
      <t>m</t>
    </r>
    <r>
      <rPr>
        <sz val="11"/>
        <color indexed="8"/>
        <rFont val="Times New Roman"/>
        <family val="1"/>
      </rPr>
      <t>+z).γ'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indexed="8"/>
        <rFont val="Times New Roman"/>
        <family val="1"/>
      </rPr>
      <t xml:space="preserve"> + D.c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indexed="8"/>
        <rFont val="Times New Roman"/>
        <family val="1"/>
      </rPr>
      <t xml:space="preserve"> - γ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indexed="8"/>
        <rFont val="Times New Roman"/>
        <family val="1"/>
      </rPr>
      <t>.h</t>
    </r>
    <r>
      <rPr>
        <vertAlign val="subscript"/>
        <sz val="11"/>
        <color indexed="8"/>
        <rFont val="Times New Roman"/>
        <family val="1"/>
      </rPr>
      <t>o</t>
    </r>
    <r>
      <rPr>
        <sz val="11"/>
        <color indexed="8"/>
        <rFont val="Times New Roman"/>
        <family val="1"/>
      </rPr>
      <t>)</t>
    </r>
  </si>
  <si>
    <r>
      <t>trong đó b</t>
    </r>
    <r>
      <rPr>
        <vertAlign val="subscript"/>
        <sz val="11"/>
        <color indexed="8"/>
        <rFont val="Times New Roman"/>
        <family val="1"/>
      </rPr>
      <t>z</t>
    </r>
    <r>
      <rPr>
        <sz val="11"/>
        <color theme="1"/>
        <rFont val="Times New Roman"/>
        <family val="1"/>
      </rPr>
      <t xml:space="preserve"> là chiều rộng móng quy ước:</t>
    </r>
  </si>
  <si>
    <r>
      <t>F</t>
    </r>
    <r>
      <rPr>
        <vertAlign val="subscript"/>
        <sz val="11"/>
        <color indexed="8"/>
        <rFont val="Times New Roman"/>
        <family val="1"/>
      </rPr>
      <t>z</t>
    </r>
    <r>
      <rPr>
        <sz val="11"/>
        <color theme="1"/>
        <rFont val="Times New Roman"/>
        <family val="1"/>
      </rPr>
      <t xml:space="preserve"> = p / p</t>
    </r>
    <r>
      <rPr>
        <vertAlign val="subscript"/>
        <sz val="11"/>
        <color indexed="8"/>
        <rFont val="Times New Roman"/>
        <family val="1"/>
      </rPr>
      <t>oz</t>
    </r>
    <r>
      <rPr>
        <sz val="11"/>
        <color theme="1"/>
        <rFont val="Times New Roman"/>
        <family val="1"/>
      </rPr>
      <t xml:space="preserve"> =</t>
    </r>
  </si>
  <si>
    <r>
      <rPr>
        <sz val="11"/>
        <color indexed="8"/>
        <rFont val="Times New Roman"/>
        <family val="1"/>
      </rPr>
      <t>φ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theme="1"/>
        <rFont val="Times New Roman"/>
        <family val="1"/>
      </rPr>
      <t xml:space="preserve"> =</t>
    </r>
  </si>
  <si>
    <r>
      <rPr>
        <sz val="11"/>
        <color indexed="8"/>
        <rFont val="Times New Roman"/>
        <family val="1"/>
      </rPr>
      <t>γ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theme="1"/>
        <rFont val="Times New Roman"/>
        <family val="1"/>
      </rPr>
      <t xml:space="preserve"> =</t>
    </r>
  </si>
  <si>
    <r>
      <t>γ'</t>
    </r>
    <r>
      <rPr>
        <vertAlign val="subscript"/>
        <sz val="11"/>
        <color indexed="8"/>
        <rFont val="Times New Roman"/>
        <family val="1"/>
      </rPr>
      <t>II</t>
    </r>
    <r>
      <rPr>
        <sz val="11"/>
        <color theme="1"/>
        <rFont val="Times New Roman"/>
        <family val="1"/>
      </rPr>
      <t xml:space="preserve"> =</t>
    </r>
  </si>
  <si>
    <r>
      <t>R</t>
    </r>
    <r>
      <rPr>
        <vertAlign val="subscript"/>
        <sz val="11"/>
        <color indexed="8"/>
        <rFont val="Times New Roman"/>
        <family val="1"/>
      </rPr>
      <t>z</t>
    </r>
    <r>
      <rPr>
        <sz val="11"/>
        <color theme="1"/>
        <rFont val="Times New Roman"/>
        <family val="1"/>
      </rPr>
      <t xml:space="preserve"> =</t>
    </r>
  </si>
  <si>
    <r>
      <t>p</t>
    </r>
    <r>
      <rPr>
        <vertAlign val="subscript"/>
        <sz val="11"/>
        <color indexed="8"/>
        <rFont val="Times New Roman"/>
        <family val="1"/>
      </rPr>
      <t>oz</t>
    </r>
    <r>
      <rPr>
        <sz val="11"/>
        <color theme="1"/>
        <rFont val="Times New Roman"/>
        <family val="1"/>
      </rPr>
      <t xml:space="preserve"> + p</t>
    </r>
    <r>
      <rPr>
        <vertAlign val="subscript"/>
        <sz val="11"/>
        <color indexed="8"/>
        <rFont val="Times New Roman"/>
        <family val="1"/>
      </rPr>
      <t>dz</t>
    </r>
    <r>
      <rPr>
        <sz val="11"/>
        <color theme="1"/>
        <rFont val="Times New Roman"/>
        <family val="1"/>
      </rPr>
      <t xml:space="preserve"> =</t>
    </r>
  </si>
  <si>
    <r>
      <t xml:space="preserve">hệ số tin cậy </t>
    </r>
    <r>
      <rPr>
        <i/>
        <sz val="11"/>
        <color theme="1"/>
        <rFont val="Times New Roman"/>
        <family val="1"/>
      </rPr>
      <t>k</t>
    </r>
    <r>
      <rPr>
        <i/>
        <vertAlign val="subscript"/>
        <sz val="11"/>
        <color theme="1"/>
        <rFont val="Times New Roman"/>
        <family val="1"/>
      </rPr>
      <t>tc</t>
    </r>
    <r>
      <rPr>
        <sz val="11"/>
        <color theme="1"/>
        <rFont val="Times New Roman"/>
        <family val="1"/>
      </rPr>
      <t xml:space="preserve"> không được nhỏ hơn 1,2.</t>
    </r>
  </si>
  <si>
    <r>
      <t>T</t>
    </r>
    <r>
      <rPr>
        <i/>
        <vertAlign val="subscript"/>
        <sz val="11"/>
        <color theme="1"/>
        <rFont val="Times New Roman"/>
        <family val="1"/>
      </rPr>
      <t>g</t>
    </r>
    <r>
      <rPr>
        <i/>
        <sz val="11"/>
        <color theme="1"/>
        <rFont val="Times New Roman"/>
        <family val="1"/>
      </rPr>
      <t>, T</t>
    </r>
    <r>
      <rPr>
        <i/>
        <vertAlign val="subscript"/>
        <sz val="11"/>
        <color theme="1"/>
        <rFont val="Times New Roman"/>
        <family val="1"/>
      </rPr>
      <t>t</t>
    </r>
    <r>
      <rPr>
        <i/>
        <sz val="11"/>
        <color theme="1"/>
        <rFont val="Times New Roman"/>
        <family val="1"/>
      </rPr>
      <t xml:space="preserve"> -</t>
    </r>
  </si>
  <si>
    <r>
      <t>∑T</t>
    </r>
    <r>
      <rPr>
        <vertAlign val="subscript"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 xml:space="preserve"> = R</t>
    </r>
    <r>
      <rPr>
        <vertAlign val="subscript"/>
        <sz val="11"/>
        <color theme="1"/>
        <rFont val="Times New Roman"/>
        <family val="1"/>
      </rPr>
      <t>đ</t>
    </r>
    <r>
      <rPr>
        <sz val="11"/>
        <color theme="1"/>
        <rFont val="Times New Roman"/>
        <family val="1"/>
      </rPr>
      <t xml:space="preserve"> + E</t>
    </r>
    <r>
      <rPr>
        <vertAlign val="subscript"/>
        <sz val="11"/>
        <color theme="1"/>
        <rFont val="Times New Roman"/>
        <family val="1"/>
      </rPr>
      <t>p</t>
    </r>
    <r>
      <rPr>
        <sz val="11"/>
        <color theme="1"/>
        <rFont val="Times New Roman"/>
        <family val="1"/>
      </rPr>
      <t>b =</t>
    </r>
  </si>
  <si>
    <r>
      <t>∑T</t>
    </r>
    <r>
      <rPr>
        <vertAlign val="subscript"/>
        <sz val="11"/>
        <color theme="1"/>
        <rFont val="Times New Roman"/>
        <family val="1"/>
      </rPr>
      <t>t</t>
    </r>
    <r>
      <rPr>
        <sz val="11"/>
        <color theme="1"/>
        <rFont val="Times New Roman"/>
        <family val="1"/>
      </rPr>
      <t xml:space="preserve"> = Q + E</t>
    </r>
    <r>
      <rPr>
        <vertAlign val="subscript"/>
        <sz val="11"/>
        <color theme="1"/>
        <rFont val="Times New Roman"/>
        <family val="1"/>
      </rPr>
      <t>a</t>
    </r>
    <r>
      <rPr>
        <sz val="11"/>
        <color theme="1"/>
        <rFont val="Times New Roman"/>
        <family val="1"/>
      </rPr>
      <t>b =</t>
    </r>
  </si>
  <si>
    <r>
      <t>E</t>
    </r>
    <r>
      <rPr>
        <i/>
        <vertAlign val="subscript"/>
        <sz val="11"/>
        <color theme="1"/>
        <rFont val="Times New Roman"/>
        <family val="1"/>
      </rPr>
      <t>a</t>
    </r>
    <r>
      <rPr>
        <i/>
        <sz val="11"/>
        <color theme="1"/>
        <rFont val="Times New Roman"/>
        <family val="1"/>
      </rPr>
      <t>, E</t>
    </r>
    <r>
      <rPr>
        <i/>
        <vertAlign val="subscript"/>
        <sz val="11"/>
        <color theme="1"/>
        <rFont val="Times New Roman"/>
        <family val="1"/>
      </rPr>
      <t>p</t>
    </r>
    <r>
      <rPr>
        <i/>
        <sz val="11"/>
        <color theme="1"/>
        <rFont val="Times New Roman"/>
        <family val="1"/>
      </rPr>
      <t xml:space="preserve"> -</t>
    </r>
  </si>
  <si>
    <r>
      <t>R</t>
    </r>
    <r>
      <rPr>
        <i/>
        <vertAlign val="subscript"/>
        <sz val="11"/>
        <color theme="1"/>
        <rFont val="Times New Roman"/>
        <family val="1"/>
      </rPr>
      <t>đ</t>
    </r>
    <r>
      <rPr>
        <i/>
        <sz val="11"/>
        <color theme="1"/>
        <rFont val="Times New Roman"/>
        <family val="1"/>
      </rPr>
      <t xml:space="preserve"> -</t>
    </r>
  </si>
  <si>
    <r>
      <t>R</t>
    </r>
    <r>
      <rPr>
        <vertAlign val="subscript"/>
        <sz val="11"/>
        <color theme="1"/>
        <rFont val="Times New Roman"/>
        <family val="1"/>
      </rPr>
      <t>đ</t>
    </r>
    <r>
      <rPr>
        <sz val="11"/>
        <color theme="1"/>
        <rFont val="Times New Roman"/>
        <family val="1"/>
      </rPr>
      <t xml:space="preserve"> = (</t>
    </r>
    <r>
      <rPr>
        <i/>
        <sz val="11"/>
        <color theme="1"/>
        <rFont val="Times New Roman"/>
        <family val="1"/>
      </rPr>
      <t>p</t>
    </r>
    <r>
      <rPr>
        <sz val="11"/>
        <color theme="1"/>
        <rFont val="Times New Roman"/>
        <family val="1"/>
      </rPr>
      <t>tg</t>
    </r>
    <r>
      <rPr>
        <i/>
        <sz val="11"/>
        <color theme="1"/>
        <rFont val="Times New Roman"/>
        <family val="1"/>
      </rPr>
      <t>φ + c</t>
    </r>
    <r>
      <rPr>
        <sz val="11"/>
        <color theme="1"/>
        <rFont val="Times New Roman"/>
        <family val="1"/>
      </rPr>
      <t>).b.l 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</si>
</sst>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"/>
    <numFmt numFmtId="166" formatCode="\Φ0"/>
    <numFmt numFmtId="167" formatCode="&quot;a&quot;0"/>
  </numFmts>
  <fonts count="37" x14ac:knownFonts="1">
    <font>
      <sz val="11"/>
      <color theme="1"/>
      <name val="Arial"/>
      <family val="2"/>
      <charset val="163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theme="1"/>
      <name val="Arial"/>
      <family val="2"/>
    </font>
    <font>
      <sz val="20"/>
      <color theme="1"/>
      <name val="Times New Roman"/>
      <family val="1"/>
    </font>
    <font>
      <sz val="11"/>
      <color theme="1"/>
      <name val="Times New Roman"/>
      <family val="1"/>
    </font>
    <font>
      <sz val="13"/>
      <color theme="1"/>
      <name val="Times New Roman"/>
      <family val="1"/>
    </font>
    <font>
      <sz val="11"/>
      <color rgb="FF0000FF"/>
      <name val="Times New Roman"/>
      <family val="1"/>
    </font>
    <font>
      <b/>
      <sz val="11"/>
      <color theme="1"/>
      <name val="Times New Roman"/>
      <family val="1"/>
    </font>
    <font>
      <vertAlign val="superscript"/>
      <sz val="11"/>
      <color indexed="8"/>
      <name val="Times New Roman"/>
      <family val="1"/>
    </font>
    <font>
      <b/>
      <vertAlign val="subscript"/>
      <sz val="11"/>
      <color indexed="8"/>
      <name val="Times New Roman"/>
      <family val="1"/>
    </font>
    <font>
      <sz val="11"/>
      <color indexed="8"/>
      <name val="Times New Roman"/>
      <family val="1"/>
    </font>
    <font>
      <vertAlign val="subscript"/>
      <sz val="11"/>
      <color indexed="8"/>
      <name val="Times New Roman"/>
      <family val="1"/>
    </font>
    <font>
      <b/>
      <sz val="11"/>
      <name val="Times New Roman"/>
      <family val="1"/>
    </font>
    <font>
      <b/>
      <sz val="11"/>
      <color rgb="FF0000FF"/>
      <name val="Times New Roman"/>
      <family val="1"/>
    </font>
    <font>
      <b/>
      <vertAlign val="subscript"/>
      <sz val="11"/>
      <name val="Times New Roman"/>
      <family val="1"/>
    </font>
    <font>
      <vertAlign val="superscript"/>
      <sz val="11"/>
      <name val="Times New Roman"/>
      <family val="1"/>
    </font>
    <font>
      <sz val="11"/>
      <color rgb="FFFF0000"/>
      <name val="Times New Roman"/>
      <family val="1"/>
    </font>
    <font>
      <vertAlign val="superscript"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sz val="11"/>
      <color theme="0"/>
      <name val="Times New Roman"/>
      <family val="1"/>
    </font>
    <font>
      <vertAlign val="subscript"/>
      <sz val="11"/>
      <name val="Times New Roman"/>
      <family val="1"/>
    </font>
    <font>
      <b/>
      <i/>
      <sz val="11"/>
      <name val="Times New Roman"/>
      <family val="1"/>
    </font>
    <font>
      <b/>
      <sz val="11"/>
      <color rgb="FFFF0000"/>
      <name val="Times New Roman"/>
      <family val="1"/>
    </font>
    <font>
      <b/>
      <vertAlign val="superscript"/>
      <sz val="11"/>
      <name val="Times New Roman"/>
      <family val="1"/>
    </font>
    <font>
      <b/>
      <sz val="12"/>
      <name val="Times New Roman"/>
      <family val="1"/>
    </font>
    <font>
      <i/>
      <sz val="12"/>
      <name val="Times New Roman"/>
      <family val="1"/>
    </font>
    <font>
      <b/>
      <sz val="11"/>
      <color rgb="FFC00000"/>
      <name val="Times New Roman"/>
      <family val="1"/>
    </font>
    <font>
      <i/>
      <sz val="11"/>
      <color theme="1"/>
      <name val="Times New Roman"/>
      <family val="1"/>
    </font>
    <font>
      <i/>
      <vertAlign val="subscript"/>
      <sz val="11"/>
      <color theme="1"/>
      <name val="Times New Roman"/>
      <family val="1"/>
    </font>
    <font>
      <b/>
      <sz val="11"/>
      <color theme="5" tint="-0.49998474074526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59">
    <xf numFmtId="0" fontId="0" fillId="0" borderId="0" xfId="0"/>
    <xf numFmtId="0" fontId="4" fillId="2" borderId="0" xfId="0" applyFont="1" applyFill="1" applyBorder="1" applyAlignment="1">
      <alignment horizontal="left" vertical="center"/>
    </xf>
    <xf numFmtId="0" fontId="2" fillId="0" borderId="0" xfId="2"/>
    <xf numFmtId="0" fontId="5" fillId="3" borderId="0" xfId="2" applyFont="1" applyFill="1"/>
    <xf numFmtId="0" fontId="2" fillId="3" borderId="0" xfId="2" applyFill="1"/>
    <xf numFmtId="0" fontId="5" fillId="4" borderId="17" xfId="2" applyFont="1" applyFill="1" applyBorder="1" applyAlignment="1">
      <alignment horizontal="center"/>
    </xf>
    <xf numFmtId="0" fontId="5" fillId="4" borderId="16" xfId="2" applyFont="1" applyFill="1" applyBorder="1" applyAlignment="1">
      <alignment horizontal="center"/>
    </xf>
    <xf numFmtId="0" fontId="2" fillId="4" borderId="18" xfId="2" applyFill="1" applyBorder="1" applyAlignment="1">
      <alignment horizontal="center"/>
    </xf>
    <xf numFmtId="0" fontId="2" fillId="4" borderId="15" xfId="2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vertical="center" wrapText="1"/>
    </xf>
    <xf numFmtId="0" fontId="1" fillId="0" borderId="0" xfId="3"/>
    <xf numFmtId="0" fontId="8" fillId="3" borderId="0" xfId="3" applyFont="1" applyFill="1"/>
    <xf numFmtId="0" fontId="1" fillId="3" borderId="0" xfId="3" applyFill="1"/>
    <xf numFmtId="0" fontId="8" fillId="4" borderId="17" xfId="3" applyFont="1" applyFill="1" applyBorder="1" applyAlignment="1">
      <alignment horizontal="center"/>
    </xf>
    <xf numFmtId="0" fontId="8" fillId="4" borderId="16" xfId="3" applyFont="1" applyFill="1" applyBorder="1" applyAlignment="1">
      <alignment horizontal="center"/>
    </xf>
    <xf numFmtId="0" fontId="1" fillId="4" borderId="18" xfId="3" applyFill="1" applyBorder="1" applyAlignment="1">
      <alignment horizontal="center"/>
    </xf>
    <xf numFmtId="0" fontId="1" fillId="4" borderId="15" xfId="3" applyFill="1" applyBorder="1" applyAlignment="1">
      <alignment horizontal="center"/>
    </xf>
    <xf numFmtId="49" fontId="8" fillId="3" borderId="0" xfId="3" applyNumberFormat="1" applyFont="1" applyFill="1"/>
    <xf numFmtId="49" fontId="1" fillId="3" borderId="0" xfId="3" applyNumberFormat="1" applyFill="1"/>
    <xf numFmtId="49" fontId="0" fillId="0" borderId="0" xfId="0" applyNumberFormat="1"/>
    <xf numFmtId="49" fontId="8" fillId="4" borderId="17" xfId="3" applyNumberFormat="1" applyFont="1" applyFill="1" applyBorder="1" applyAlignment="1">
      <alignment horizontal="center"/>
    </xf>
    <xf numFmtId="49" fontId="8" fillId="4" borderId="16" xfId="3" applyNumberFormat="1" applyFont="1" applyFill="1" applyBorder="1" applyAlignment="1">
      <alignment horizontal="center"/>
    </xf>
    <xf numFmtId="49" fontId="1" fillId="4" borderId="18" xfId="3" applyNumberFormat="1" applyFill="1" applyBorder="1" applyAlignment="1">
      <alignment horizontal="center"/>
    </xf>
    <xf numFmtId="49" fontId="1" fillId="4" borderId="15" xfId="3" applyNumberFormat="1" applyFill="1" applyBorder="1" applyAlignment="1">
      <alignment horizontal="center"/>
    </xf>
    <xf numFmtId="49" fontId="1" fillId="0" borderId="0" xfId="3" applyNumberFormat="1"/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0" fontId="10" fillId="0" borderId="0" xfId="0" applyNumberFormat="1" applyFont="1" applyAlignment="1">
      <alignment vertical="center"/>
    </xf>
    <xf numFmtId="2" fontId="4" fillId="0" borderId="0" xfId="0" applyNumberFormat="1" applyFont="1" applyAlignment="1">
      <alignment vertical="center"/>
    </xf>
    <xf numFmtId="165" fontId="4" fillId="0" borderId="0" xfId="0" applyNumberFormat="1" applyFont="1" applyAlignment="1">
      <alignment vertical="center"/>
    </xf>
    <xf numFmtId="2" fontId="10" fillId="0" borderId="0" xfId="0" applyNumberFormat="1" applyFont="1" applyAlignment="1">
      <alignment vertical="center"/>
    </xf>
    <xf numFmtId="0" fontId="10" fillId="0" borderId="9" xfId="0" applyFont="1" applyBorder="1" applyAlignment="1">
      <alignment vertical="center"/>
    </xf>
    <xf numFmtId="0" fontId="13" fillId="0" borderId="9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centerContinuous" vertical="center"/>
    </xf>
    <xf numFmtId="0" fontId="4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right" vertical="center"/>
    </xf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12" fillId="0" borderId="1" xfId="0" applyNumberFormat="1" applyFont="1" applyBorder="1" applyAlignment="1">
      <alignment horizontal="center" vertical="center"/>
    </xf>
    <xf numFmtId="165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NumberFormat="1" applyFont="1" applyAlignment="1">
      <alignment vertical="center"/>
    </xf>
    <xf numFmtId="165" fontId="10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0" fontId="4" fillId="0" borderId="0" xfId="0" applyNumberFormat="1" applyFont="1" applyAlignment="1">
      <alignment horizontal="center" vertical="center"/>
    </xf>
    <xf numFmtId="165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9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6" xfId="0" applyFon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0" fontId="10" fillId="0" borderId="9" xfId="0" applyNumberFormat="1" applyFont="1" applyBorder="1" applyAlignment="1">
      <alignment vertical="center"/>
    </xf>
    <xf numFmtId="0" fontId="10" fillId="0" borderId="12" xfId="0" applyNumberFormat="1" applyFont="1" applyBorder="1" applyAlignment="1">
      <alignment horizontal="right" vertical="center"/>
    </xf>
    <xf numFmtId="0" fontId="10" fillId="0" borderId="9" xfId="0" applyNumberFormat="1" applyFont="1" applyBorder="1" applyAlignment="1">
      <alignment horizontal="right" vertical="center"/>
    </xf>
    <xf numFmtId="0" fontId="10" fillId="0" borderId="6" xfId="0" applyFont="1" applyBorder="1" applyAlignment="1">
      <alignment vertical="center"/>
    </xf>
    <xf numFmtId="0" fontId="10" fillId="0" borderId="6" xfId="0" applyNumberFormat="1" applyFont="1" applyBorder="1" applyAlignment="1">
      <alignment vertical="center"/>
    </xf>
    <xf numFmtId="0" fontId="10" fillId="0" borderId="12" xfId="0" applyNumberFormat="1" applyFont="1" applyBorder="1" applyAlignment="1">
      <alignment vertical="center"/>
    </xf>
    <xf numFmtId="0" fontId="23" fillId="0" borderId="0" xfId="0" applyFont="1" applyAlignment="1">
      <alignment vertical="center"/>
    </xf>
    <xf numFmtId="164" fontId="10" fillId="0" borderId="0" xfId="0" applyNumberFormat="1" applyFont="1" applyAlignment="1">
      <alignment horizontal="right" vertical="center"/>
    </xf>
    <xf numFmtId="165" fontId="13" fillId="0" borderId="0" xfId="0" applyNumberFormat="1" applyFont="1" applyAlignment="1">
      <alignment vertical="center"/>
    </xf>
    <xf numFmtId="165" fontId="19" fillId="0" borderId="0" xfId="0" applyNumberFormat="1" applyFont="1" applyAlignment="1">
      <alignment vertical="center"/>
    </xf>
    <xf numFmtId="164" fontId="10" fillId="0" borderId="0" xfId="0" applyNumberFormat="1" applyFont="1" applyAlignment="1">
      <alignment vertical="center"/>
    </xf>
    <xf numFmtId="0" fontId="10" fillId="0" borderId="0" xfId="0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0" fontId="24" fillId="0" borderId="0" xfId="0" applyFont="1" applyAlignment="1">
      <alignment vertical="center"/>
    </xf>
    <xf numFmtId="0" fontId="13" fillId="0" borderId="0" xfId="0" applyFont="1" applyAlignment="1">
      <alignment horizontal="left" vertical="center" indent="1"/>
    </xf>
    <xf numFmtId="2" fontId="13" fillId="0" borderId="0" xfId="0" applyNumberFormat="1" applyFont="1" applyAlignment="1">
      <alignment vertical="center"/>
    </xf>
    <xf numFmtId="0" fontId="10" fillId="0" borderId="4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vertical="center"/>
    </xf>
    <xf numFmtId="2" fontId="13" fillId="0" borderId="2" xfId="0" applyNumberFormat="1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2" fontId="10" fillId="0" borderId="8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2" fontId="10" fillId="0" borderId="5" xfId="0" applyNumberFormat="1" applyFont="1" applyBorder="1" applyAlignment="1">
      <alignment horizontal="center" vertical="center"/>
    </xf>
    <xf numFmtId="0" fontId="26" fillId="0" borderId="0" xfId="0" applyFont="1" applyFill="1" applyAlignment="1">
      <alignment vertical="center"/>
    </xf>
    <xf numFmtId="0" fontId="12" fillId="0" borderId="1" xfId="1" applyFont="1" applyBorder="1"/>
    <xf numFmtId="2" fontId="12" fillId="0" borderId="1" xfId="1" applyNumberFormat="1" applyFont="1" applyBorder="1"/>
    <xf numFmtId="165" fontId="10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horizontal="right" vertical="center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12" fillId="0" borderId="0" xfId="0" applyFont="1" applyAlignment="1">
      <alignment horizontal="right" vertical="center"/>
    </xf>
    <xf numFmtId="0" fontId="18" fillId="0" borderId="4" xfId="0" applyFont="1" applyBorder="1" applyAlignment="1">
      <alignment horizontal="centerContinuous" vertical="center"/>
    </xf>
    <xf numFmtId="0" fontId="4" fillId="0" borderId="4" xfId="0" applyFont="1" applyBorder="1" applyAlignment="1">
      <alignment horizontal="centerContinuous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right" vertical="center"/>
    </xf>
    <xf numFmtId="0" fontId="18" fillId="0" borderId="5" xfId="0" applyFont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18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10" fillId="0" borderId="13" xfId="0" applyFont="1" applyBorder="1" applyAlignment="1">
      <alignment vertical="center"/>
    </xf>
    <xf numFmtId="0" fontId="4" fillId="0" borderId="14" xfId="0" applyNumberFormat="1" applyFont="1" applyBorder="1" applyAlignment="1">
      <alignment vertical="center"/>
    </xf>
    <xf numFmtId="2" fontId="4" fillId="0" borderId="4" xfId="0" applyNumberFormat="1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64" fontId="4" fillId="0" borderId="4" xfId="0" applyNumberFormat="1" applyFont="1" applyBorder="1" applyAlignment="1">
      <alignment vertical="center"/>
    </xf>
    <xf numFmtId="165" fontId="4" fillId="0" borderId="4" xfId="0" applyNumberFormat="1" applyFont="1" applyBorder="1" applyAlignment="1">
      <alignment vertical="center"/>
    </xf>
    <xf numFmtId="0" fontId="4" fillId="0" borderId="0" xfId="0" applyNumberFormat="1" applyFont="1" applyAlignment="1">
      <alignment vertical="center"/>
    </xf>
    <xf numFmtId="2" fontId="4" fillId="0" borderId="7" xfId="0" applyNumberFormat="1" applyFont="1" applyBorder="1" applyAlignment="1">
      <alignment vertical="center"/>
    </xf>
    <xf numFmtId="2" fontId="4" fillId="0" borderId="8" xfId="0" applyNumberFormat="1" applyFont="1" applyBorder="1" applyAlignment="1">
      <alignment vertical="center"/>
    </xf>
    <xf numFmtId="0" fontId="4" fillId="0" borderId="8" xfId="0" applyFont="1" applyBorder="1" applyAlignment="1">
      <alignment vertical="center"/>
    </xf>
    <xf numFmtId="164" fontId="4" fillId="0" borderId="8" xfId="0" applyNumberFormat="1" applyFont="1" applyBorder="1" applyAlignment="1">
      <alignment vertical="center"/>
    </xf>
    <xf numFmtId="165" fontId="4" fillId="0" borderId="8" xfId="0" applyNumberFormat="1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2" fontId="4" fillId="0" borderId="10" xfId="0" applyNumberFormat="1" applyFont="1" applyBorder="1" applyAlignment="1">
      <alignment vertical="center"/>
    </xf>
    <xf numFmtId="2" fontId="4" fillId="0" borderId="5" xfId="0" applyNumberFormat="1" applyFont="1" applyBorder="1" applyAlignment="1">
      <alignment vertical="center"/>
    </xf>
    <xf numFmtId="164" fontId="4" fillId="0" borderId="5" xfId="0" applyNumberFormat="1" applyFont="1" applyBorder="1" applyAlignment="1">
      <alignment vertical="center"/>
    </xf>
    <xf numFmtId="165" fontId="4" fillId="0" borderId="5" xfId="0" applyNumberFormat="1" applyFont="1" applyBorder="1" applyAlignment="1">
      <alignment vertical="center"/>
    </xf>
    <xf numFmtId="1" fontId="4" fillId="0" borderId="8" xfId="0" applyNumberFormat="1" applyFont="1" applyBorder="1" applyAlignment="1">
      <alignment vertical="center"/>
    </xf>
    <xf numFmtId="1" fontId="4" fillId="0" borderId="5" xfId="0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" fontId="18" fillId="0" borderId="0" xfId="0" applyNumberFormat="1" applyFont="1" applyBorder="1" applyAlignment="1">
      <alignment vertical="center"/>
    </xf>
    <xf numFmtId="1" fontId="29" fillId="0" borderId="0" xfId="0" applyNumberFormat="1" applyFont="1" applyBorder="1" applyAlignment="1">
      <alignment vertical="center"/>
    </xf>
    <xf numFmtId="0" fontId="4" fillId="0" borderId="0" xfId="0" applyFont="1" applyAlignment="1">
      <alignment horizontal="left" vertical="center"/>
    </xf>
    <xf numFmtId="165" fontId="12" fillId="0" borderId="0" xfId="0" applyNumberFormat="1" applyFont="1" applyAlignment="1">
      <alignment vertical="center"/>
    </xf>
    <xf numFmtId="0" fontId="4" fillId="0" borderId="7" xfId="0" applyNumberFormat="1" applyFont="1" applyBorder="1" applyAlignment="1">
      <alignment vertical="center"/>
    </xf>
    <xf numFmtId="1" fontId="4" fillId="0" borderId="0" xfId="0" applyNumberFormat="1" applyFont="1" applyBorder="1" applyAlignment="1">
      <alignment vertical="center"/>
    </xf>
    <xf numFmtId="0" fontId="31" fillId="0" borderId="0" xfId="0" applyFont="1"/>
    <xf numFmtId="0" fontId="10" fillId="0" borderId="0" xfId="0" applyFont="1" applyAlignment="1">
      <alignment horizontal="right"/>
    </xf>
    <xf numFmtId="0" fontId="31" fillId="0" borderId="0" xfId="0" applyFont="1" applyAlignment="1">
      <alignment vertical="center"/>
    </xf>
    <xf numFmtId="0" fontId="10" fillId="0" borderId="0" xfId="0" applyFont="1"/>
    <xf numFmtId="0" fontId="32" fillId="0" borderId="0" xfId="0" applyFont="1"/>
    <xf numFmtId="0" fontId="16" fillId="0" borderId="0" xfId="0" applyFont="1" applyAlignment="1">
      <alignment vertical="center"/>
    </xf>
    <xf numFmtId="166" fontId="12" fillId="0" borderId="0" xfId="0" applyNumberFormat="1" applyFont="1" applyAlignment="1">
      <alignment horizontal="center" vertical="center"/>
    </xf>
    <xf numFmtId="167" fontId="12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66" fontId="10" fillId="0" borderId="0" xfId="0" applyNumberFormat="1" applyFont="1" applyAlignment="1">
      <alignment vertical="center"/>
    </xf>
    <xf numFmtId="165" fontId="10" fillId="0" borderId="0" xfId="0" applyNumberFormat="1" applyFont="1" applyAlignment="1">
      <alignment horizontal="center" vertical="center"/>
    </xf>
    <xf numFmtId="164" fontId="4" fillId="0" borderId="0" xfId="0" applyNumberFormat="1" applyFont="1" applyBorder="1" applyAlignment="1">
      <alignment vertical="center"/>
    </xf>
    <xf numFmtId="2" fontId="12" fillId="0" borderId="0" xfId="0" applyNumberFormat="1" applyFont="1" applyAlignment="1">
      <alignment vertical="center"/>
    </xf>
    <xf numFmtId="0" fontId="19" fillId="0" borderId="0" xfId="0" applyNumberFormat="1" applyFont="1" applyAlignment="1">
      <alignment horizontal="right" vertical="center"/>
    </xf>
    <xf numFmtId="166" fontId="19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right" vertical="center"/>
    </xf>
    <xf numFmtId="0" fontId="33" fillId="0" borderId="0" xfId="0" applyNumberFormat="1" applyFont="1" applyAlignment="1">
      <alignment horizontal="left" vertical="center"/>
    </xf>
    <xf numFmtId="0" fontId="34" fillId="0" borderId="0" xfId="0" applyNumberFormat="1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vertical="center"/>
    </xf>
  </cellXfs>
  <cellStyles count="4">
    <cellStyle name="Normal" xfId="0" builtinId="0"/>
    <cellStyle name="Normal 2" xfId="1"/>
    <cellStyle name="Normal 3" xfId="2"/>
    <cellStyle name="Normal 4" xfId="3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361950</xdr:colOff>
      <xdr:row>0</xdr:row>
      <xdr:rowOff>438150</xdr:rowOff>
    </xdr:from>
    <xdr:ext cx="1298722" cy="11099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1772900" y="438150"/>
              <a:ext cx="1298722" cy="11099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a:fld id="{E686D1C3-288A-4F55-866B-1E541DBE38A0}" type="mathplaceholder">
                      <a:rPr lang="en-US" sz="1100" i="1">
                        <a:latin typeface="Cambria Math"/>
                      </a:rPr>
                      <a:t>Type equation here.</a:t>
                    </a:fl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1772900" y="438150"/>
              <a:ext cx="1298722" cy="11099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i="0">
                  <a:latin typeface="Cambria Math"/>
                </a:rPr>
                <a:t>"Type equation here."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9</xdr:col>
      <xdr:colOff>171450</xdr:colOff>
      <xdr:row>7</xdr:row>
      <xdr:rowOff>28575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096000" y="17907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/>
        </a:p>
      </xdr:txBody>
    </xdr:sp>
    <xdr:clientData/>
  </xdr:oneCellAnchor>
  <xdr:oneCellAnchor>
    <xdr:from>
      <xdr:col>19</xdr:col>
      <xdr:colOff>428625</xdr:colOff>
      <xdr:row>0</xdr:row>
      <xdr:rowOff>390525</xdr:rowOff>
    </xdr:from>
    <xdr:ext cx="342360" cy="11099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3211175" y="390525"/>
              <a:ext cx="342360" cy="11099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𝑎</m:t>
                        </m:r>
                      </m:e>
                      <m:sub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𝑏</m:t>
                        </m:r>
                      </m:sub>
                      <m:sup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𝑐</m:t>
                        </m:r>
                      </m:sup>
                    </m:sSubSup>
                  </m:oMath>
                </m:oMathPara>
              </a14:m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3211175" y="390525"/>
              <a:ext cx="342360" cy="11099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𝑎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𝑏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𝑐</a:t>
              </a:r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</xdr:col>
      <xdr:colOff>0</xdr:colOff>
      <xdr:row>11</xdr:row>
      <xdr:rowOff>0</xdr:rowOff>
    </xdr:from>
    <xdr:ext cx="1724126" cy="2889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942975" y="2752725"/>
              <a:ext cx="1724126" cy="288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</a:rPr>
                          <m:t>𝑞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𝑝</m:t>
                        </m:r>
                      </m:sub>
                    </m:sSub>
                    <m:r>
                      <a:rPr lang="en-US" sz="1100" b="0" i="1">
                        <a:latin typeface="Cambria Math"/>
                      </a:rPr>
                      <m:t>=2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𝑡𝑔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45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𝜑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𝛾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′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𝐼𝐼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942975" y="2752725"/>
              <a:ext cx="1724126" cy="2889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𝑞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/>
                </a:rPr>
                <a:t>𝑝=2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𝑡𝑔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45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𝑜−𝜑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US" sz="1100" b="0" i="0">
                  <a:latin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/>
                  <a:ea typeface="Cambria Math"/>
                </a:rPr>
                <a:t>𝛾′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〗_</a:t>
              </a:r>
              <a:r>
                <a:rPr lang="en-US" sz="1100" b="0" i="0">
                  <a:latin typeface="Cambria Math"/>
                </a:rPr>
                <a:t>𝐼𝐼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 </a:t>
              </a:r>
              <a:r>
                <a:rPr lang="en-US" sz="1100" b="0" i="0">
                  <a:latin typeface="Cambria Math"/>
                  <a:ea typeface="Cambria Math"/>
                </a:rPr>
                <a:t>𝐻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en-US" sz="1100" b="0" i="0">
                  <a:latin typeface="Cambria Math"/>
                  <a:ea typeface="Cambria Math"/>
                </a:rPr>
                <a:t>𝑚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114300</xdr:colOff>
      <xdr:row>12</xdr:row>
      <xdr:rowOff>133350</xdr:rowOff>
    </xdr:from>
    <xdr:ext cx="1908856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371475" y="3133725"/>
              <a:ext cx="1908856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  <a:ea typeface="Cambria Math"/>
                      </a:rPr>
                      <m:t>→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𝑚</m:t>
                        </m:r>
                      </m:sub>
                    </m:sSub>
                    <m:r>
                      <a:rPr lang="en-US" sz="1100" b="0" i="1">
                        <a:latin typeface="Cambria Math"/>
                        <a:ea typeface="Cambria Math"/>
                      </a:rPr>
                      <m:t>≥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𝑡𝑔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45°−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𝜑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den>
                        </m:f>
                      </m:e>
                    </m:d>
                    <m:rad>
                      <m:radPr>
                        <m:degHide m:val="on"/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𝑄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𝛾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′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𝐼𝐼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𝑏</m:t>
                            </m:r>
                          </m:den>
                        </m:f>
                      </m:e>
                    </m:rad>
                    <m:r>
                      <a:rPr lang="en-US" sz="1100" b="0" i="1">
                        <a:latin typeface="Cambria Math"/>
                        <a:ea typeface="Cambria Math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371475" y="3133725"/>
              <a:ext cx="1908856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/>
                  <a:ea typeface="Cambria Math"/>
                </a:rPr>
                <a:t>→𝐻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_</a:t>
              </a:r>
              <a:r>
                <a:rPr lang="en-US" sz="1100" b="0" i="0">
                  <a:latin typeface="Cambria Math"/>
                  <a:ea typeface="Cambria Math"/>
                </a:rPr>
                <a:t>𝑚≥𝑡𝑔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(</a:t>
              </a:r>
              <a:r>
                <a:rPr lang="en-US" sz="1100" b="0" i="0">
                  <a:latin typeface="Cambria Math"/>
                  <a:ea typeface="Cambria Math"/>
                </a:rPr>
                <a:t>45°−𝜑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/</a:t>
              </a:r>
              <a:r>
                <a:rPr lang="en-US" sz="1100" b="0" i="0">
                  <a:latin typeface="Cambria Math"/>
                  <a:ea typeface="Cambria Math"/>
                </a:rPr>
                <a:t>2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) √(</a:t>
              </a:r>
              <a:r>
                <a:rPr lang="en-US" sz="1100" b="0" i="0">
                  <a:latin typeface="Cambria Math"/>
                  <a:ea typeface="Cambria Math"/>
                </a:rPr>
                <a:t>𝑄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𝛾′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𝐼𝐼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 </a:t>
              </a:r>
              <a:r>
                <a:rPr lang="en-US" sz="1100" b="0" i="0">
                  <a:latin typeface="Cambria Math"/>
                  <a:ea typeface="Cambria Math"/>
                </a:rPr>
                <a:t>𝑏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))</a:t>
              </a:r>
              <a:r>
                <a:rPr lang="en-US" sz="1100" b="0" i="0">
                  <a:latin typeface="Cambria Math"/>
                  <a:ea typeface="Cambria Math"/>
                </a:rPr>
                <a:t>=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10</xdr:col>
      <xdr:colOff>219075</xdr:colOff>
      <xdr:row>26</xdr:row>
      <xdr:rowOff>184897</xdr:rowOff>
    </xdr:from>
    <xdr:to>
      <xdr:col>17</xdr:col>
      <xdr:colOff>535756</xdr:colOff>
      <xdr:row>42</xdr:row>
      <xdr:rowOff>37540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29425" y="6595222"/>
          <a:ext cx="5117281" cy="40912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28575</xdr:colOff>
      <xdr:row>3</xdr:row>
      <xdr:rowOff>66675</xdr:rowOff>
    </xdr:from>
    <xdr:to>
      <xdr:col>9</xdr:col>
      <xdr:colOff>628650</xdr:colOff>
      <xdr:row>16</xdr:row>
      <xdr:rowOff>66675</xdr:rowOff>
    </xdr:to>
    <xdr:pic>
      <xdr:nvPicPr>
        <xdr:cNvPr id="8" name="Picture 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575" y="838200"/>
          <a:ext cx="1952625" cy="321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</xdr:col>
      <xdr:colOff>428625</xdr:colOff>
      <xdr:row>52</xdr:row>
      <xdr:rowOff>66675</xdr:rowOff>
    </xdr:from>
    <xdr:ext cx="1820627" cy="3375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2057400" y="13211175"/>
              <a:ext cx="1820627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𝑝</m:t>
                        </m:r>
                      </m:e>
                      <m:sub>
                        <m:sSubSup>
                          <m:sSubSup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𝑚𝑖𝑛</m:t>
                            </m:r>
                          </m:sub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𝑚𝑎𝑥</m:t>
                            </m:r>
                          </m:sup>
                        </m:sSubSup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𝑁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𝑡𝑐</m:t>
                            </m:r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𝑙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.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𝑏</m:t>
                        </m:r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±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Cambria Math"/>
                                <a:cs typeface="+mn-cs"/>
                              </a:rPr>
                              <m:t>6.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Cambria Math"/>
                                <a:cs typeface="+mn-cs"/>
                              </a:rPr>
                              <m:t>𝑀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Cambria Math"/>
                                <a:cs typeface="+mn-cs"/>
                              </a:rPr>
                              <m:t>𝑡𝑐</m:t>
                            </m:r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Cambria Math"/>
                            <a:cs typeface="+mn-cs"/>
                          </a:rPr>
                          <m:t>𝑏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Cambria Math"/>
                            <a:cs typeface="+mn-cs"/>
                          </a:rPr>
                          <m:t>.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Cambria Math"/>
                                <a:cs typeface="+mn-cs"/>
                              </a:rPr>
                              <m:t>𝑙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Cambria Math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Cambria Math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Cambria Math"/>
                            <a:cs typeface="+mn-cs"/>
                          </a:rPr>
                          <m:t>𝑡𝑏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Cambria Math"/>
                            <a:cs typeface="+mn-cs"/>
                          </a:rPr>
                          <m:t>𝐻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Cambria Math"/>
                            <a:cs typeface="+mn-cs"/>
                          </a:rPr>
                          <m:t>𝑚</m:t>
                        </m:r>
                      </m:sub>
                    </m:sSub>
                  </m:oMath>
                </m:oMathPara>
              </a14:m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2057400" y="13211175"/>
              <a:ext cx="1820627" cy="3375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𝑝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𝑚𝑖𝑛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𝑚𝑎𝑥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=𝑁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𝑡𝑐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𝑙.𝑏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±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6.𝑀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𝑡𝑐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𝑏.𝑙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+𝛾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𝑡𝑏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𝐻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𝑚</a:t>
              </a:r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6</xdr:col>
      <xdr:colOff>523875</xdr:colOff>
      <xdr:row>74</xdr:row>
      <xdr:rowOff>152400</xdr:rowOff>
    </xdr:from>
    <xdr:ext cx="1039259" cy="4423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4381500" y="15525750"/>
              <a:ext cx="1039259" cy="4423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𝑜𝑖</m:t>
                            </m:r>
                          </m:sub>
                        </m:sSub>
                      </m:den>
                    </m:f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𝑜𝑧</m:t>
                        </m:r>
                      </m:sub>
                    </m:sSub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4381500" y="15525750"/>
              <a:ext cx="1039259" cy="4423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𝑆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𝑖=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𝛽/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𝐸_𝑜𝑖  𝑝_𝑜𝑧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𝑖</a:t>
              </a:r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6</xdr:col>
      <xdr:colOff>444390</xdr:colOff>
      <xdr:row>78</xdr:row>
      <xdr:rowOff>211521</xdr:rowOff>
    </xdr:from>
    <xdr:ext cx="1226040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4302015" y="16575471"/>
              <a:ext cx="122604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indent="0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đ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𝑧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đ0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+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n-US" sz="1100" b="0" i="1">
                <a:solidFill>
                  <a:schemeClr val="tx1"/>
                </a:solidFill>
                <a:effectLst/>
                <a:latin typeface="Cambria Math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4302015" y="16575471"/>
              <a:ext cx="122604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indent="0"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𝑝_đ𝑧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𝑝_đ0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∑▒〖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𝛾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〗</a:t>
              </a:r>
              <a:endParaRPr lang="en-US" sz="1100" b="0" i="1">
                <a:solidFill>
                  <a:schemeClr val="tx1"/>
                </a:solidFill>
                <a:effectLst/>
                <a:latin typeface="Cambria Math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5</xdr:col>
      <xdr:colOff>313765</xdr:colOff>
      <xdr:row>176</xdr:row>
      <xdr:rowOff>23534</xdr:rowOff>
    </xdr:from>
    <xdr:ext cx="1840278" cy="514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3485590" y="28522334"/>
              <a:ext cx="1840278" cy="514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𝑀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𝑏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𝑏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1,15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𝑚𝑎𝑥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3485590" y="28522334"/>
              <a:ext cx="1840278" cy="514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((𝑏−𝑏_𝑐)/2)^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1,15𝑝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_𝑚𝑎𝑥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6</xdr:col>
      <xdr:colOff>233644</xdr:colOff>
      <xdr:row>179</xdr:row>
      <xdr:rowOff>22412</xdr:rowOff>
    </xdr:from>
    <xdr:ext cx="1255058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4091269" y="29511812"/>
              <a:ext cx="125505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0,9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𝑠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4091269" y="29511812"/>
              <a:ext cx="125505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𝐴_𝑠1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0,9ℎ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𝑜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𝑅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5</xdr:col>
      <xdr:colOff>114300</xdr:colOff>
      <xdr:row>193</xdr:row>
      <xdr:rowOff>28575</xdr:rowOff>
    </xdr:from>
    <xdr:ext cx="1286121" cy="2081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 txBox="1"/>
          </xdr:nvSpPr>
          <xdr:spPr>
            <a:xfrm>
              <a:off x="3286125" y="34966275"/>
              <a:ext cx="128612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𝑏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𝑧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𝑧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𝑎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rad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−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𝑎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3286125" y="34966275"/>
              <a:ext cx="1286121" cy="2081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𝑏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𝑧=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𝐹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𝑧+𝑎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−𝑎=</a:t>
              </a:r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10</xdr:col>
      <xdr:colOff>107016</xdr:colOff>
      <xdr:row>126</xdr:row>
      <xdr:rowOff>190501</xdr:rowOff>
    </xdr:from>
    <xdr:ext cx="724173" cy="2887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6717366" y="22993351"/>
              <a:ext cx="724173" cy="288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𝑜𝑧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𝑔</m:t>
                        </m:r>
                      </m:sup>
                    </m:sSubSup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6717366" y="22993351"/>
              <a:ext cx="724173" cy="2887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𝑝_𝑜𝑧^𝑔=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100" b="0" i="0">
                  <a:latin typeface="Cambria Math" panose="02040503050406030204" pitchFamily="18" charset="0"/>
                </a:rPr>
                <a:t>1/4 𝑝_𝑜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609600</xdr:colOff>
      <xdr:row>204</xdr:row>
      <xdr:rowOff>42862</xdr:rowOff>
    </xdr:from>
    <xdr:ext cx="661271" cy="3607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 txBox="1"/>
          </xdr:nvSpPr>
          <xdr:spPr>
            <a:xfrm>
              <a:off x="2238375" y="37704712"/>
              <a:ext cx="661271" cy="3607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𝑔</m:t>
                                </m:r>
                              </m:sub>
                            </m:sSub>
                          </m:e>
                        </m:nary>
                      </m:num>
                      <m:den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nary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2238375" y="37704712"/>
              <a:ext cx="661271" cy="3607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𝑘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𝑡𝑐=(∑▒𝑇_𝑔 )/(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∑▒𝑇_𝑡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210</xdr:row>
      <xdr:rowOff>0</xdr:rowOff>
    </xdr:from>
    <xdr:ext cx="1822165" cy="3386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 txBox="1"/>
          </xdr:nvSpPr>
          <xdr:spPr>
            <a:xfrm>
              <a:off x="942975" y="39147750"/>
              <a:ext cx="1822165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𝑎</m:t>
                        </m:r>
                      </m:sub>
                    </m:sSub>
                    <m:r>
                      <a:rPr lang="en-US" sz="1100" b="0" i="1">
                        <a:latin typeface="Cambria Math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𝑡𝑔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45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𝜑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𝛾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′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𝐼𝐼</m:t>
                        </m:r>
                      </m:sub>
                    </m:sSub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942975" y="39147750"/>
              <a:ext cx="1822165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𝐸_𝑎</a:t>
              </a:r>
              <a:r>
                <a:rPr lang="en-US" sz="1100" b="0" i="0">
                  <a:latin typeface="Cambria Math"/>
                </a:rPr>
                <a:t>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𝑡𝑔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45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𝑜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US" sz="1100" b="0" i="0">
                  <a:latin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/>
                  <a:ea typeface="Cambria Math"/>
                </a:rPr>
                <a:t>𝛾′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〗_</a:t>
              </a:r>
              <a:r>
                <a:rPr lang="en-US" sz="1100" b="0" i="0">
                  <a:latin typeface="Cambria Math"/>
                </a:rPr>
                <a:t>𝐼𝐼</a:t>
              </a:r>
              <a:r>
                <a:rPr lang="en-US" sz="1100" b="0" i="0">
                  <a:latin typeface="Cambria Math" panose="02040503050406030204" pitchFamily="18" charset="0"/>
                </a:rPr>
                <a:t>  (𝐻_𝑚^2)/2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0</xdr:colOff>
      <xdr:row>212</xdr:row>
      <xdr:rowOff>0</xdr:rowOff>
    </xdr:from>
    <xdr:ext cx="1821460" cy="3386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942975" y="39643050"/>
              <a:ext cx="1821460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𝑝</m:t>
                        </m:r>
                      </m:sub>
                    </m:sSub>
                    <m:r>
                      <a:rPr lang="en-US" sz="1100" b="0" i="1">
                        <a:latin typeface="Cambria Math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𝑡𝑔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45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𝜑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𝛾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′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𝐼𝐼</m:t>
                        </m:r>
                      </m:sub>
                    </m:sSub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 txBox="1"/>
          </xdr:nvSpPr>
          <xdr:spPr>
            <a:xfrm>
              <a:off x="942975" y="39643050"/>
              <a:ext cx="1821460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𝐸_</a:t>
              </a:r>
              <a:r>
                <a:rPr lang="en-US" sz="1100" b="0" i="0">
                  <a:latin typeface="Cambria Math"/>
                </a:rPr>
                <a:t>𝑝=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𝑡𝑔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(〖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45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𝑜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US" sz="1100" b="0" i="0">
                  <a:latin typeface="Cambria Math" panose="02040503050406030204" pitchFamily="18" charset="0"/>
                </a:rPr>
                <a:t>〖</a:t>
              </a:r>
              <a:r>
                <a:rPr lang="en-US" sz="1100" b="0" i="0">
                  <a:latin typeface="Cambria Math"/>
                  <a:ea typeface="Cambria Math"/>
                </a:rPr>
                <a:t>𝛾′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〗_</a:t>
              </a:r>
              <a:r>
                <a:rPr lang="en-US" sz="1100" b="0" i="0">
                  <a:latin typeface="Cambria Math"/>
                </a:rPr>
                <a:t>𝐼𝐼</a:t>
              </a:r>
              <a:r>
                <a:rPr lang="en-US" sz="1100" b="0" i="0">
                  <a:latin typeface="Cambria Math" panose="02040503050406030204" pitchFamily="18" charset="0"/>
                </a:rPr>
                <a:t>  (𝐻_𝑚^2)/2</a:t>
              </a:r>
              <a:r>
                <a:rPr lang="en-US" sz="1100" b="0" i="0">
                  <a:latin typeface="Cambria Math" panose="02040503050406030204" pitchFamily="18" charset="0"/>
                  <a:ea typeface="Cambria Math"/>
                </a:rPr>
                <a:t>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523875</xdr:colOff>
      <xdr:row>215</xdr:row>
      <xdr:rowOff>214312</xdr:rowOff>
    </xdr:from>
    <xdr:ext cx="805862" cy="3607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2152650" y="40600312"/>
              <a:ext cx="805862" cy="3607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𝑡𝑐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𝑔</m:t>
                                </m:r>
                              </m:sub>
                            </m:sSub>
                          </m:e>
                        </m:nary>
                      </m:num>
                      <m:den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sub>
                            </m:sSub>
                          </m:e>
                        </m:nary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 txBox="1"/>
          </xdr:nvSpPr>
          <xdr:spPr>
            <a:xfrm>
              <a:off x="2152650" y="40600312"/>
              <a:ext cx="805862" cy="3607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𝑘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panose="02040503050406030204" pitchFamily="18" charset="0"/>
                </a:rPr>
                <a:t>𝑡𝑐=(∑▒𝑇_𝑔 )/(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∑▒𝑇_𝑡 )</a:t>
              </a:r>
              <a:r>
                <a:rPr lang="en-US" sz="1100" b="0" i="0">
                  <a:latin typeface="Cambria Math" panose="02040503050406030204" pitchFamily="18" charset="0"/>
                </a:rPr>
                <a:t>=</a:t>
              </a:r>
              <a:endParaRPr lang="en-GB" sz="1100"/>
            </a:p>
          </xdr:txBody>
        </xdr:sp>
      </mc:Fallback>
    </mc:AlternateContent>
    <xdr:clientData/>
  </xdr:oneCellAnchor>
  <xdr:twoCellAnchor editAs="oneCell">
    <xdr:from>
      <xdr:col>31</xdr:col>
      <xdr:colOff>175698</xdr:colOff>
      <xdr:row>0</xdr:row>
      <xdr:rowOff>347382</xdr:rowOff>
    </xdr:from>
    <xdr:to>
      <xdr:col>38</xdr:col>
      <xdr:colOff>29677</xdr:colOff>
      <xdr:row>13</xdr:row>
      <xdr:rowOff>88288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187848" y="347382"/>
          <a:ext cx="4654579" cy="3265156"/>
        </a:xfrm>
        <a:prstGeom prst="rect">
          <a:avLst/>
        </a:prstGeom>
      </xdr:spPr>
    </xdr:pic>
    <xdr:clientData/>
  </xdr:twoCellAnchor>
  <xdr:oneCellAnchor>
    <xdr:from>
      <xdr:col>5</xdr:col>
      <xdr:colOff>295275</xdr:colOff>
      <xdr:row>181</xdr:row>
      <xdr:rowOff>38100</xdr:rowOff>
    </xdr:from>
    <xdr:ext cx="1840278" cy="5143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3467100" y="30289500"/>
              <a:ext cx="1840278" cy="514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𝑀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𝑙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h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𝑐</m:t>
                                        </m:r>
                                      </m:sub>
                                    </m:sSub>
                                  </m:num>
                                  <m:den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1,15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𝑝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𝑚𝑎𝑥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3467100" y="30289500"/>
              <a:ext cx="1840278" cy="5143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((𝑙−ℎ_𝑐)/2)^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1,15𝑝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_𝑚𝑎𝑥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6</xdr:col>
      <xdr:colOff>219075</xdr:colOff>
      <xdr:row>184</xdr:row>
      <xdr:rowOff>19050</xdr:rowOff>
    </xdr:from>
    <xdr:ext cx="1255058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4076700" y="30984825"/>
              <a:ext cx="125505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0,9</m:t>
                        </m:r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h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𝑜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𝑠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</m:oMath>
                </m:oMathPara>
              </a14:m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4076700" y="30984825"/>
              <a:ext cx="125505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𝐴_𝑠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0,9ℎ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𝑜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𝑅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𝑠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endParaRPr lang="en-US" sz="11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ienKham" refreshedDate="44573.498038888887" createdVersion="7" refreshedVersion="7" minRefreshableVersion="3" recordCount="111">
  <cacheSource type="worksheet">
    <worksheetSource ref="C2:L21999" sheet="Joint Reactions"/>
  </cacheSource>
  <cacheFields count="10">
    <cacheField name="Story" numFmtId="0">
      <sharedItems containsBlank="1"/>
    </cacheField>
    <cacheField name="Joint Label" numFmtId="0">
      <sharedItems containsString="0" containsBlank="1" containsNumber="1" containsInteger="1" minValue="2" maxValue="165" count="28">
        <m/>
        <n v="13"/>
        <n v="18"/>
        <n v="56"/>
        <n v="61"/>
        <n v="67"/>
        <n v="72"/>
        <n v="119"/>
        <n v="124"/>
        <n v="153"/>
        <n v="155"/>
        <n v="160"/>
        <n v="165"/>
        <n v="5" u="1"/>
        <n v="14" u="1"/>
        <n v="2" u="1"/>
        <n v="6" u="1"/>
        <n v="54" u="1"/>
        <n v="7" u="1"/>
        <n v="33" u="1"/>
        <n v="3" u="1"/>
        <n v="8" u="1"/>
        <n v="9" u="1"/>
        <n v="43" u="1"/>
        <n v="11" u="1"/>
        <n v="113" u="1"/>
        <n v="4" u="1"/>
        <n v="12" u="1"/>
      </sharedItems>
    </cacheField>
    <cacheField name="Unique Name" numFmtId="0">
      <sharedItems containsString="0" containsBlank="1" containsNumber="1" containsInteger="1" minValue="111" maxValue="262"/>
    </cacheField>
    <cacheField name="Load Case/Combo" numFmtId="0">
      <sharedItems containsBlank="1"/>
    </cacheField>
    <cacheField name="FX" numFmtId="0">
      <sharedItems containsBlank="1" containsMixedTypes="1" containsNumber="1" minValue="-8.8000000000000007" maxValue="8.6"/>
    </cacheField>
    <cacheField name="FY" numFmtId="0">
      <sharedItems containsBlank="1" containsMixedTypes="1" containsNumber="1" minValue="-52.4" maxValue="53.7"/>
    </cacheField>
    <cacheField name="FZ" numFmtId="0">
      <sharedItems containsBlank="1" containsMixedTypes="1" containsNumber="1" minValue="96.1" maxValue="447"/>
    </cacheField>
    <cacheField name="MX" numFmtId="0">
      <sharedItems containsBlank="1" containsMixedTypes="1" containsNumber="1" minValue="-44.7" maxValue="45.1"/>
    </cacheField>
    <cacheField name="MY" numFmtId="0">
      <sharedItems containsBlank="1" containsMixedTypes="1" containsNumber="1" minValue="-8.5" maxValue="8"/>
    </cacheField>
    <cacheField name="MZ" numFmtId="0">
      <sharedItems containsBlank="1" containsMixedTypes="1" containsNumber="1" minValue="-0.1" maxValue="0.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">
  <r>
    <m/>
    <x v="0"/>
    <m/>
    <m/>
    <s v="kN"/>
    <s v="kN"/>
    <s v="kN"/>
    <s v="kN-m"/>
    <s v="kN-m"/>
    <s v="kN-m"/>
  </r>
  <r>
    <s v="Base"/>
    <x v="1"/>
    <n v="118"/>
    <s v="COMB1"/>
    <n v="0"/>
    <n v="0"/>
    <n v="159.69999999999999"/>
    <n v="-0.8"/>
    <n v="1.3"/>
    <n v="0"/>
  </r>
  <r>
    <s v="Base"/>
    <x v="1"/>
    <n v="118"/>
    <s v="COMB2"/>
    <n v="0"/>
    <n v="0"/>
    <n v="151.5"/>
    <n v="-1.3"/>
    <n v="-2.7"/>
    <n v="0"/>
  </r>
  <r>
    <s v="Base"/>
    <x v="1"/>
    <n v="118"/>
    <s v="COMB3"/>
    <n v="6.7"/>
    <n v="0"/>
    <n v="165.2"/>
    <n v="-0.4"/>
    <n v="5.3"/>
    <n v="0"/>
  </r>
  <r>
    <s v="Base"/>
    <x v="1"/>
    <n v="118"/>
    <s v="COMB4"/>
    <n v="0"/>
    <n v="0"/>
    <n v="151.6"/>
    <n v="2.6"/>
    <n v="1"/>
    <n v="0"/>
  </r>
  <r>
    <s v="Base"/>
    <x v="1"/>
    <n v="118"/>
    <s v="COMB5"/>
    <n v="0"/>
    <n v="0"/>
    <n v="165.6"/>
    <n v="-4.3"/>
    <n v="1.5"/>
    <n v="0"/>
  </r>
  <r>
    <s v="Base"/>
    <x v="1"/>
    <n v="118"/>
    <s v="COMB6"/>
    <n v="0"/>
    <n v="0"/>
    <n v="140.19999999999999"/>
    <n v="-1.3"/>
    <n v="-3.2"/>
    <n v="0"/>
  </r>
  <r>
    <s v="Base"/>
    <x v="1"/>
    <n v="118"/>
    <s v="COMB7"/>
    <n v="7.1"/>
    <n v="0"/>
    <n v="155.4"/>
    <n v="-0.3"/>
    <n v="5.7"/>
    <n v="0"/>
  </r>
  <r>
    <s v="Base"/>
    <x v="1"/>
    <n v="118"/>
    <s v="COMB8"/>
    <n v="0"/>
    <n v="0"/>
    <n v="140.30000000000001"/>
    <n v="3"/>
    <n v="1"/>
    <n v="0"/>
  </r>
  <r>
    <s v="Base"/>
    <x v="1"/>
    <n v="118"/>
    <s v="COMB9"/>
    <n v="0"/>
    <n v="5.0999999999999996"/>
    <n v="155.80000000000001"/>
    <n v="-4.7"/>
    <n v="1.6"/>
    <n v="0"/>
  </r>
  <r>
    <s v="Base"/>
    <x v="2"/>
    <n v="119"/>
    <s v="COMB1"/>
    <n v="0"/>
    <n v="0"/>
    <n v="165.3"/>
    <n v="-0.7"/>
    <n v="-2.1"/>
    <n v="0"/>
  </r>
  <r>
    <s v="Base"/>
    <x v="2"/>
    <n v="119"/>
    <s v="COMB2"/>
    <n v="-7.6"/>
    <n v="0"/>
    <n v="171.8"/>
    <n v="-0.8"/>
    <n v="-6.2"/>
    <n v="0"/>
  </r>
  <r>
    <s v="Base"/>
    <x v="2"/>
    <n v="119"/>
    <s v="COMB3"/>
    <n v="0"/>
    <n v="0"/>
    <n v="156"/>
    <n v="-0.5"/>
    <n v="2"/>
    <n v="0"/>
  </r>
  <r>
    <s v="Base"/>
    <x v="2"/>
    <n v="119"/>
    <s v="COMB4"/>
    <n v="0"/>
    <n v="0"/>
    <n v="157.69999999999999"/>
    <n v="3.1"/>
    <n v="-2.4"/>
    <n v="0"/>
  </r>
  <r>
    <s v="Base"/>
    <x v="2"/>
    <n v="119"/>
    <s v="COMB5"/>
    <n v="0"/>
    <n v="0"/>
    <n v="170.5"/>
    <n v="-4.4000000000000004"/>
    <n v="-1.8"/>
    <n v="0"/>
  </r>
  <r>
    <s v="Base"/>
    <x v="2"/>
    <n v="119"/>
    <s v="COMB6"/>
    <n v="-8"/>
    <n v="0"/>
    <n v="161.80000000000001"/>
    <n v="-0.8"/>
    <n v="-6.6"/>
    <n v="0"/>
  </r>
  <r>
    <s v="Base"/>
    <x v="2"/>
    <n v="119"/>
    <s v="COMB7"/>
    <n v="0"/>
    <n v="0"/>
    <n v="144.30000000000001"/>
    <n v="-0.5"/>
    <n v="2.4"/>
    <n v="0"/>
  </r>
  <r>
    <s v="Base"/>
    <x v="2"/>
    <n v="119"/>
    <s v="COMB8"/>
    <n v="0"/>
    <n v="0"/>
    <n v="146.19999999999999"/>
    <n v="3.5"/>
    <n v="-2.4"/>
    <n v="0"/>
  </r>
  <r>
    <s v="Base"/>
    <x v="2"/>
    <n v="119"/>
    <s v="COMB9"/>
    <n v="0"/>
    <n v="5.4"/>
    <n v="160.4"/>
    <n v="-4.8"/>
    <n v="-1.8"/>
    <n v="0"/>
  </r>
  <r>
    <s v="Base"/>
    <x v="3"/>
    <n v="111"/>
    <s v="COMB1"/>
    <n v="0"/>
    <n v="0"/>
    <n v="214.5"/>
    <n v="-1.7"/>
    <n v="1.3"/>
    <n v="0"/>
  </r>
  <r>
    <s v="Base"/>
    <x v="3"/>
    <n v="111"/>
    <s v="COMB2"/>
    <n v="0"/>
    <n v="0"/>
    <n v="208.2"/>
    <n v="-2.2000000000000002"/>
    <n v="-2.4"/>
    <n v="0"/>
  </r>
  <r>
    <s v="Base"/>
    <x v="3"/>
    <n v="111"/>
    <s v="COMB3"/>
    <n v="6.2"/>
    <n v="0"/>
    <n v="219.2"/>
    <n v="-1.2"/>
    <n v="5"/>
    <n v="0"/>
  </r>
  <r>
    <s v="Base"/>
    <x v="3"/>
    <n v="111"/>
    <s v="COMB4"/>
    <n v="0"/>
    <n v="0"/>
    <n v="214.4"/>
    <n v="2.1"/>
    <n v="1.2"/>
    <n v="0"/>
  </r>
  <r>
    <s v="Base"/>
    <x v="3"/>
    <n v="111"/>
    <s v="COMB5"/>
    <n v="0"/>
    <n v="6.7"/>
    <n v="212.4"/>
    <n v="-5.5"/>
    <n v="1.4"/>
    <n v="0"/>
  </r>
  <r>
    <s v="Base"/>
    <x v="3"/>
    <n v="111"/>
    <s v="COMB6"/>
    <n v="0"/>
    <n v="0"/>
    <n v="198.1"/>
    <n v="-2.2000000000000002"/>
    <n v="-2.8"/>
    <n v="0"/>
  </r>
  <r>
    <s v="Base"/>
    <x v="3"/>
    <n v="111"/>
    <s v="COMB7"/>
    <n v="6.6"/>
    <n v="0"/>
    <n v="210.2"/>
    <n v="-1.1000000000000001"/>
    <n v="5.4"/>
    <n v="0"/>
  </r>
  <r>
    <s v="Base"/>
    <x v="3"/>
    <n v="111"/>
    <s v="COMB8"/>
    <n v="0"/>
    <n v="0"/>
    <n v="204.9"/>
    <n v="2.5"/>
    <n v="1.1000000000000001"/>
    <n v="0"/>
  </r>
  <r>
    <s v="Base"/>
    <x v="3"/>
    <n v="111"/>
    <s v="COMB9"/>
    <n v="0"/>
    <n v="7.2"/>
    <n v="202.7"/>
    <n v="-5.9"/>
    <n v="1.4"/>
    <n v="0"/>
  </r>
  <r>
    <s v="Base"/>
    <x v="4"/>
    <n v="116"/>
    <s v="COMB1"/>
    <n v="0"/>
    <n v="0"/>
    <n v="397.4"/>
    <n v="-1.3"/>
    <n v="-0.6"/>
    <n v="0"/>
  </r>
  <r>
    <s v="Base"/>
    <x v="4"/>
    <n v="116"/>
    <s v="COMB2"/>
    <n v="-5.3"/>
    <n v="0"/>
    <n v="396.1"/>
    <n v="-1.5"/>
    <n v="-4.5999999999999996"/>
    <n v="0"/>
  </r>
  <r>
    <s v="Base"/>
    <x v="4"/>
    <n v="116"/>
    <s v="COMB3"/>
    <n v="0"/>
    <n v="0"/>
    <n v="394"/>
    <n v="-1.2"/>
    <n v="3.4"/>
    <n v="0"/>
  </r>
  <r>
    <s v="Base"/>
    <x v="4"/>
    <n v="116"/>
    <s v="COMB4"/>
    <n v="0"/>
    <n v="0"/>
    <n v="396.9"/>
    <n v="2.6"/>
    <n v="-0.7"/>
    <n v="0"/>
  </r>
  <r>
    <s v="Base"/>
    <x v="4"/>
    <n v="116"/>
    <s v="COMB5"/>
    <n v="0"/>
    <n v="6.5"/>
    <n v="392.6"/>
    <n v="-5.3"/>
    <n v="-0.5"/>
    <n v="0"/>
  </r>
  <r>
    <s v="Base"/>
    <x v="4"/>
    <n v="116"/>
    <s v="COMB6"/>
    <n v="-5.7"/>
    <n v="0"/>
    <n v="373.7"/>
    <n v="-1.5"/>
    <n v="-5.0999999999999996"/>
    <n v="0"/>
  </r>
  <r>
    <s v="Base"/>
    <x v="4"/>
    <n v="116"/>
    <s v="COMB7"/>
    <n v="0"/>
    <n v="0"/>
    <n v="371.3"/>
    <n v="-1.2"/>
    <n v="3.9"/>
    <n v="0"/>
  </r>
  <r>
    <s v="Base"/>
    <x v="4"/>
    <n v="116"/>
    <s v="COMB8"/>
    <n v="0"/>
    <n v="0"/>
    <n v="374.5"/>
    <n v="3"/>
    <n v="-0.7"/>
    <n v="0"/>
  </r>
  <r>
    <s v="Base"/>
    <x v="4"/>
    <n v="116"/>
    <s v="COMB9"/>
    <n v="0"/>
    <n v="7"/>
    <n v="369.7"/>
    <n v="-5.7"/>
    <n v="-0.5"/>
    <n v="0"/>
  </r>
  <r>
    <s v="Base"/>
    <x v="5"/>
    <n v="125"/>
    <s v="COMB1"/>
    <n v="0"/>
    <n v="32.9"/>
    <n v="414.5"/>
    <n v="-17.7"/>
    <n v="-0.3"/>
    <n v="0"/>
  </r>
  <r>
    <s v="Base"/>
    <x v="5"/>
    <n v="125"/>
    <s v="COMB2"/>
    <n v="-7.9"/>
    <n v="32.200000000000003"/>
    <n v="407.2"/>
    <n v="-16.7"/>
    <n v="-7.7"/>
    <n v="-0.1"/>
  </r>
  <r>
    <s v="Base"/>
    <x v="5"/>
    <n v="125"/>
    <s v="COMB3"/>
    <n v="7.7"/>
    <n v="33.700000000000003"/>
    <n v="417.1"/>
    <n v="-18.7"/>
    <n v="7.2"/>
    <n v="0.1"/>
  </r>
  <r>
    <s v="Base"/>
    <x v="5"/>
    <n v="125"/>
    <s v="COMB4"/>
    <n v="0"/>
    <n v="14.7"/>
    <n v="387.5"/>
    <n v="6.4"/>
    <n v="-0.4"/>
    <n v="0"/>
  </r>
  <r>
    <s v="Base"/>
    <x v="5"/>
    <n v="125"/>
    <s v="COMB5"/>
    <n v="0"/>
    <n v="51.3"/>
    <n v="437.2"/>
    <n v="-41.8"/>
    <n v="-0.1"/>
    <n v="0"/>
  </r>
  <r>
    <s v="Base"/>
    <x v="5"/>
    <n v="125"/>
    <s v="COMB6"/>
    <n v="-8.8000000000000007"/>
    <n v="32.5"/>
    <n v="385.2"/>
    <n v="-16.8"/>
    <n v="-8.5"/>
    <n v="-0.1"/>
  </r>
  <r>
    <s v="Base"/>
    <x v="5"/>
    <n v="125"/>
    <s v="COMB7"/>
    <n v="8.6"/>
    <n v="34.200000000000003"/>
    <n v="396.2"/>
    <n v="-19.100000000000001"/>
    <n v="8"/>
    <n v="0.1"/>
  </r>
  <r>
    <s v="Base"/>
    <x v="5"/>
    <n v="125"/>
    <s v="COMB8"/>
    <n v="0"/>
    <n v="13.1"/>
    <n v="363.3"/>
    <n v="8.9"/>
    <n v="-0.4"/>
    <n v="-0.1"/>
  </r>
  <r>
    <s v="Base"/>
    <x v="5"/>
    <n v="125"/>
    <s v="COMB9"/>
    <n v="0"/>
    <n v="53.7"/>
    <n v="418.6"/>
    <n v="-44.7"/>
    <n v="0"/>
    <n v="0"/>
  </r>
  <r>
    <s v="Base"/>
    <x v="6"/>
    <n v="131"/>
    <s v="COMB1"/>
    <n v="0"/>
    <n v="8.8000000000000007"/>
    <n v="266.2"/>
    <n v="-5.2"/>
    <n v="-0.9"/>
    <n v="0"/>
  </r>
  <r>
    <s v="Base"/>
    <x v="6"/>
    <n v="131"/>
    <s v="COMB2"/>
    <n v="-5.5"/>
    <n v="8.5"/>
    <n v="272.8"/>
    <n v="-4.8"/>
    <n v="-4.8"/>
    <n v="0"/>
  </r>
  <r>
    <s v="Base"/>
    <x v="6"/>
    <n v="131"/>
    <s v="COMB3"/>
    <n v="0"/>
    <n v="9.1999999999999993"/>
    <n v="256"/>
    <n v="-5.5"/>
    <n v="2.9"/>
    <n v="0"/>
  </r>
  <r>
    <s v="Base"/>
    <x v="6"/>
    <n v="131"/>
    <s v="COMB4"/>
    <n v="0"/>
    <n v="0"/>
    <n v="259.60000000000002"/>
    <n v="-0.9"/>
    <n v="-1"/>
    <n v="0"/>
  </r>
  <r>
    <s v="Base"/>
    <x v="6"/>
    <n v="131"/>
    <s v="COMB5"/>
    <n v="0"/>
    <n v="13.2"/>
    <n v="269"/>
    <n v="-9.4"/>
    <n v="-0.8"/>
    <n v="0"/>
  </r>
  <r>
    <s v="Base"/>
    <x v="6"/>
    <n v="131"/>
    <s v="COMB6"/>
    <n v="-6"/>
    <n v="8.4"/>
    <n v="257.5"/>
    <n v="-4.7"/>
    <n v="-5.2"/>
    <n v="0"/>
  </r>
  <r>
    <s v="Base"/>
    <x v="6"/>
    <n v="131"/>
    <s v="COMB7"/>
    <n v="0"/>
    <n v="9.3000000000000007"/>
    <n v="238.8"/>
    <n v="-5.6"/>
    <n v="3.3"/>
    <n v="0"/>
  </r>
  <r>
    <s v="Base"/>
    <x v="6"/>
    <n v="131"/>
    <s v="COMB8"/>
    <n v="0"/>
    <n v="0"/>
    <n v="242.8"/>
    <n v="-0.4"/>
    <n v="-1"/>
    <n v="0"/>
  </r>
  <r>
    <s v="Base"/>
    <x v="6"/>
    <n v="131"/>
    <s v="COMB9"/>
    <n v="0"/>
    <n v="13.7"/>
    <n v="253.2"/>
    <n v="-9.9"/>
    <n v="-0.8"/>
    <n v="0"/>
  </r>
  <r>
    <s v="Base"/>
    <x v="7"/>
    <n v="262"/>
    <s v="COMB1"/>
    <n v="0"/>
    <n v="0"/>
    <n v="185.4"/>
    <n v="1.7"/>
    <n v="1.9"/>
    <n v="0"/>
  </r>
  <r>
    <s v="Base"/>
    <x v="7"/>
    <n v="262"/>
    <s v="COMB2"/>
    <n v="0"/>
    <n v="0"/>
    <n v="176.4"/>
    <n v="1.3"/>
    <n v="-1.6"/>
    <n v="0"/>
  </r>
  <r>
    <s v="Base"/>
    <x v="7"/>
    <n v="262"/>
    <s v="COMB3"/>
    <n v="6.8"/>
    <n v="0"/>
    <n v="192"/>
    <n v="2.2000000000000002"/>
    <n v="5.3"/>
    <n v="0"/>
  </r>
  <r>
    <s v="Base"/>
    <x v="7"/>
    <n v="262"/>
    <s v="COMB4"/>
    <n v="0"/>
    <n v="-6.9"/>
    <n v="184.7"/>
    <n v="5.2"/>
    <n v="1.8"/>
    <n v="0"/>
  </r>
  <r>
    <s v="Base"/>
    <x v="7"/>
    <n v="262"/>
    <s v="COMB5"/>
    <n v="0"/>
    <n v="0"/>
    <n v="183.4"/>
    <n v="-1.7"/>
    <n v="1.9"/>
    <n v="0"/>
  </r>
  <r>
    <s v="Base"/>
    <x v="7"/>
    <n v="262"/>
    <s v="COMB6"/>
    <n v="0"/>
    <n v="0"/>
    <n v="164.1"/>
    <n v="1.3"/>
    <n v="-1.9"/>
    <n v="0"/>
  </r>
  <r>
    <s v="Base"/>
    <x v="7"/>
    <n v="262"/>
    <s v="COMB7"/>
    <n v="7.3"/>
    <n v="0"/>
    <n v="181.4"/>
    <n v="2.2000000000000002"/>
    <n v="5.7"/>
    <n v="0"/>
  </r>
  <r>
    <s v="Base"/>
    <x v="7"/>
    <n v="262"/>
    <s v="COMB8"/>
    <n v="0"/>
    <n v="-7.3"/>
    <n v="173.3"/>
    <n v="5.6"/>
    <n v="1.8"/>
    <n v="0"/>
  </r>
  <r>
    <s v="Base"/>
    <x v="7"/>
    <n v="262"/>
    <s v="COMB9"/>
    <n v="0"/>
    <n v="0"/>
    <n v="171.8"/>
    <n v="-2.1"/>
    <n v="2"/>
    <n v="0"/>
  </r>
  <r>
    <s v="Base"/>
    <x v="8"/>
    <n v="133"/>
    <s v="COMB1"/>
    <n v="0"/>
    <n v="0"/>
    <n v="307"/>
    <n v="1.1000000000000001"/>
    <n v="-1.3"/>
    <n v="0"/>
  </r>
  <r>
    <s v="Base"/>
    <x v="8"/>
    <n v="133"/>
    <s v="COMB2"/>
    <n v="-5.9"/>
    <n v="0"/>
    <n v="310.7"/>
    <n v="0.9"/>
    <n v="-4.9000000000000004"/>
    <n v="0"/>
  </r>
  <r>
    <s v="Base"/>
    <x v="8"/>
    <n v="133"/>
    <s v="COMB3"/>
    <n v="0"/>
    <n v="0"/>
    <n v="299.5"/>
    <n v="1.2"/>
    <n v="2.2000000000000002"/>
    <n v="0"/>
  </r>
  <r>
    <s v="Base"/>
    <x v="8"/>
    <n v="133"/>
    <s v="COMB4"/>
    <n v="0"/>
    <n v="-6.2"/>
    <n v="293.89999999999998"/>
    <n v="5.0999999999999996"/>
    <n v="-1.1000000000000001"/>
    <n v="0"/>
  </r>
  <r>
    <s v="Base"/>
    <x v="8"/>
    <n v="133"/>
    <s v="COMB5"/>
    <n v="0"/>
    <n v="0"/>
    <n v="316.2"/>
    <n v="-2.9"/>
    <n v="-1.5"/>
    <n v="0"/>
  </r>
  <r>
    <s v="Base"/>
    <x v="8"/>
    <n v="133"/>
    <s v="COMB6"/>
    <n v="-6.3"/>
    <n v="0"/>
    <n v="295.39999999999998"/>
    <n v="0.9"/>
    <n v="-5.3"/>
    <n v="0"/>
  </r>
  <r>
    <s v="Base"/>
    <x v="8"/>
    <n v="133"/>
    <s v="COMB7"/>
    <n v="0"/>
    <n v="0"/>
    <n v="283"/>
    <n v="1.3"/>
    <n v="2.6"/>
    <n v="0"/>
  </r>
  <r>
    <s v="Base"/>
    <x v="8"/>
    <n v="133"/>
    <s v="COMB8"/>
    <n v="0"/>
    <n v="-6.7"/>
    <n v="276.7"/>
    <n v="5.5"/>
    <n v="-1.1000000000000001"/>
    <n v="0"/>
  </r>
  <r>
    <s v="Base"/>
    <x v="8"/>
    <n v="133"/>
    <s v="COMB9"/>
    <n v="0"/>
    <n v="0"/>
    <n v="301.5"/>
    <n v="-3.4"/>
    <n v="-1.6"/>
    <n v="0"/>
  </r>
  <r>
    <s v="Base"/>
    <x v="9"/>
    <n v="172"/>
    <s v="COMB1"/>
    <n v="0"/>
    <n v="0"/>
    <n v="115.3"/>
    <n v="1.2"/>
    <n v="0.4"/>
    <n v="0"/>
  </r>
  <r>
    <s v="Base"/>
    <x v="9"/>
    <n v="172"/>
    <s v="COMB2"/>
    <n v="0"/>
    <n v="0"/>
    <n v="106.4"/>
    <n v="1"/>
    <n v="-3.1"/>
    <n v="0"/>
  </r>
  <r>
    <s v="Base"/>
    <x v="9"/>
    <n v="172"/>
    <s v="COMB3"/>
    <n v="0"/>
    <n v="0"/>
    <n v="121.8"/>
    <n v="1.5"/>
    <n v="3.8"/>
    <n v="0"/>
  </r>
  <r>
    <s v="Base"/>
    <x v="9"/>
    <n v="172"/>
    <s v="COMB4"/>
    <n v="0"/>
    <n v="-6"/>
    <n v="123.5"/>
    <n v="4.8"/>
    <n v="0.5"/>
    <n v="0"/>
  </r>
  <r>
    <s v="Base"/>
    <x v="9"/>
    <n v="172"/>
    <s v="COMB5"/>
    <n v="0"/>
    <n v="0"/>
    <n v="105.5"/>
    <n v="-2.2999999999999998"/>
    <n v="0.2"/>
    <n v="0"/>
  </r>
  <r>
    <s v="Base"/>
    <x v="9"/>
    <n v="172"/>
    <s v="COMB6"/>
    <n v="0"/>
    <n v="0"/>
    <n v="97.2"/>
    <n v="0.9"/>
    <n v="-3.5"/>
    <n v="0"/>
  </r>
  <r>
    <s v="Base"/>
    <x v="9"/>
    <n v="172"/>
    <s v="COMB7"/>
    <n v="0"/>
    <n v="0"/>
    <n v="114.3"/>
    <n v="1.5"/>
    <n v="4.2"/>
    <n v="0"/>
  </r>
  <r>
    <s v="Base"/>
    <x v="9"/>
    <n v="172"/>
    <s v="COMB8"/>
    <n v="0"/>
    <n v="-6.4"/>
    <n v="116.1"/>
    <n v="5.0999999999999996"/>
    <n v="0.6"/>
    <n v="0"/>
  </r>
  <r>
    <s v="Base"/>
    <x v="9"/>
    <n v="172"/>
    <s v="COMB9"/>
    <n v="0"/>
    <n v="0"/>
    <n v="96.1"/>
    <n v="-2.7"/>
    <n v="0.2"/>
    <n v="0"/>
  </r>
  <r>
    <s v="Base"/>
    <x v="10"/>
    <n v="122"/>
    <s v="COMB1"/>
    <n v="0"/>
    <n v="0"/>
    <n v="224.7"/>
    <n v="0.1"/>
    <n v="0.6"/>
    <n v="0"/>
  </r>
  <r>
    <s v="Base"/>
    <x v="10"/>
    <n v="122"/>
    <s v="COMB2"/>
    <n v="0"/>
    <n v="0"/>
    <n v="225.8"/>
    <n v="-0.1"/>
    <n v="-3"/>
    <n v="0"/>
  </r>
  <r>
    <s v="Base"/>
    <x v="10"/>
    <n v="122"/>
    <s v="COMB3"/>
    <n v="0"/>
    <n v="0"/>
    <n v="220.3"/>
    <n v="0.2"/>
    <n v="4.0999999999999996"/>
    <n v="0"/>
  </r>
  <r>
    <s v="Base"/>
    <x v="10"/>
    <n v="122"/>
    <s v="COMB4"/>
    <n v="0"/>
    <n v="0"/>
    <n v="234.4"/>
    <n v="3.8"/>
    <n v="0.8"/>
    <n v="0"/>
  </r>
  <r>
    <s v="Base"/>
    <x v="10"/>
    <n v="122"/>
    <s v="COMB5"/>
    <n v="0"/>
    <n v="0"/>
    <n v="211.6"/>
    <n v="-3.7"/>
    <n v="0.4"/>
    <n v="0"/>
  </r>
  <r>
    <s v="Base"/>
    <x v="10"/>
    <n v="122"/>
    <s v="COMB6"/>
    <n v="0"/>
    <n v="0"/>
    <n v="211.6"/>
    <n v="-0.1"/>
    <n v="-3.4"/>
    <n v="0"/>
  </r>
  <r>
    <s v="Base"/>
    <x v="10"/>
    <n v="122"/>
    <s v="COMB7"/>
    <n v="5.3"/>
    <n v="0"/>
    <n v="205.5"/>
    <n v="0.3"/>
    <n v="4.5999999999999996"/>
    <n v="0"/>
  </r>
  <r>
    <s v="Base"/>
    <x v="10"/>
    <n v="122"/>
    <s v="COMB8"/>
    <n v="0"/>
    <n v="0"/>
    <n v="221.2"/>
    <n v="4.2"/>
    <n v="0.8"/>
    <n v="0"/>
  </r>
  <r>
    <s v="Base"/>
    <x v="10"/>
    <n v="122"/>
    <s v="COMB9"/>
    <n v="0"/>
    <n v="0"/>
    <n v="195.9"/>
    <n v="-4.0999999999999996"/>
    <n v="0.4"/>
    <n v="0"/>
  </r>
  <r>
    <s v="Base"/>
    <x v="11"/>
    <n v="123"/>
    <s v="COMB1"/>
    <n v="0"/>
    <n v="-31.7"/>
    <n v="423.6"/>
    <n v="18.100000000000001"/>
    <n v="-0.6"/>
    <n v="0"/>
  </r>
  <r>
    <s v="Base"/>
    <x v="11"/>
    <n v="123"/>
    <s v="COMB2"/>
    <n v="-7.9"/>
    <n v="-32.5"/>
    <n v="419.2"/>
    <n v="19.100000000000001"/>
    <n v="-7.2"/>
    <n v="-0.1"/>
  </r>
  <r>
    <s v="Base"/>
    <x v="11"/>
    <n v="123"/>
    <s v="COMB3"/>
    <n v="5.8"/>
    <n v="-31"/>
    <n v="423.3"/>
    <n v="17.100000000000001"/>
    <n v="6"/>
    <n v="0"/>
  </r>
  <r>
    <s v="Base"/>
    <x v="11"/>
    <n v="123"/>
    <s v="COMB4"/>
    <n v="0"/>
    <n v="-49.9"/>
    <n v="447"/>
    <n v="42.2"/>
    <n v="-0.3"/>
    <n v="0"/>
  </r>
  <r>
    <s v="Base"/>
    <x v="11"/>
    <n v="123"/>
    <s v="COMB5"/>
    <n v="0"/>
    <n v="-13.6"/>
    <n v="396"/>
    <n v="-5.9"/>
    <n v="-1"/>
    <n v="0"/>
  </r>
  <r>
    <s v="Base"/>
    <x v="11"/>
    <n v="123"/>
    <s v="COMB6"/>
    <n v="-8.6999999999999993"/>
    <n v="-32.9"/>
    <n v="398.2"/>
    <n v="19.5"/>
    <n v="-7.9"/>
    <n v="-0.1"/>
  </r>
  <r>
    <s v="Base"/>
    <x v="11"/>
    <n v="123"/>
    <s v="COMB7"/>
    <n v="6.6"/>
    <n v="-31.3"/>
    <n v="402.8"/>
    <n v="17.2"/>
    <n v="6.7"/>
    <n v="0"/>
  </r>
  <r>
    <s v="Base"/>
    <x v="11"/>
    <n v="123"/>
    <s v="COMB8"/>
    <n v="0"/>
    <n v="-52.4"/>
    <n v="429.1"/>
    <n v="45.1"/>
    <n v="-0.2"/>
    <n v="-0.1"/>
  </r>
  <r>
    <s v="Base"/>
    <x v="11"/>
    <n v="123"/>
    <s v="COMB9"/>
    <n v="0"/>
    <n v="-12"/>
    <n v="372.5"/>
    <n v="-8.4"/>
    <n v="-1"/>
    <n v="0"/>
  </r>
  <r>
    <s v="Base"/>
    <x v="12"/>
    <n v="144"/>
    <s v="COMB1"/>
    <n v="0"/>
    <n v="-9.4"/>
    <n v="274.7"/>
    <n v="5.6"/>
    <n v="-0.5"/>
    <n v="0"/>
  </r>
  <r>
    <s v="Base"/>
    <x v="12"/>
    <n v="144"/>
    <s v="COMB2"/>
    <n v="0"/>
    <n v="-9.9"/>
    <n v="281.89999999999998"/>
    <n v="6"/>
    <n v="-4"/>
    <n v="0"/>
  </r>
  <r>
    <s v="Base"/>
    <x v="12"/>
    <n v="144"/>
    <s v="COMB3"/>
    <n v="0"/>
    <n v="-8.9"/>
    <n v="263.8"/>
    <n v="5.0999999999999996"/>
    <n v="2.9"/>
    <n v="0"/>
  </r>
  <r>
    <s v="Base"/>
    <x v="12"/>
    <n v="144"/>
    <s v="COMB4"/>
    <n v="0"/>
    <n v="-13.7"/>
    <n v="277.10000000000002"/>
    <n v="9.8000000000000007"/>
    <n v="-0.4"/>
    <n v="0"/>
  </r>
  <r>
    <s v="Base"/>
    <x v="12"/>
    <n v="144"/>
    <s v="COMB5"/>
    <n v="0"/>
    <n v="-5"/>
    <n v="268.3"/>
    <n v="1.3"/>
    <n v="-0.7"/>
    <n v="0"/>
  </r>
  <r>
    <s v="Base"/>
    <x v="12"/>
    <n v="144"/>
    <s v="COMB6"/>
    <n v="0"/>
    <n v="-10"/>
    <n v="266.10000000000002"/>
    <n v="6.1"/>
    <n v="-4.3"/>
    <n v="0"/>
  </r>
  <r>
    <s v="Base"/>
    <x v="12"/>
    <n v="144"/>
    <s v="COMB7"/>
    <n v="0"/>
    <n v="-8.9"/>
    <n v="246"/>
    <n v="5.0999999999999996"/>
    <n v="3.3"/>
    <n v="0"/>
  </r>
  <r>
    <s v="Base"/>
    <x v="12"/>
    <n v="144"/>
    <s v="COMB8"/>
    <n v="0"/>
    <n v="-14.3"/>
    <n v="260.7"/>
    <n v="10.3"/>
    <n v="-0.3"/>
    <n v="0"/>
  </r>
  <r>
    <s v="Base"/>
    <x v="12"/>
    <n v="144"/>
    <s v="COMB9"/>
    <n v="0"/>
    <n v="0"/>
    <n v="251"/>
    <n v="0.9"/>
    <n v="-0.7"/>
    <n v="0"/>
  </r>
  <r>
    <m/>
    <x v="0"/>
    <m/>
    <m/>
    <m/>
    <m/>
    <m/>
    <m/>
    <m/>
    <m/>
  </r>
  <r>
    <m/>
    <x v="0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O6:T20" firstHeaderRow="0" firstDataRow="1" firstDataCol="1"/>
  <pivotFields count="10">
    <pivotField showAll="0"/>
    <pivotField axis="axisRow" showAll="0">
      <items count="29">
        <item m="1" x="15"/>
        <item m="1" x="20"/>
        <item m="1" x="26"/>
        <item m="1" x="13"/>
        <item m="1" x="16"/>
        <item m="1" x="18"/>
        <item m="1" x="21"/>
        <item m="1" x="22"/>
        <item m="1" x="24"/>
        <item m="1" x="27"/>
        <item x="1"/>
        <item m="1" x="14"/>
        <item x="0"/>
        <item m="1" x="17"/>
        <item m="1" x="23"/>
        <item m="1" x="25"/>
        <item m="1" x="19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</pivotFields>
  <rowFields count="1">
    <field x="1"/>
  </rowFields>
  <rowItems count="14">
    <i>
      <x v="10"/>
    </i>
    <i>
      <x v="12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Max of FZ" fld="6" subtotal="max" baseField="1" baseItem="0"/>
    <dataField name="Max of FX" fld="4" subtotal="max" baseField="1" baseItem="0"/>
    <dataField name="Min of FX" fld="4" subtotal="min" baseField="1" baseItem="0"/>
    <dataField name="Max of FY" fld="5" subtotal="max" baseField="1" baseItem="0"/>
    <dataField name="Min of FY" fld="5" subtotal="min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K217"/>
  <sheetViews>
    <sheetView tabSelected="1" view="pageBreakPreview" zoomScaleNormal="100" zoomScaleSheetLayoutView="100" workbookViewId="0">
      <selection activeCell="M10" sqref="M10"/>
    </sheetView>
  </sheetViews>
  <sheetFormatPr defaultRowHeight="20.100000000000001" customHeight="1" x14ac:dyDescent="0.2"/>
  <cols>
    <col min="1" max="1" width="5.25" style="30" customWidth="1"/>
    <col min="2" max="2" width="12.25" style="30" customWidth="1"/>
    <col min="3" max="3" width="13.875" style="30" customWidth="1"/>
    <col min="4" max="4" width="9" style="30"/>
    <col min="5" max="5" width="11.25" style="30" customWidth="1"/>
    <col min="6" max="6" width="12.625" style="30" customWidth="1"/>
    <col min="7" max="7" width="9.375" style="30" customWidth="1"/>
    <col min="8" max="8" width="8.75" style="30" customWidth="1"/>
    <col min="9" max="10" width="9" style="30"/>
    <col min="11" max="21" width="9" style="30" customWidth="1"/>
    <col min="22" max="25" width="9" style="30"/>
    <col min="26" max="26" width="13" style="30" bestFit="1" customWidth="1"/>
    <col min="27" max="16384" width="9" style="30"/>
  </cols>
  <sheetData>
    <row r="1" spans="1:20" ht="39" customHeight="1" x14ac:dyDescent="0.2">
      <c r="A1" s="28" t="s">
        <v>152</v>
      </c>
      <c r="B1" s="29"/>
      <c r="C1" s="29"/>
      <c r="D1" s="29"/>
      <c r="E1" s="29"/>
      <c r="F1" s="29"/>
      <c r="G1" s="29"/>
      <c r="H1" s="29"/>
      <c r="I1" s="29"/>
      <c r="J1" s="29"/>
    </row>
    <row r="2" spans="1:20" ht="21.75" customHeight="1" x14ac:dyDescent="0.2">
      <c r="A2" s="31" t="s">
        <v>0</v>
      </c>
      <c r="C2" s="32" t="s">
        <v>200</v>
      </c>
      <c r="D2" s="30" t="s">
        <v>148</v>
      </c>
      <c r="E2" s="33">
        <v>56</v>
      </c>
      <c r="F2" s="30" t="str">
        <f>"Trục "&amp;VLOOKUP(L4,'Grid Lines'!G4:H50,2,FALSE)&amp;"-"&amp;VLOOKUP(K4,'Grid Lines'!G4:H50,2,FALSE)</f>
        <v>Trục B-1</v>
      </c>
      <c r="G2" s="30" t="s">
        <v>199</v>
      </c>
      <c r="H2" s="30" t="s">
        <v>74</v>
      </c>
      <c r="I2" s="30" t="str">
        <f>VLOOKUP(L5,'Joint Reactions'!$B:$L,5,FALSE)</f>
        <v>COMB3</v>
      </c>
      <c r="K2" s="32" t="s">
        <v>141</v>
      </c>
    </row>
    <row r="3" spans="1:20" ht="21.75" customHeight="1" x14ac:dyDescent="0.2">
      <c r="A3" s="31"/>
      <c r="C3" s="32"/>
      <c r="F3" s="34" t="s">
        <v>6</v>
      </c>
      <c r="J3" s="34"/>
      <c r="K3" s="32"/>
    </row>
    <row r="4" spans="1:20" ht="20.100000000000001" customHeight="1" x14ac:dyDescent="0.2">
      <c r="A4" s="35" t="s">
        <v>1</v>
      </c>
      <c r="E4" s="30" t="s">
        <v>28</v>
      </c>
      <c r="K4" s="36" t="str">
        <f>"X"&amp;VLOOKUP(E2,'Joint Coordinates'!$B$3:$G$160000,3,FALSE)</f>
        <v>X0</v>
      </c>
      <c r="L4" s="30" t="str">
        <f>"Y"&amp;VLOOKUP(E2,'Joint Coordinates'!$B$3:$G$160000,4,FALSE)</f>
        <v>Y3.85</v>
      </c>
    </row>
    <row r="5" spans="1:20" ht="20.100000000000001" customHeight="1" x14ac:dyDescent="0.2">
      <c r="B5" s="34" t="s">
        <v>2</v>
      </c>
      <c r="C5" s="37">
        <f>VLOOKUP(E2,'Joint Reactions'!$O:$T,2,FALSE)/10</f>
        <v>21.919999999999998</v>
      </c>
      <c r="D5" s="30" t="s">
        <v>5</v>
      </c>
      <c r="E5" s="34" t="s">
        <v>224</v>
      </c>
      <c r="F5" s="38">
        <f>C5/1.15</f>
        <v>19.060869565217391</v>
      </c>
      <c r="G5" s="30" t="s">
        <v>5</v>
      </c>
      <c r="K5" s="30">
        <f>VLOOKUP(E2,'Joint Reactions'!$O:$T,2,FALSE)</f>
        <v>219.2</v>
      </c>
      <c r="L5" s="30" t="str">
        <f>E2&amp;K5</f>
        <v>56219.2</v>
      </c>
    </row>
    <row r="6" spans="1:20" ht="20.100000000000001" customHeight="1" x14ac:dyDescent="0.2">
      <c r="B6" s="34" t="s">
        <v>3</v>
      </c>
      <c r="C6" s="37">
        <f>ABS(IF(K2="MX",VLOOKUP(L5,'Joint Reactions'!$B:$L,9,FALSE),VLOOKUP(L5,'Joint Reactions'!$B:$L,10,FALSE)))/10</f>
        <v>0.5</v>
      </c>
      <c r="D6" s="30" t="s">
        <v>58</v>
      </c>
      <c r="E6" s="34" t="s">
        <v>225</v>
      </c>
      <c r="F6" s="38">
        <f>C6/1.15</f>
        <v>0.43478260869565222</v>
      </c>
      <c r="G6" s="30" t="s">
        <v>58</v>
      </c>
      <c r="K6" s="30">
        <f>ROUND(10*D58/(E126/1000),0)</f>
        <v>10864</v>
      </c>
    </row>
    <row r="7" spans="1:20" ht="20.100000000000001" customHeight="1" x14ac:dyDescent="0.2">
      <c r="B7" s="34" t="s">
        <v>4</v>
      </c>
      <c r="C7" s="37">
        <f>ABS(IF(K2="MX",VLOOKUP(L5,'Joint Reactions'!$B:$L,7,FALSE),VLOOKUP(L5,'Joint Reactions'!$B:$L,6,FALSE)))/10</f>
        <v>0.62</v>
      </c>
      <c r="D7" s="30" t="s">
        <v>5</v>
      </c>
      <c r="E7" s="34"/>
      <c r="F7" s="32"/>
    </row>
    <row r="8" spans="1:20" ht="20.100000000000001" customHeight="1" x14ac:dyDescent="0.2">
      <c r="A8" s="35" t="s">
        <v>226</v>
      </c>
    </row>
    <row r="9" spans="1:20" ht="20.100000000000001" customHeight="1" x14ac:dyDescent="0.2">
      <c r="B9" s="30" t="s">
        <v>7</v>
      </c>
    </row>
    <row r="10" spans="1:20" ht="20.100000000000001" customHeight="1" x14ac:dyDescent="0.2">
      <c r="C10" s="30" t="s">
        <v>227</v>
      </c>
      <c r="E10" s="30" t="s">
        <v>9</v>
      </c>
    </row>
    <row r="11" spans="1:20" ht="20.100000000000001" customHeight="1" x14ac:dyDescent="0.2">
      <c r="B11" s="30" t="s">
        <v>228</v>
      </c>
    </row>
    <row r="14" spans="1:20" ht="20.100000000000001" customHeight="1" x14ac:dyDescent="0.2">
      <c r="E14" s="39">
        <f>TAN(RADIANS(45-I40/2))*SQRT(C7*10/D36/H49)</f>
        <v>0.25143916986527015</v>
      </c>
      <c r="F14" s="30" t="s">
        <v>8</v>
      </c>
      <c r="K14" s="30">
        <f>TAN(RADIANS(45-I40/2))*SQRT(2*C7*10/D36/H49)*0.7</f>
        <v>0.24891207889470818</v>
      </c>
    </row>
    <row r="16" spans="1:20" ht="20.100000000000001" customHeight="1" x14ac:dyDescent="0.2">
      <c r="B16" s="30" t="s">
        <v>229</v>
      </c>
      <c r="E16" s="32">
        <v>2.4</v>
      </c>
      <c r="F16" s="30" t="s">
        <v>8</v>
      </c>
      <c r="Q16" s="40" t="s">
        <v>82</v>
      </c>
      <c r="R16" s="40"/>
      <c r="S16" s="41"/>
      <c r="T16" s="40"/>
    </row>
    <row r="17" spans="1:37" ht="20.100000000000001" customHeight="1" x14ac:dyDescent="0.2">
      <c r="A17" s="42" t="s">
        <v>158</v>
      </c>
      <c r="B17" s="43"/>
      <c r="C17" s="44" t="s">
        <v>203</v>
      </c>
      <c r="F17" s="43"/>
      <c r="G17" s="43"/>
      <c r="H17" s="43"/>
      <c r="I17" s="43"/>
      <c r="L17" s="34" t="s">
        <v>80</v>
      </c>
      <c r="M17" s="45" t="s">
        <v>14</v>
      </c>
      <c r="O17" s="34" t="s">
        <v>81</v>
      </c>
      <c r="P17" s="34" t="s">
        <v>83</v>
      </c>
      <c r="Q17" s="34" t="s">
        <v>84</v>
      </c>
      <c r="R17" s="34" t="s">
        <v>83</v>
      </c>
      <c r="S17" s="34" t="s">
        <v>81</v>
      </c>
      <c r="T17" s="34" t="s">
        <v>39</v>
      </c>
      <c r="U17" s="34" t="s">
        <v>101</v>
      </c>
    </row>
    <row r="18" spans="1:37" ht="34.5" customHeight="1" x14ac:dyDescent="0.2">
      <c r="B18" s="46" t="s">
        <v>11</v>
      </c>
      <c r="C18" s="47" t="s">
        <v>12</v>
      </c>
      <c r="D18" s="48"/>
      <c r="E18" s="48"/>
      <c r="F18" s="49" t="s">
        <v>230</v>
      </c>
      <c r="G18" s="50" t="s">
        <v>231</v>
      </c>
      <c r="H18" s="50" t="s">
        <v>232</v>
      </c>
      <c r="I18" s="46" t="s">
        <v>233</v>
      </c>
      <c r="J18" s="51" t="s">
        <v>234</v>
      </c>
      <c r="M18" s="45">
        <v>0</v>
      </c>
      <c r="O18" s="34" t="s">
        <v>8</v>
      </c>
      <c r="P18" s="34"/>
      <c r="Q18" s="34">
        <v>0</v>
      </c>
      <c r="R18" s="52"/>
      <c r="S18" s="34" t="s">
        <v>8</v>
      </c>
      <c r="T18" s="34" t="s">
        <v>8</v>
      </c>
    </row>
    <row r="19" spans="1:37" ht="20.100000000000001" customHeight="1" x14ac:dyDescent="0.2">
      <c r="B19" s="49">
        <v>0</v>
      </c>
      <c r="C19" s="53" t="s">
        <v>154</v>
      </c>
      <c r="D19" s="54"/>
      <c r="E19" s="54"/>
      <c r="F19" s="55">
        <v>1.8</v>
      </c>
      <c r="G19" s="55">
        <v>1.9</v>
      </c>
      <c r="H19" s="55">
        <v>1.9</v>
      </c>
      <c r="I19" s="56">
        <v>25</v>
      </c>
      <c r="J19" s="57">
        <v>150</v>
      </c>
      <c r="L19" s="30">
        <v>1</v>
      </c>
      <c r="M19" s="45">
        <f>SUM($F$19:F19)</f>
        <v>1.8</v>
      </c>
      <c r="O19" s="30">
        <f>IF(L19&lt;&gt;$L$23,F19,$M$23-M18)</f>
        <v>1.8</v>
      </c>
      <c r="P19" s="39">
        <f>IF($M$23&lt;M19,H19,G19)</f>
        <v>1.9</v>
      </c>
      <c r="Q19" s="58">
        <f>SMALL($M$19:$M$23,L18+1)</f>
        <v>1.8</v>
      </c>
      <c r="R19" s="39">
        <f>VLOOKUP(Q19,$M$19:$P$23,4,FALSE)</f>
        <v>1.9</v>
      </c>
      <c r="S19" s="59">
        <f>Q19-Q18</f>
        <v>1.8</v>
      </c>
      <c r="T19" s="30">
        <f>IF(B19=$G$25,$E$16-M18,IF(B19&gt;$G$25,0,S19))</f>
        <v>1.8</v>
      </c>
      <c r="U19" s="30">
        <f>U18+R19*S19</f>
        <v>3.42</v>
      </c>
      <c r="X19" s="30">
        <f>IF(F19&gt;E16,E16,F19)</f>
        <v>1.8</v>
      </c>
      <c r="Y19" s="43">
        <f>IF(X19&gt;0,X19,0)</f>
        <v>1.8</v>
      </c>
    </row>
    <row r="20" spans="1:37" ht="20.100000000000001" customHeight="1" x14ac:dyDescent="0.2">
      <c r="B20" s="49">
        <v>1</v>
      </c>
      <c r="C20" s="53" t="s">
        <v>155</v>
      </c>
      <c r="D20" s="54"/>
      <c r="E20" s="54"/>
      <c r="F20" s="55">
        <v>0.1</v>
      </c>
      <c r="G20" s="55">
        <v>1.9</v>
      </c>
      <c r="H20" s="55">
        <v>1.9</v>
      </c>
      <c r="I20" s="56">
        <v>25</v>
      </c>
      <c r="J20" s="57">
        <v>150</v>
      </c>
      <c r="L20" s="30">
        <f>L19+1</f>
        <v>2</v>
      </c>
      <c r="M20" s="45">
        <f>SUM($F$19:F20)</f>
        <v>1.9000000000000001</v>
      </c>
      <c r="O20" s="30">
        <f>IF(L20&lt;&gt;$L$23,F20,$M$23-M19)</f>
        <v>0.1</v>
      </c>
      <c r="P20" s="39">
        <f>IF($M$23&lt;M20,H20,G20)</f>
        <v>1.9</v>
      </c>
      <c r="Q20" s="58">
        <f>SMALL($M$19:$M$23,L19+1)</f>
        <v>1.9000000000000001</v>
      </c>
      <c r="R20" s="39">
        <f>VLOOKUP(Q20,$M$19:$P$23,4,FALSE)</f>
        <v>1.9</v>
      </c>
      <c r="S20" s="59">
        <f>Q20-Q19</f>
        <v>0.10000000000000009</v>
      </c>
      <c r="T20" s="30">
        <f>IF(B20=$G$25,$E$16-M19,IF(B20&gt;$G$25,0,S20))</f>
        <v>0.10000000000000009</v>
      </c>
      <c r="U20" s="30">
        <f t="shared" ref="U20:U23" si="0">U19+R20*S20</f>
        <v>3.6100000000000003</v>
      </c>
      <c r="X20" s="30">
        <f>IF((F20+F19)&gt;E16,E16-F19,F20)</f>
        <v>0.1</v>
      </c>
      <c r="Y20" s="43">
        <f t="shared" ref="Y20:Y22" si="1">IF(X20&gt;0,X20,0)</f>
        <v>0.1</v>
      </c>
      <c r="Z20" s="30">
        <f>IF(Y20=0,0,IF((Y20+Y19)&gt;F23,F23-Y19,Y20))</f>
        <v>0.1</v>
      </c>
      <c r="AA20" s="60">
        <f>IF(Z20&gt;0,Z20,0)</f>
        <v>0.1</v>
      </c>
      <c r="AB20" s="60">
        <f>Y20-AA20</f>
        <v>0</v>
      </c>
      <c r="AC20" s="30">
        <f>AA20*G20+(H20-1)*AB20</f>
        <v>0.19</v>
      </c>
    </row>
    <row r="21" spans="1:37" ht="20.100000000000001" customHeight="1" x14ac:dyDescent="0.2">
      <c r="B21" s="49">
        <v>2</v>
      </c>
      <c r="C21" s="53" t="s">
        <v>157</v>
      </c>
      <c r="D21" s="54"/>
      <c r="E21" s="54"/>
      <c r="F21" s="55">
        <v>10.9</v>
      </c>
      <c r="G21" s="55">
        <v>1.97</v>
      </c>
      <c r="H21" s="55">
        <v>1.97</v>
      </c>
      <c r="I21" s="56">
        <v>26</v>
      </c>
      <c r="J21" s="57">
        <v>173</v>
      </c>
      <c r="L21" s="30">
        <f>L20+1</f>
        <v>3</v>
      </c>
      <c r="M21" s="45">
        <f>SUM($F$19:F21)</f>
        <v>12.8</v>
      </c>
      <c r="O21" s="30">
        <f>IF(L21&lt;&gt;$L$23,F21,$M$23-M20)</f>
        <v>0.49999999999999978</v>
      </c>
      <c r="P21" s="39">
        <f>IF($M$23&lt;M21,H21,G21)</f>
        <v>1.97</v>
      </c>
      <c r="Q21" s="58">
        <f>SMALL($M$19:$M$23,L20+1)</f>
        <v>2.4</v>
      </c>
      <c r="R21" s="39">
        <f>VLOOKUP(Q21,$M$19:$P$23,4,FALSE)</f>
        <v>1.97</v>
      </c>
      <c r="S21" s="59">
        <f>Q21-Q20</f>
        <v>0.49999999999999978</v>
      </c>
      <c r="T21" s="30">
        <f>IF(B21=$G$25,$E$16-M20,IF(B21&gt;$G$25,0,S21))</f>
        <v>0.49999999999999978</v>
      </c>
      <c r="U21" s="30">
        <f t="shared" si="0"/>
        <v>4.5949999999999998</v>
      </c>
      <c r="X21" s="30">
        <f>IF((F19+F20+F21)&gt;E16,E16-F19-F20,F21)</f>
        <v>0.49999999999999989</v>
      </c>
      <c r="Y21" s="43">
        <f t="shared" si="1"/>
        <v>0.49999999999999989</v>
      </c>
      <c r="Z21" s="30">
        <f>IF(Y21=0,0,IF((Y21+Y20+Y19)&gt;F23,F23-Y20-Y19,Y21))</f>
        <v>0.49999999999999989</v>
      </c>
      <c r="AA21" s="60">
        <f t="shared" ref="AA21:AA22" si="2">IF(Z21&gt;0,Z21,0)</f>
        <v>0.49999999999999989</v>
      </c>
      <c r="AB21" s="60">
        <f t="shared" ref="AB21:AB22" si="3">Y21-AA21</f>
        <v>0</v>
      </c>
      <c r="AC21" s="30">
        <f t="shared" ref="AC21:AC22" si="4">AA21*G21+(H21-1)*AB21</f>
        <v>0.98499999999999976</v>
      </c>
    </row>
    <row r="22" spans="1:37" ht="19.5" customHeight="1" x14ac:dyDescent="0.2">
      <c r="B22" s="49">
        <v>3</v>
      </c>
      <c r="C22" s="53" t="s">
        <v>156</v>
      </c>
      <c r="D22" s="54"/>
      <c r="E22" s="54"/>
      <c r="F22" s="55">
        <v>6</v>
      </c>
      <c r="G22" s="55">
        <v>1.97</v>
      </c>
      <c r="H22" s="55">
        <v>1.97</v>
      </c>
      <c r="I22" s="56">
        <v>26</v>
      </c>
      <c r="J22" s="57">
        <v>204</v>
      </c>
      <c r="L22" s="30">
        <f>L21+1</f>
        <v>4</v>
      </c>
      <c r="M22" s="45">
        <f>SUM($F$19:F22)</f>
        <v>18.8</v>
      </c>
      <c r="O22" s="30">
        <f>IF(L22&lt;&gt;$L$23,F22,$M$23-M21)</f>
        <v>6</v>
      </c>
      <c r="P22" s="39">
        <f>IF($M$23&lt;M22,H22,G22)</f>
        <v>1.97</v>
      </c>
      <c r="Q22" s="58">
        <f>SMALL($M$19:$M$23,L21+1)</f>
        <v>12.8</v>
      </c>
      <c r="R22" s="39">
        <f>VLOOKUP(Q22,$M$19:$P$23,4,FALSE)</f>
        <v>1.97</v>
      </c>
      <c r="S22" s="59">
        <f>Q22-Q21</f>
        <v>10.4</v>
      </c>
      <c r="T22" s="30">
        <f>IF(B22=$G$25,$E$16-M21,IF(B22&gt;$G$25,0,S22))</f>
        <v>0</v>
      </c>
      <c r="U22" s="30">
        <f t="shared" si="0"/>
        <v>25.082999999999998</v>
      </c>
      <c r="X22" s="30">
        <f>IF((F19+F20+F21+F22&gt;E16),E16-F19-F20-F21,F22)</f>
        <v>-10.4</v>
      </c>
      <c r="Y22" s="43">
        <f t="shared" si="1"/>
        <v>0</v>
      </c>
      <c r="Z22" s="30">
        <f>IF(Y22=0,0,IF((Y22+Y21+Y20+Y19)&gt;F23,F23-Y21-Y20-Y19,Y22))</f>
        <v>0</v>
      </c>
      <c r="AA22" s="60">
        <f t="shared" si="2"/>
        <v>0</v>
      </c>
      <c r="AB22" s="60">
        <f t="shared" si="3"/>
        <v>0</v>
      </c>
      <c r="AC22" s="30">
        <f t="shared" si="4"/>
        <v>0</v>
      </c>
    </row>
    <row r="23" spans="1:37" ht="20.100000000000001" customHeight="1" x14ac:dyDescent="0.2">
      <c r="B23" s="30" t="s">
        <v>79</v>
      </c>
      <c r="D23" s="34"/>
      <c r="F23" s="61">
        <f>F24+F19</f>
        <v>2.4</v>
      </c>
      <c r="G23" s="30" t="s">
        <v>163</v>
      </c>
      <c r="H23" s="62"/>
      <c r="I23" s="63"/>
      <c r="L23" s="30">
        <f>MATCH(F23,$M$18:$M$22)</f>
        <v>3</v>
      </c>
      <c r="M23" s="45">
        <f>F23</f>
        <v>2.4</v>
      </c>
      <c r="O23" s="30">
        <f>INDEX(M19:M22,L23)-M23</f>
        <v>10.4</v>
      </c>
      <c r="P23" s="30">
        <f>INDEX(G19:G22,L23)</f>
        <v>1.97</v>
      </c>
      <c r="Q23" s="58">
        <f>SMALL($M$19:$M$23,L22+1)</f>
        <v>18.8</v>
      </c>
      <c r="R23" s="39">
        <f>VLOOKUP(Q23,$M$19:$P$23,4,FALSE)</f>
        <v>1.97</v>
      </c>
      <c r="S23" s="59">
        <f>Q23-Q22</f>
        <v>6</v>
      </c>
      <c r="T23" s="30">
        <f>IF(B23=$G$25,$E$16-M22,IF(B23&gt;$G$25,0,S23))</f>
        <v>0</v>
      </c>
      <c r="U23" s="30">
        <f t="shared" si="0"/>
        <v>36.902999999999999</v>
      </c>
    </row>
    <row r="24" spans="1:37" ht="20.100000000000001" customHeight="1" x14ac:dyDescent="0.2">
      <c r="D24" s="34"/>
      <c r="F24" s="64">
        <v>0.6</v>
      </c>
      <c r="G24" s="30" t="s">
        <v>164</v>
      </c>
      <c r="H24" s="62"/>
      <c r="I24" s="63"/>
      <c r="M24" s="45">
        <f>F24</f>
        <v>0.6</v>
      </c>
      <c r="Q24" s="58"/>
      <c r="R24" s="39"/>
      <c r="S24" s="59"/>
    </row>
    <row r="25" spans="1:37" ht="20.100000000000001" customHeight="1" x14ac:dyDescent="0.2">
      <c r="A25" s="35" t="s">
        <v>13</v>
      </c>
      <c r="F25" s="30" t="s">
        <v>17</v>
      </c>
      <c r="G25" s="65">
        <f>INDEX(B19:B22,MATCH(E16,M18:M22))</f>
        <v>2</v>
      </c>
      <c r="H25" s="30" t="s">
        <v>85</v>
      </c>
      <c r="K25" s="30">
        <f>MATCH(E16,M18:M22)</f>
        <v>3</v>
      </c>
    </row>
    <row r="26" spans="1:37" ht="20.100000000000001" customHeight="1" x14ac:dyDescent="0.2">
      <c r="A26" s="35"/>
      <c r="B26" s="30" t="s">
        <v>86</v>
      </c>
      <c r="G26" s="65"/>
    </row>
    <row r="27" spans="1:37" ht="20.100000000000001" customHeight="1" x14ac:dyDescent="0.2">
      <c r="C27" s="30" t="s">
        <v>235</v>
      </c>
      <c r="S27" s="30" t="s">
        <v>236</v>
      </c>
      <c r="AF27" s="30" t="s">
        <v>131</v>
      </c>
    </row>
    <row r="28" spans="1:37" ht="20.100000000000001" customHeight="1" x14ac:dyDescent="0.2">
      <c r="A28" s="30" t="s">
        <v>10</v>
      </c>
      <c r="S28" s="30" t="s">
        <v>87</v>
      </c>
      <c r="U28" s="30" t="s">
        <v>88</v>
      </c>
      <c r="Z28" s="30" t="s">
        <v>91</v>
      </c>
      <c r="AF28" s="34" t="s">
        <v>132</v>
      </c>
      <c r="AG28" s="34" t="s">
        <v>133</v>
      </c>
      <c r="AH28" s="66" t="s">
        <v>132</v>
      </c>
      <c r="AI28" s="34" t="s">
        <v>54</v>
      </c>
      <c r="AJ28" s="66" t="s">
        <v>132</v>
      </c>
      <c r="AK28" s="34" t="s">
        <v>134</v>
      </c>
    </row>
    <row r="29" spans="1:37" ht="20.100000000000001" customHeight="1" x14ac:dyDescent="0.2">
      <c r="B29" s="30" t="s">
        <v>237</v>
      </c>
      <c r="G29" s="67">
        <v>1.2</v>
      </c>
      <c r="S29" s="68"/>
      <c r="T29" s="68">
        <v>1</v>
      </c>
      <c r="U29" s="68">
        <v>1.4</v>
      </c>
      <c r="V29" s="68">
        <v>1.8</v>
      </c>
      <c r="W29" s="68">
        <v>2.4</v>
      </c>
      <c r="X29" s="68">
        <v>3.2</v>
      </c>
      <c r="Y29" s="68">
        <v>5</v>
      </c>
      <c r="Z29" s="69" t="s">
        <v>90</v>
      </c>
      <c r="AA29" s="70" t="s">
        <v>89</v>
      </c>
      <c r="AF29" s="30">
        <v>0</v>
      </c>
      <c r="AG29" s="30">
        <v>0</v>
      </c>
      <c r="AH29" s="71">
        <f t="shared" ref="AH29:AH52" si="5">AF29</f>
        <v>0</v>
      </c>
      <c r="AI29" s="30">
        <v>1</v>
      </c>
      <c r="AJ29" s="71">
        <f t="shared" ref="AJ29:AJ52" si="6">AF29</f>
        <v>0</v>
      </c>
      <c r="AK29" s="30">
        <v>3.14</v>
      </c>
    </row>
    <row r="30" spans="1:37" ht="20.100000000000001" customHeight="1" x14ac:dyDescent="0.2">
      <c r="A30" s="30" t="s">
        <v>15</v>
      </c>
      <c r="C30" s="32" t="str">
        <f>VLOOKUP(G25,B19:C22,2,FALSE)</f>
        <v>Cát hạt mịn-xám trắng-kết cấu chặt</v>
      </c>
      <c r="S30" s="36">
        <v>0</v>
      </c>
      <c r="T30" s="36">
        <v>1</v>
      </c>
      <c r="U30" s="36">
        <v>1</v>
      </c>
      <c r="V30" s="36">
        <v>1</v>
      </c>
      <c r="W30" s="36">
        <v>1</v>
      </c>
      <c r="X30" s="36">
        <v>1</v>
      </c>
      <c r="Y30" s="36">
        <v>1</v>
      </c>
      <c r="Z30" s="72">
        <v>1</v>
      </c>
      <c r="AA30" s="36">
        <v>1</v>
      </c>
      <c r="AC30" s="30">
        <f t="shared" ref="AC30:AC58" si="7">S30</f>
        <v>0</v>
      </c>
      <c r="AD30" s="30">
        <f t="shared" ref="AD30:AD58" si="8">HLOOKUP($E$85,$Z$29:$AA$58,ROW()-26)</f>
        <v>0.88100000000000001</v>
      </c>
      <c r="AF30" s="30">
        <f t="shared" ref="AF30:AF51" si="9">AF29+2</f>
        <v>2</v>
      </c>
      <c r="AG30" s="30">
        <v>0.03</v>
      </c>
      <c r="AH30" s="71">
        <f t="shared" si="5"/>
        <v>2</v>
      </c>
      <c r="AI30" s="30">
        <v>1.1200000000000001</v>
      </c>
      <c r="AJ30" s="71">
        <f t="shared" si="6"/>
        <v>2</v>
      </c>
      <c r="AK30" s="30">
        <v>3.32</v>
      </c>
    </row>
    <row r="31" spans="1:37" ht="22.5" customHeight="1" x14ac:dyDescent="0.2">
      <c r="B31" s="30" t="s">
        <v>238</v>
      </c>
      <c r="I31" s="67">
        <v>1</v>
      </c>
      <c r="S31" s="36">
        <f>S30+0.4</f>
        <v>0.4</v>
      </c>
      <c r="T31" s="36">
        <v>0.96</v>
      </c>
      <c r="U31" s="36">
        <v>0.97199999999999998</v>
      </c>
      <c r="V31" s="36">
        <v>0.97499999999999998</v>
      </c>
      <c r="W31" s="36">
        <v>0.97599999999999998</v>
      </c>
      <c r="X31" s="36">
        <v>0.97699999999999998</v>
      </c>
      <c r="Y31" s="36">
        <v>0.97699999999999998</v>
      </c>
      <c r="Z31" s="72">
        <v>0.97699999999999998</v>
      </c>
      <c r="AA31" s="36">
        <v>0.94899999999999995</v>
      </c>
      <c r="AC31" s="30">
        <f t="shared" si="7"/>
        <v>0.4</v>
      </c>
      <c r="AD31" s="30">
        <f t="shared" si="8"/>
        <v>0.755</v>
      </c>
      <c r="AF31" s="30">
        <f t="shared" si="9"/>
        <v>4</v>
      </c>
      <c r="AG31" s="30">
        <v>0.06</v>
      </c>
      <c r="AH31" s="71">
        <f t="shared" si="5"/>
        <v>4</v>
      </c>
      <c r="AI31" s="30">
        <v>1.25</v>
      </c>
      <c r="AJ31" s="71">
        <f t="shared" si="6"/>
        <v>4</v>
      </c>
      <c r="AK31" s="30">
        <v>3.51</v>
      </c>
    </row>
    <row r="32" spans="1:37" ht="24" customHeight="1" x14ac:dyDescent="0.2">
      <c r="A32" s="30" t="s">
        <v>16</v>
      </c>
      <c r="S32" s="68">
        <f t="shared" ref="S32:S54" si="10">S31+0.4</f>
        <v>0.8</v>
      </c>
      <c r="T32" s="68">
        <v>0.8</v>
      </c>
      <c r="U32" s="68">
        <v>0.84799999999999998</v>
      </c>
      <c r="V32" s="68">
        <v>0.86599999999999999</v>
      </c>
      <c r="W32" s="68">
        <v>0.875</v>
      </c>
      <c r="X32" s="68">
        <v>0.879</v>
      </c>
      <c r="Y32" s="68">
        <v>0.88100000000000001</v>
      </c>
      <c r="Z32" s="73">
        <v>0.88100000000000001</v>
      </c>
      <c r="AA32" s="68">
        <v>0.75600000000000001</v>
      </c>
      <c r="AC32" s="30">
        <f t="shared" si="7"/>
        <v>0.8</v>
      </c>
      <c r="AD32" s="30">
        <f t="shared" si="8"/>
        <v>0.64200000000000002</v>
      </c>
      <c r="AF32" s="30">
        <f t="shared" si="9"/>
        <v>6</v>
      </c>
      <c r="AG32" s="30">
        <v>0.1</v>
      </c>
      <c r="AH32" s="71">
        <f t="shared" si="5"/>
        <v>6</v>
      </c>
      <c r="AI32" s="30">
        <v>1.39</v>
      </c>
      <c r="AJ32" s="71">
        <f t="shared" si="6"/>
        <v>6</v>
      </c>
      <c r="AK32" s="30">
        <v>3.71</v>
      </c>
    </row>
    <row r="33" spans="1:37" ht="20.100000000000001" customHeight="1" x14ac:dyDescent="0.2">
      <c r="B33" s="30" t="s">
        <v>239</v>
      </c>
      <c r="E33" s="33">
        <v>1.1000000000000001</v>
      </c>
      <c r="S33" s="36">
        <f t="shared" si="10"/>
        <v>1.2000000000000002</v>
      </c>
      <c r="T33" s="36">
        <v>0.60599999999999998</v>
      </c>
      <c r="U33" s="36">
        <v>0.68200000000000005</v>
      </c>
      <c r="V33" s="36">
        <v>0.71699999999999997</v>
      </c>
      <c r="W33" s="36">
        <v>0.74</v>
      </c>
      <c r="X33" s="36">
        <v>0.749</v>
      </c>
      <c r="Y33" s="36">
        <v>0.754</v>
      </c>
      <c r="Z33" s="72">
        <v>0.755</v>
      </c>
      <c r="AA33" s="36">
        <v>0.54700000000000004</v>
      </c>
      <c r="AC33" s="30">
        <f t="shared" si="7"/>
        <v>1.2000000000000002</v>
      </c>
      <c r="AD33" s="30">
        <f t="shared" si="8"/>
        <v>0.55000000000000004</v>
      </c>
      <c r="AF33" s="30">
        <f t="shared" si="9"/>
        <v>8</v>
      </c>
      <c r="AG33" s="30">
        <v>0.14000000000000001</v>
      </c>
      <c r="AH33" s="71">
        <f t="shared" si="5"/>
        <v>8</v>
      </c>
      <c r="AI33" s="30">
        <v>1.55</v>
      </c>
      <c r="AJ33" s="71">
        <f t="shared" si="6"/>
        <v>8</v>
      </c>
      <c r="AK33" s="30">
        <v>3.93</v>
      </c>
    </row>
    <row r="34" spans="1:37" ht="24" customHeight="1" x14ac:dyDescent="0.2">
      <c r="B34" s="30" t="s">
        <v>240</v>
      </c>
      <c r="G34" s="30">
        <f>INDEX(R19:R23,MATCH(E16,Q18:Q23))*10</f>
        <v>19.7</v>
      </c>
      <c r="H34" s="30" t="s">
        <v>241</v>
      </c>
      <c r="S34" s="36">
        <f t="shared" si="10"/>
        <v>1.6</v>
      </c>
      <c r="T34" s="36">
        <v>0.44900000000000001</v>
      </c>
      <c r="U34" s="36">
        <v>0.53200000000000003</v>
      </c>
      <c r="V34" s="36">
        <v>0.57799999999999996</v>
      </c>
      <c r="W34" s="36">
        <v>0.61199999999999999</v>
      </c>
      <c r="X34" s="36">
        <v>0.63</v>
      </c>
      <c r="Y34" s="36">
        <v>0.63900000000000001</v>
      </c>
      <c r="Z34" s="72">
        <v>0.64200000000000002</v>
      </c>
      <c r="AA34" s="36">
        <v>0.39</v>
      </c>
      <c r="AC34" s="30">
        <f t="shared" si="7"/>
        <v>1.6</v>
      </c>
      <c r="AD34" s="30">
        <f t="shared" si="8"/>
        <v>0.47699999999999998</v>
      </c>
      <c r="AF34" s="30">
        <f t="shared" si="9"/>
        <v>10</v>
      </c>
      <c r="AG34" s="30">
        <v>0.18</v>
      </c>
      <c r="AH34" s="71">
        <f t="shared" si="5"/>
        <v>10</v>
      </c>
      <c r="AI34" s="30">
        <v>1.73</v>
      </c>
      <c r="AJ34" s="71">
        <f t="shared" si="6"/>
        <v>10</v>
      </c>
      <c r="AK34" s="30">
        <v>4.17</v>
      </c>
    </row>
    <row r="35" spans="1:37" ht="23.25" customHeight="1" x14ac:dyDescent="0.2">
      <c r="B35" s="30" t="s">
        <v>242</v>
      </c>
      <c r="S35" s="68">
        <f t="shared" si="10"/>
        <v>2</v>
      </c>
      <c r="T35" s="68">
        <v>0.33600000000000002</v>
      </c>
      <c r="U35" s="68">
        <v>0.41399999999999998</v>
      </c>
      <c r="V35" s="68">
        <v>0.46300000000000002</v>
      </c>
      <c r="W35" s="68">
        <v>0.505</v>
      </c>
      <c r="X35" s="68">
        <v>0.52900000000000003</v>
      </c>
      <c r="Y35" s="68">
        <v>0.54500000000000004</v>
      </c>
      <c r="Z35" s="73">
        <v>0.55000000000000004</v>
      </c>
      <c r="AA35" s="68">
        <v>0.28499999999999998</v>
      </c>
      <c r="AC35" s="30">
        <f t="shared" si="7"/>
        <v>2</v>
      </c>
      <c r="AD35" s="30">
        <f t="shared" si="8"/>
        <v>0.42</v>
      </c>
      <c r="AF35" s="30">
        <f t="shared" si="9"/>
        <v>12</v>
      </c>
      <c r="AG35" s="30">
        <v>0.23</v>
      </c>
      <c r="AH35" s="71">
        <f t="shared" si="5"/>
        <v>12</v>
      </c>
      <c r="AI35" s="30">
        <v>1.94</v>
      </c>
      <c r="AJ35" s="71">
        <f t="shared" si="6"/>
        <v>12</v>
      </c>
      <c r="AK35" s="30">
        <v>4.42</v>
      </c>
    </row>
    <row r="36" spans="1:37" ht="25.5" customHeight="1" x14ac:dyDescent="0.2">
      <c r="C36" s="34" t="s">
        <v>243</v>
      </c>
      <c r="D36" s="43">
        <f t="array" ref="D36">SUM(R19:R23*T19:T23)/SUM(T19:T23)*10</f>
        <v>19.145833333333332</v>
      </c>
      <c r="E36" s="30" t="s">
        <v>241</v>
      </c>
      <c r="S36" s="36">
        <f t="shared" si="10"/>
        <v>2.4</v>
      </c>
      <c r="T36" s="36">
        <v>0.25700000000000001</v>
      </c>
      <c r="U36" s="36">
        <v>0.32500000000000001</v>
      </c>
      <c r="V36" s="36">
        <v>0.374</v>
      </c>
      <c r="W36" s="36">
        <v>0.41899999999999998</v>
      </c>
      <c r="X36" s="36">
        <v>0.44900000000000001</v>
      </c>
      <c r="Y36" s="36">
        <v>0.47</v>
      </c>
      <c r="Z36" s="72">
        <v>0.47699999999999998</v>
      </c>
      <c r="AA36" s="36">
        <v>0.214</v>
      </c>
      <c r="AC36" s="30">
        <f t="shared" si="7"/>
        <v>2.4</v>
      </c>
      <c r="AD36" s="30">
        <f t="shared" si="8"/>
        <v>0.374</v>
      </c>
      <c r="AF36" s="30">
        <f t="shared" si="9"/>
        <v>14</v>
      </c>
      <c r="AG36" s="30">
        <v>0.28999999999999998</v>
      </c>
      <c r="AH36" s="71">
        <f t="shared" si="5"/>
        <v>14</v>
      </c>
      <c r="AI36" s="30">
        <v>2.17</v>
      </c>
      <c r="AJ36" s="71">
        <f t="shared" si="6"/>
        <v>14</v>
      </c>
      <c r="AK36" s="30">
        <v>4.6900000000000004</v>
      </c>
    </row>
    <row r="37" spans="1:37" ht="20.100000000000001" customHeight="1" x14ac:dyDescent="0.2">
      <c r="B37" s="30" t="s">
        <v>244</v>
      </c>
      <c r="J37" s="30" t="str">
        <f>G25&amp;")"</f>
        <v>2)</v>
      </c>
      <c r="S37" s="36">
        <f t="shared" si="10"/>
        <v>2.8</v>
      </c>
      <c r="T37" s="36">
        <v>0.20100000000000001</v>
      </c>
      <c r="U37" s="36">
        <v>0.26</v>
      </c>
      <c r="V37" s="36">
        <v>0.30399999999999999</v>
      </c>
      <c r="W37" s="36">
        <v>0.35</v>
      </c>
      <c r="X37" s="36">
        <v>0.38300000000000001</v>
      </c>
      <c r="Y37" s="36">
        <v>0.41</v>
      </c>
      <c r="Z37" s="72">
        <v>0.42</v>
      </c>
      <c r="AA37" s="36">
        <v>0.16500000000000001</v>
      </c>
      <c r="AC37" s="30">
        <f t="shared" si="7"/>
        <v>2.8</v>
      </c>
      <c r="AD37" s="30">
        <f t="shared" si="8"/>
        <v>0.33700000000000002</v>
      </c>
      <c r="AF37" s="30">
        <f t="shared" si="9"/>
        <v>16</v>
      </c>
      <c r="AG37" s="30">
        <v>0.36</v>
      </c>
      <c r="AH37" s="71">
        <f t="shared" si="5"/>
        <v>16</v>
      </c>
      <c r="AI37" s="30">
        <v>2.4300000000000002</v>
      </c>
      <c r="AJ37" s="71">
        <f t="shared" si="6"/>
        <v>16</v>
      </c>
      <c r="AK37" s="30">
        <v>5</v>
      </c>
    </row>
    <row r="38" spans="1:37" ht="20.100000000000001" customHeight="1" x14ac:dyDescent="0.2">
      <c r="C38" s="34" t="s">
        <v>245</v>
      </c>
      <c r="D38" s="32">
        <v>0</v>
      </c>
      <c r="E38" s="30" t="s">
        <v>246</v>
      </c>
      <c r="F38" s="30">
        <f>D38*100</f>
        <v>0</v>
      </c>
      <c r="G38" s="30" t="s">
        <v>247</v>
      </c>
      <c r="S38" s="68">
        <f t="shared" si="10"/>
        <v>3.1999999999999997</v>
      </c>
      <c r="T38" s="68">
        <v>0.16</v>
      </c>
      <c r="U38" s="68">
        <v>0.21</v>
      </c>
      <c r="V38" s="68">
        <v>0.251</v>
      </c>
      <c r="W38" s="68">
        <v>0.29399999999999998</v>
      </c>
      <c r="X38" s="68">
        <v>0.32900000000000001</v>
      </c>
      <c r="Y38" s="68">
        <v>0.36</v>
      </c>
      <c r="Z38" s="73">
        <v>0.374</v>
      </c>
      <c r="AA38" s="68">
        <v>0.13</v>
      </c>
      <c r="AC38" s="30">
        <f t="shared" si="7"/>
        <v>3.1999999999999997</v>
      </c>
      <c r="AD38" s="30">
        <f t="shared" si="8"/>
        <v>0.30599999999999999</v>
      </c>
      <c r="AF38" s="30">
        <f t="shared" si="9"/>
        <v>18</v>
      </c>
      <c r="AG38" s="30">
        <v>0.43</v>
      </c>
      <c r="AH38" s="71">
        <f t="shared" si="5"/>
        <v>18</v>
      </c>
      <c r="AI38" s="30">
        <v>2.72</v>
      </c>
      <c r="AJ38" s="71">
        <f t="shared" si="6"/>
        <v>18</v>
      </c>
      <c r="AK38" s="30">
        <v>5.31</v>
      </c>
    </row>
    <row r="39" spans="1:37" ht="20.100000000000001" customHeight="1" x14ac:dyDescent="0.2">
      <c r="B39" s="30" t="s">
        <v>248</v>
      </c>
      <c r="F39" s="67">
        <v>0</v>
      </c>
      <c r="G39" s="30" t="s">
        <v>8</v>
      </c>
      <c r="S39" s="36">
        <f t="shared" si="10"/>
        <v>3.5999999999999996</v>
      </c>
      <c r="T39" s="36">
        <v>0.13</v>
      </c>
      <c r="U39" s="36">
        <v>0.17299999999999999</v>
      </c>
      <c r="V39" s="36">
        <v>0.20899999999999999</v>
      </c>
      <c r="W39" s="36">
        <v>0.25</v>
      </c>
      <c r="X39" s="36">
        <v>0.28299999999999997</v>
      </c>
      <c r="Y39" s="36">
        <v>0.32</v>
      </c>
      <c r="Z39" s="72">
        <v>0.33700000000000002</v>
      </c>
      <c r="AA39" s="36">
        <v>0.106</v>
      </c>
      <c r="AC39" s="30">
        <f t="shared" si="7"/>
        <v>3.5999999999999996</v>
      </c>
      <c r="AD39" s="30">
        <f t="shared" si="8"/>
        <v>0.28000000000000003</v>
      </c>
      <c r="AF39" s="30">
        <f t="shared" si="9"/>
        <v>20</v>
      </c>
      <c r="AG39" s="30">
        <v>0.51</v>
      </c>
      <c r="AH39" s="71">
        <f t="shared" si="5"/>
        <v>20</v>
      </c>
      <c r="AI39" s="30">
        <v>3.06</v>
      </c>
      <c r="AJ39" s="71">
        <f t="shared" si="6"/>
        <v>20</v>
      </c>
      <c r="AK39" s="30">
        <v>5.66</v>
      </c>
    </row>
    <row r="40" spans="1:37" ht="20.100000000000001" customHeight="1" x14ac:dyDescent="0.2">
      <c r="B40" s="30" t="s">
        <v>249</v>
      </c>
      <c r="I40" s="39">
        <f>INDEX(I19:I22,MATCH(E16,M18:M22))</f>
        <v>26</v>
      </c>
      <c r="J40" s="74" t="s">
        <v>18</v>
      </c>
      <c r="S40" s="36">
        <f t="shared" si="10"/>
        <v>3.9999999999999996</v>
      </c>
      <c r="T40" s="36">
        <v>0.108</v>
      </c>
      <c r="U40" s="36">
        <v>0.14499999999999999</v>
      </c>
      <c r="V40" s="36">
        <v>0.17599999999999999</v>
      </c>
      <c r="W40" s="36">
        <v>0.214</v>
      </c>
      <c r="X40" s="36">
        <v>0.248</v>
      </c>
      <c r="Y40" s="36">
        <v>0.28499999999999998</v>
      </c>
      <c r="Z40" s="72">
        <v>0.30599999999999999</v>
      </c>
      <c r="AA40" s="36">
        <v>8.6999999999999994E-2</v>
      </c>
      <c r="AC40" s="30">
        <f t="shared" si="7"/>
        <v>3.9999999999999996</v>
      </c>
      <c r="AD40" s="30">
        <f t="shared" si="8"/>
        <v>0.25800000000000001</v>
      </c>
      <c r="AF40" s="30">
        <f t="shared" si="9"/>
        <v>22</v>
      </c>
      <c r="AG40" s="30">
        <v>0.61</v>
      </c>
      <c r="AH40" s="71">
        <f t="shared" si="5"/>
        <v>22</v>
      </c>
      <c r="AI40" s="30">
        <v>3.44</v>
      </c>
      <c r="AJ40" s="71">
        <f t="shared" si="6"/>
        <v>22</v>
      </c>
      <c r="AK40" s="30">
        <v>6.04</v>
      </c>
    </row>
    <row r="41" spans="1:37" ht="20.100000000000001" customHeight="1" x14ac:dyDescent="0.2">
      <c r="B41" s="34" t="s">
        <v>19</v>
      </c>
      <c r="C41" s="30">
        <f>ns(AF29:AG52,$I$40)</f>
        <v>0.84</v>
      </c>
      <c r="D41" s="75" t="s">
        <v>20</v>
      </c>
      <c r="E41" s="30">
        <f>ns(AH29:AI52,$I$40)</f>
        <v>4.37</v>
      </c>
      <c r="F41" s="75" t="s">
        <v>21</v>
      </c>
      <c r="G41" s="30">
        <f>ns(AJ29:AK52,$I$40)</f>
        <v>6.9</v>
      </c>
      <c r="S41" s="68">
        <f t="shared" si="10"/>
        <v>4.3999999999999995</v>
      </c>
      <c r="T41" s="68">
        <v>9.0999999999999998E-2</v>
      </c>
      <c r="U41" s="68">
        <v>0.122</v>
      </c>
      <c r="V41" s="68">
        <v>0.15</v>
      </c>
      <c r="W41" s="68">
        <v>0.185</v>
      </c>
      <c r="X41" s="68">
        <v>0.218</v>
      </c>
      <c r="Y41" s="68">
        <v>0.25600000000000001</v>
      </c>
      <c r="Z41" s="73">
        <v>0.28000000000000003</v>
      </c>
      <c r="AA41" s="68">
        <v>7.2999999999999995E-2</v>
      </c>
      <c r="AC41" s="30">
        <f t="shared" si="7"/>
        <v>4.3999999999999995</v>
      </c>
      <c r="AD41" s="30">
        <f t="shared" si="8"/>
        <v>0.23899999999999999</v>
      </c>
      <c r="AF41" s="30">
        <f t="shared" si="9"/>
        <v>24</v>
      </c>
      <c r="AG41" s="30">
        <v>0.72</v>
      </c>
      <c r="AH41" s="71">
        <f t="shared" si="5"/>
        <v>24</v>
      </c>
      <c r="AI41" s="30">
        <v>3.87</v>
      </c>
      <c r="AJ41" s="71">
        <f t="shared" si="6"/>
        <v>24</v>
      </c>
      <c r="AK41" s="30">
        <v>6.45</v>
      </c>
    </row>
    <row r="42" spans="1:37" ht="20.100000000000001" customHeight="1" x14ac:dyDescent="0.2">
      <c r="B42" s="34" t="s">
        <v>250</v>
      </c>
      <c r="C42" s="76">
        <f>G29*I31/E33*(C41*H49*G34+E41*E16*D36+G41*F38-G34*F39)/10</f>
        <v>25.516090909090906</v>
      </c>
      <c r="D42" s="30" t="s">
        <v>251</v>
      </c>
      <c r="L42" s="34" t="s">
        <v>133</v>
      </c>
      <c r="M42" s="34" t="s">
        <v>54</v>
      </c>
      <c r="N42" s="34" t="s">
        <v>134</v>
      </c>
      <c r="O42" s="30" t="s">
        <v>135</v>
      </c>
      <c r="S42" s="36">
        <f t="shared" si="10"/>
        <v>4.8</v>
      </c>
      <c r="T42" s="36">
        <v>7.6999999999999999E-2</v>
      </c>
      <c r="U42" s="36">
        <v>0.105</v>
      </c>
      <c r="V42" s="36">
        <v>0.13</v>
      </c>
      <c r="W42" s="36">
        <v>0.161</v>
      </c>
      <c r="X42" s="36">
        <v>0.192</v>
      </c>
      <c r="Y42" s="36">
        <v>0.23</v>
      </c>
      <c r="Z42" s="72">
        <v>0.25800000000000001</v>
      </c>
      <c r="AA42" s="36">
        <v>6.7000000000000004E-2</v>
      </c>
      <c r="AC42" s="30">
        <f t="shared" si="7"/>
        <v>4.8</v>
      </c>
      <c r="AD42" s="30">
        <f t="shared" si="8"/>
        <v>0.223</v>
      </c>
      <c r="AF42" s="30">
        <f t="shared" si="9"/>
        <v>26</v>
      </c>
      <c r="AG42" s="30">
        <v>0.84</v>
      </c>
      <c r="AH42" s="71">
        <f t="shared" si="5"/>
        <v>26</v>
      </c>
      <c r="AI42" s="30">
        <v>4.37</v>
      </c>
      <c r="AJ42" s="71">
        <f t="shared" si="6"/>
        <v>26</v>
      </c>
      <c r="AK42" s="30">
        <v>6.9</v>
      </c>
    </row>
    <row r="43" spans="1:37" ht="21" customHeight="1" x14ac:dyDescent="0.2">
      <c r="C43" s="77"/>
      <c r="L43" s="78">
        <f>0.7853975/(COS(3.14159*I40/180)/SIN(3.14159*I40/180)+3.14159*I40/180-1.570795)</f>
        <v>0.84153093002834489</v>
      </c>
      <c r="M43" s="78">
        <f>1+(3.14159/((COS(3.14159*I40/180))/(SIN(3.14159*(I40+0.0001)/180))+(3.14159*I40/180-1.570795)))</f>
        <v>4.3661501823540068</v>
      </c>
      <c r="N43" s="78">
        <f>3.14159*COS(3.14159*I40/180)/SIN(3.14159*(I40+0.00001)/180)/((COS(3.14159*I40/180))/(SIN(3.14159*(I40)/180))+(3.14159*I40/180-1.570795))</f>
        <v>6.9015806388763794</v>
      </c>
      <c r="S43" s="36">
        <f t="shared" si="10"/>
        <v>5.2</v>
      </c>
      <c r="T43" s="36">
        <v>6.6000000000000003E-2</v>
      </c>
      <c r="U43" s="36">
        <v>9.0999999999999998E-2</v>
      </c>
      <c r="V43" s="36">
        <v>0.112</v>
      </c>
      <c r="W43" s="36">
        <v>0.14099999999999999</v>
      </c>
      <c r="X43" s="36">
        <v>0.17</v>
      </c>
      <c r="Y43" s="36">
        <v>0.20799999999999999</v>
      </c>
      <c r="Z43" s="72">
        <v>0.23899999999999999</v>
      </c>
      <c r="AA43" s="36">
        <v>5.2999999999999999E-2</v>
      </c>
      <c r="AC43" s="30">
        <f t="shared" si="7"/>
        <v>5.2</v>
      </c>
      <c r="AD43" s="30">
        <f t="shared" si="8"/>
        <v>0.20799999999999999</v>
      </c>
      <c r="AF43" s="30">
        <f t="shared" si="9"/>
        <v>28</v>
      </c>
      <c r="AG43" s="30">
        <v>0.98</v>
      </c>
      <c r="AH43" s="71">
        <f t="shared" si="5"/>
        <v>28</v>
      </c>
      <c r="AI43" s="30">
        <v>4.93</v>
      </c>
      <c r="AJ43" s="71">
        <f t="shared" si="6"/>
        <v>28</v>
      </c>
      <c r="AK43" s="30">
        <v>7.4</v>
      </c>
    </row>
    <row r="44" spans="1:37" ht="20.100000000000001" customHeight="1" x14ac:dyDescent="0.2">
      <c r="A44" s="35" t="s">
        <v>22</v>
      </c>
      <c r="S44" s="68">
        <f t="shared" si="10"/>
        <v>5.6000000000000005</v>
      </c>
      <c r="T44" s="68">
        <v>5.8000000000000003E-2</v>
      </c>
      <c r="U44" s="68">
        <v>7.9000000000000001E-2</v>
      </c>
      <c r="V44" s="68">
        <v>9.9000000000000005E-2</v>
      </c>
      <c r="W44" s="68">
        <v>0.124</v>
      </c>
      <c r="X44" s="68">
        <v>0.152</v>
      </c>
      <c r="Y44" s="68">
        <v>0.189</v>
      </c>
      <c r="Z44" s="73">
        <v>0.223</v>
      </c>
      <c r="AA44" s="68">
        <v>4.5999999999999999E-2</v>
      </c>
      <c r="AC44" s="30">
        <f t="shared" si="7"/>
        <v>5.6000000000000005</v>
      </c>
      <c r="AD44" s="30">
        <f t="shared" si="8"/>
        <v>0.106</v>
      </c>
      <c r="AF44" s="30">
        <f t="shared" si="9"/>
        <v>30</v>
      </c>
      <c r="AG44" s="30">
        <v>1.1499999999999999</v>
      </c>
      <c r="AH44" s="71">
        <f t="shared" si="5"/>
        <v>30</v>
      </c>
      <c r="AI44" s="30">
        <v>5.59</v>
      </c>
      <c r="AJ44" s="71">
        <f t="shared" si="6"/>
        <v>30</v>
      </c>
      <c r="AK44" s="30">
        <v>7.95</v>
      </c>
    </row>
    <row r="45" spans="1:37" ht="20.100000000000001" customHeight="1" x14ac:dyDescent="0.2">
      <c r="B45" s="30" t="s">
        <v>252</v>
      </c>
      <c r="S45" s="36">
        <f t="shared" si="10"/>
        <v>6.0000000000000009</v>
      </c>
      <c r="T45" s="36">
        <v>5.0999999999999997E-2</v>
      </c>
      <c r="U45" s="36">
        <v>7.0000000000000007E-2</v>
      </c>
      <c r="V45" s="36">
        <v>8.6999999999999994E-2</v>
      </c>
      <c r="W45" s="36">
        <v>0.11</v>
      </c>
      <c r="X45" s="36">
        <v>0.13600000000000001</v>
      </c>
      <c r="Y45" s="36">
        <v>0.17199999999999999</v>
      </c>
      <c r="Z45" s="72">
        <v>0.20799999999999999</v>
      </c>
      <c r="AA45" s="36">
        <v>0.04</v>
      </c>
      <c r="AC45" s="30">
        <f t="shared" si="7"/>
        <v>6.0000000000000009</v>
      </c>
      <c r="AD45" s="30">
        <f t="shared" si="8"/>
        <v>0.184</v>
      </c>
      <c r="AF45" s="30">
        <f t="shared" si="9"/>
        <v>32</v>
      </c>
      <c r="AG45" s="30">
        <v>1.34</v>
      </c>
      <c r="AH45" s="71">
        <f t="shared" si="5"/>
        <v>32</v>
      </c>
      <c r="AI45" s="30">
        <v>6.35</v>
      </c>
      <c r="AJ45" s="71">
        <f t="shared" si="6"/>
        <v>32</v>
      </c>
      <c r="AK45" s="30">
        <v>8.5500000000000007</v>
      </c>
    </row>
    <row r="46" spans="1:37" ht="20.100000000000001" customHeight="1" x14ac:dyDescent="0.2">
      <c r="A46" s="30" t="s">
        <v>23</v>
      </c>
      <c r="S46" s="36">
        <f t="shared" si="10"/>
        <v>6.4000000000000012</v>
      </c>
      <c r="T46" s="36">
        <v>4.4999999999999998E-2</v>
      </c>
      <c r="U46" s="36">
        <v>6.2E-2</v>
      </c>
      <c r="V46" s="36">
        <v>7.6999999999999999E-2</v>
      </c>
      <c r="W46" s="36">
        <v>9.8000000000000004E-2</v>
      </c>
      <c r="X46" s="36">
        <v>0.122</v>
      </c>
      <c r="Y46" s="36">
        <v>0.158</v>
      </c>
      <c r="Z46" s="72">
        <v>0.106</v>
      </c>
      <c r="AA46" s="36">
        <v>3.5999999999999997E-2</v>
      </c>
      <c r="AC46" s="30">
        <f t="shared" si="7"/>
        <v>6.4000000000000012</v>
      </c>
      <c r="AD46" s="30">
        <f t="shared" si="8"/>
        <v>0.17499999999999999</v>
      </c>
      <c r="AF46" s="30">
        <f t="shared" si="9"/>
        <v>34</v>
      </c>
      <c r="AG46" s="30">
        <v>2.5499999999999998</v>
      </c>
      <c r="AH46" s="71">
        <f t="shared" si="5"/>
        <v>34</v>
      </c>
      <c r="AI46" s="30">
        <v>7.21</v>
      </c>
      <c r="AJ46" s="71">
        <f t="shared" si="6"/>
        <v>34</v>
      </c>
      <c r="AK46" s="30">
        <v>9.2100000000000009</v>
      </c>
    </row>
    <row r="47" spans="1:37" ht="20.100000000000001" customHeight="1" x14ac:dyDescent="0.2">
      <c r="B47" s="34" t="s">
        <v>253</v>
      </c>
      <c r="C47" s="39">
        <f>C5*10/(C42*10-20*E16)</f>
        <v>1.0581146846763825</v>
      </c>
      <c r="D47" s="30" t="s">
        <v>254</v>
      </c>
      <c r="S47" s="68">
        <f>S46+0.4</f>
        <v>6.8000000000000016</v>
      </c>
      <c r="T47" s="68">
        <v>0.04</v>
      </c>
      <c r="U47" s="68">
        <v>5.5E-2</v>
      </c>
      <c r="V47" s="68">
        <v>6.9000000000000006E-2</v>
      </c>
      <c r="W47" s="68">
        <v>8.7999999999999995E-2</v>
      </c>
      <c r="X47" s="68">
        <v>0.11</v>
      </c>
      <c r="Y47" s="68">
        <v>0.14399999999999999</v>
      </c>
      <c r="Z47" s="73">
        <v>0.184</v>
      </c>
      <c r="AA47" s="68">
        <v>3.2000000000000001E-2</v>
      </c>
      <c r="AC47" s="30">
        <f t="shared" si="7"/>
        <v>6.8000000000000016</v>
      </c>
      <c r="AD47" s="30">
        <f t="shared" si="8"/>
        <v>0.16600000000000001</v>
      </c>
      <c r="AF47" s="30">
        <f t="shared" si="9"/>
        <v>36</v>
      </c>
      <c r="AG47" s="30">
        <v>1.81</v>
      </c>
      <c r="AH47" s="71">
        <f t="shared" si="5"/>
        <v>36</v>
      </c>
      <c r="AI47" s="30">
        <v>8.25</v>
      </c>
      <c r="AJ47" s="71">
        <f t="shared" si="6"/>
        <v>36</v>
      </c>
      <c r="AK47" s="30">
        <v>9.98</v>
      </c>
    </row>
    <row r="48" spans="1:37" ht="20.100000000000001" customHeight="1" x14ac:dyDescent="0.2">
      <c r="B48" s="30" t="s">
        <v>24</v>
      </c>
      <c r="S48" s="36">
        <f t="shared" si="10"/>
        <v>7.200000000000002</v>
      </c>
      <c r="T48" s="36">
        <v>3.5999999999999997E-2</v>
      </c>
      <c r="U48" s="36">
        <v>4.9000000000000002E-2</v>
      </c>
      <c r="V48" s="36">
        <v>6.2E-2</v>
      </c>
      <c r="W48" s="36">
        <v>0.08</v>
      </c>
      <c r="X48" s="36">
        <v>0.1</v>
      </c>
      <c r="Y48" s="36">
        <v>0.13300000000000001</v>
      </c>
      <c r="Z48" s="72">
        <v>0.17499999999999999</v>
      </c>
      <c r="AA48" s="36">
        <v>2.8000000000000001E-2</v>
      </c>
      <c r="AC48" s="30">
        <f t="shared" si="7"/>
        <v>7.200000000000002</v>
      </c>
      <c r="AD48" s="30">
        <f t="shared" si="8"/>
        <v>0.158</v>
      </c>
      <c r="AF48" s="30">
        <f t="shared" si="9"/>
        <v>38</v>
      </c>
      <c r="AG48" s="30">
        <v>2.11</v>
      </c>
      <c r="AH48" s="71">
        <f t="shared" si="5"/>
        <v>38</v>
      </c>
      <c r="AI48" s="30">
        <v>9.44</v>
      </c>
      <c r="AJ48" s="71">
        <f t="shared" si="6"/>
        <v>38</v>
      </c>
      <c r="AK48" s="30">
        <v>10.8</v>
      </c>
    </row>
    <row r="49" spans="1:37" ht="20.100000000000001" customHeight="1" x14ac:dyDescent="0.2">
      <c r="B49" s="79" t="s">
        <v>26</v>
      </c>
      <c r="D49" s="67">
        <v>2</v>
      </c>
      <c r="E49" s="30" t="s">
        <v>8</v>
      </c>
      <c r="F49" s="79" t="s">
        <v>25</v>
      </c>
      <c r="H49" s="67">
        <v>2</v>
      </c>
      <c r="I49" s="30" t="s">
        <v>8</v>
      </c>
      <c r="S49" s="36">
        <f t="shared" si="10"/>
        <v>7.6000000000000023</v>
      </c>
      <c r="T49" s="36">
        <v>3.2000000000000001E-2</v>
      </c>
      <c r="U49" s="36">
        <v>4.3999999999999997E-2</v>
      </c>
      <c r="V49" s="36">
        <v>5.6000000000000001E-2</v>
      </c>
      <c r="W49" s="36">
        <v>7.1999999999999995E-2</v>
      </c>
      <c r="X49" s="36">
        <v>9.0999999999999998E-2</v>
      </c>
      <c r="Y49" s="36">
        <v>0.123</v>
      </c>
      <c r="Z49" s="72">
        <v>0.16600000000000001</v>
      </c>
      <c r="AA49" s="36">
        <v>2.4E-2</v>
      </c>
      <c r="AC49" s="30">
        <f t="shared" si="7"/>
        <v>7.6000000000000023</v>
      </c>
      <c r="AD49" s="30">
        <f t="shared" si="8"/>
        <v>0.15</v>
      </c>
      <c r="AF49" s="30">
        <f t="shared" si="9"/>
        <v>40</v>
      </c>
      <c r="AG49" s="30">
        <v>2.46</v>
      </c>
      <c r="AH49" s="71">
        <f t="shared" si="5"/>
        <v>40</v>
      </c>
      <c r="AI49" s="30">
        <v>10.84</v>
      </c>
      <c r="AJ49" s="71">
        <f t="shared" si="6"/>
        <v>40</v>
      </c>
      <c r="AK49" s="30">
        <v>11.73</v>
      </c>
    </row>
    <row r="50" spans="1:37" ht="20.100000000000001" customHeight="1" x14ac:dyDescent="0.2">
      <c r="B50" s="79" t="s">
        <v>71</v>
      </c>
      <c r="C50" s="30">
        <f>D49*H49</f>
        <v>4</v>
      </c>
      <c r="D50" s="30" t="s">
        <v>254</v>
      </c>
      <c r="F50" s="79"/>
      <c r="H50" s="67"/>
      <c r="S50" s="68">
        <f t="shared" si="10"/>
        <v>8.0000000000000018</v>
      </c>
      <c r="T50" s="68">
        <v>2.9000000000000001E-2</v>
      </c>
      <c r="U50" s="68">
        <v>0.04</v>
      </c>
      <c r="V50" s="68">
        <v>5.0999999999999997E-2</v>
      </c>
      <c r="W50" s="68">
        <v>6.6000000000000003E-2</v>
      </c>
      <c r="X50" s="68">
        <v>8.4000000000000005E-2</v>
      </c>
      <c r="Y50" s="68">
        <v>0.113</v>
      </c>
      <c r="Z50" s="73">
        <v>0.158</v>
      </c>
      <c r="AA50" s="68">
        <v>2.1999999999999999E-2</v>
      </c>
      <c r="AC50" s="30">
        <f t="shared" si="7"/>
        <v>8.0000000000000018</v>
      </c>
      <c r="AD50" s="30">
        <f t="shared" si="8"/>
        <v>0.14399999999999999</v>
      </c>
      <c r="AF50" s="30">
        <f t="shared" si="9"/>
        <v>42</v>
      </c>
      <c r="AG50" s="30">
        <v>2.87</v>
      </c>
      <c r="AH50" s="71">
        <f t="shared" si="5"/>
        <v>42</v>
      </c>
      <c r="AI50" s="30">
        <v>12.5</v>
      </c>
      <c r="AJ50" s="71">
        <f t="shared" si="6"/>
        <v>42</v>
      </c>
      <c r="AK50" s="30">
        <v>12.77</v>
      </c>
    </row>
    <row r="51" spans="1:37" ht="20.100000000000001" customHeight="1" x14ac:dyDescent="0.2">
      <c r="A51" s="35" t="s">
        <v>27</v>
      </c>
      <c r="S51" s="36">
        <f t="shared" si="10"/>
        <v>8.4000000000000021</v>
      </c>
      <c r="T51" s="36">
        <v>2.5999999999999999E-2</v>
      </c>
      <c r="U51" s="36">
        <v>3.6999999999999998E-2</v>
      </c>
      <c r="V51" s="36">
        <v>4.5999999999999999E-2</v>
      </c>
      <c r="W51" s="36">
        <v>0.06</v>
      </c>
      <c r="X51" s="36">
        <v>7.6999999999999999E-2</v>
      </c>
      <c r="Y51" s="36">
        <v>0.105</v>
      </c>
      <c r="Z51" s="72">
        <v>0.15</v>
      </c>
      <c r="AA51" s="36">
        <v>2.1000000000000001E-2</v>
      </c>
      <c r="AC51" s="30">
        <f t="shared" si="7"/>
        <v>8.4000000000000021</v>
      </c>
      <c r="AD51" s="30">
        <f t="shared" si="8"/>
        <v>0.13700000000000001</v>
      </c>
      <c r="AF51" s="30">
        <f t="shared" si="9"/>
        <v>44</v>
      </c>
      <c r="AG51" s="30">
        <v>3.37</v>
      </c>
      <c r="AH51" s="71">
        <f t="shared" si="5"/>
        <v>44</v>
      </c>
      <c r="AI51" s="30">
        <v>14.48</v>
      </c>
      <c r="AJ51" s="71">
        <f t="shared" si="6"/>
        <v>44</v>
      </c>
      <c r="AK51" s="30">
        <v>13.96</v>
      </c>
    </row>
    <row r="52" spans="1:37" ht="20.100000000000001" customHeight="1" x14ac:dyDescent="0.2">
      <c r="B52" s="30" t="s">
        <v>31</v>
      </c>
      <c r="S52" s="36">
        <f>S51+0.4</f>
        <v>8.8000000000000025</v>
      </c>
      <c r="T52" s="36">
        <v>2.4E-2</v>
      </c>
      <c r="U52" s="36">
        <v>3.4000000000000002E-2</v>
      </c>
      <c r="V52" s="36">
        <v>4.2000000000000003E-2</v>
      </c>
      <c r="W52" s="36">
        <v>5.5E-2</v>
      </c>
      <c r="X52" s="36">
        <v>7.0000000000000007E-2</v>
      </c>
      <c r="Y52" s="36">
        <v>9.8000000000000004E-2</v>
      </c>
      <c r="Z52" s="72">
        <v>0.14399999999999999</v>
      </c>
      <c r="AA52" s="36">
        <v>1.9E-2</v>
      </c>
      <c r="AC52" s="30">
        <f t="shared" si="7"/>
        <v>8.8000000000000025</v>
      </c>
      <c r="AD52" s="30">
        <f t="shared" si="8"/>
        <v>0.13200000000000001</v>
      </c>
      <c r="AF52" s="30">
        <v>45</v>
      </c>
      <c r="AG52" s="30">
        <v>3.66</v>
      </c>
      <c r="AH52" s="71">
        <f t="shared" si="5"/>
        <v>45</v>
      </c>
      <c r="AI52" s="30">
        <v>15.64</v>
      </c>
      <c r="AJ52" s="71">
        <f t="shared" si="6"/>
        <v>45</v>
      </c>
      <c r="AK52" s="30">
        <v>14.64</v>
      </c>
    </row>
    <row r="53" spans="1:37" ht="20.100000000000001" customHeight="1" x14ac:dyDescent="0.2">
      <c r="S53" s="68">
        <f t="shared" si="10"/>
        <v>9.2000000000000028</v>
      </c>
      <c r="T53" s="68">
        <v>2.1999999999999999E-2</v>
      </c>
      <c r="U53" s="68">
        <v>3.1E-2</v>
      </c>
      <c r="V53" s="68">
        <v>3.9E-2</v>
      </c>
      <c r="W53" s="68">
        <v>5.0999999999999997E-2</v>
      </c>
      <c r="X53" s="68">
        <v>6.5000000000000002E-2</v>
      </c>
      <c r="Y53" s="68">
        <v>9.0999999999999998E-2</v>
      </c>
      <c r="Z53" s="73">
        <v>0.13700000000000001</v>
      </c>
      <c r="AA53" s="68">
        <v>1.7999999999999999E-2</v>
      </c>
      <c r="AC53" s="30">
        <f t="shared" si="7"/>
        <v>9.2000000000000028</v>
      </c>
      <c r="AD53" s="30">
        <f t="shared" si="8"/>
        <v>0.126</v>
      </c>
    </row>
    <row r="54" spans="1:37" ht="20.100000000000001" customHeight="1" x14ac:dyDescent="0.2">
      <c r="L54" s="80" t="s">
        <v>159</v>
      </c>
      <c r="S54" s="36">
        <f t="shared" si="10"/>
        <v>9.6000000000000032</v>
      </c>
      <c r="T54" s="36">
        <v>0.02</v>
      </c>
      <c r="U54" s="36">
        <v>2.8000000000000001E-2</v>
      </c>
      <c r="V54" s="36">
        <v>3.5999999999999997E-2</v>
      </c>
      <c r="W54" s="36">
        <v>4.7E-2</v>
      </c>
      <c r="X54" s="36">
        <v>0.06</v>
      </c>
      <c r="Y54" s="36">
        <v>8.5000000000000006E-2</v>
      </c>
      <c r="Z54" s="72">
        <v>0.13200000000000001</v>
      </c>
      <c r="AA54" s="36">
        <v>1.6E-2</v>
      </c>
      <c r="AC54" s="30">
        <f t="shared" si="7"/>
        <v>9.6000000000000032</v>
      </c>
      <c r="AD54" s="30">
        <f t="shared" si="8"/>
        <v>0.114</v>
      </c>
    </row>
    <row r="55" spans="1:37" ht="20.100000000000001" customHeight="1" x14ac:dyDescent="0.2">
      <c r="C55" s="30" t="s">
        <v>255</v>
      </c>
      <c r="D55" s="59">
        <f>$F$5/$D$49/$H$49+6*F6/H49/D49^2+2*E16</f>
        <v>9.891304347826086</v>
      </c>
      <c r="E55" s="30" t="s">
        <v>251</v>
      </c>
      <c r="F55" s="81" t="str">
        <f>IF(K55,"&lt;","&gt;")</f>
        <v>&lt;</v>
      </c>
      <c r="G55" s="30" t="s">
        <v>29</v>
      </c>
      <c r="H55" s="59">
        <f>1.2*C42</f>
        <v>30.619309090909084</v>
      </c>
      <c r="I55" s="30" t="s">
        <v>251</v>
      </c>
      <c r="K55" s="30" t="b">
        <f>D55&lt;=H55</f>
        <v>1</v>
      </c>
      <c r="L55" s="82">
        <f>H55/D55</f>
        <v>3.0955785014985011</v>
      </c>
      <c r="S55" s="68">
        <f>S54+0.4</f>
        <v>10.000000000000004</v>
      </c>
      <c r="T55" s="68">
        <v>1.9E-2</v>
      </c>
      <c r="U55" s="68">
        <v>2.5999999999999999E-2</v>
      </c>
      <c r="V55" s="68">
        <v>3.3000000000000002E-2</v>
      </c>
      <c r="W55" s="68">
        <v>4.3999999999999997E-2</v>
      </c>
      <c r="X55" s="68">
        <v>5.6000000000000001E-2</v>
      </c>
      <c r="Y55" s="68">
        <v>7.9000000000000001E-2</v>
      </c>
      <c r="Z55" s="73">
        <v>0.126</v>
      </c>
      <c r="AA55" s="68">
        <v>1.4999999999999999E-2</v>
      </c>
      <c r="AC55" s="30">
        <f t="shared" si="7"/>
        <v>10.000000000000004</v>
      </c>
      <c r="AD55" s="30">
        <f t="shared" si="8"/>
        <v>0.104</v>
      </c>
    </row>
    <row r="56" spans="1:37" ht="20.100000000000001" customHeight="1" x14ac:dyDescent="0.2">
      <c r="C56" s="30" t="s">
        <v>256</v>
      </c>
      <c r="D56" s="59">
        <f>$F$5/$D$49/$H$49-6*F6/H49/D49^2+2*E16</f>
        <v>9.2391304347826093</v>
      </c>
      <c r="E56" s="30" t="s">
        <v>251</v>
      </c>
      <c r="F56" s="81" t="str">
        <f>IF(K56,"&gt;","&lt;")</f>
        <v>&gt;</v>
      </c>
      <c r="G56" s="65">
        <v>0</v>
      </c>
      <c r="K56" s="30" t="b">
        <f>D56&gt;G56</f>
        <v>1</v>
      </c>
      <c r="L56" s="82"/>
      <c r="S56" s="36">
        <v>11</v>
      </c>
      <c r="T56" s="36">
        <v>1.7000000000000001E-2</v>
      </c>
      <c r="U56" s="36">
        <v>2.3E-2</v>
      </c>
      <c r="V56" s="36">
        <v>2.9000000000000001E-2</v>
      </c>
      <c r="W56" s="36">
        <v>0.04</v>
      </c>
      <c r="X56" s="36">
        <v>0.05</v>
      </c>
      <c r="Y56" s="36">
        <v>7.0999999999999994E-2</v>
      </c>
      <c r="Z56" s="72">
        <v>0.114</v>
      </c>
      <c r="AA56" s="36">
        <v>1.0999999999999999E-2</v>
      </c>
      <c r="AC56" s="30">
        <f t="shared" si="7"/>
        <v>11</v>
      </c>
      <c r="AD56" s="30">
        <f t="shared" si="8"/>
        <v>0.104</v>
      </c>
    </row>
    <row r="57" spans="1:37" ht="20.100000000000001" customHeight="1" x14ac:dyDescent="0.2">
      <c r="B57" s="30" t="s">
        <v>30</v>
      </c>
      <c r="L57" s="82"/>
      <c r="S57" s="36">
        <v>12</v>
      </c>
      <c r="T57" s="36">
        <v>1.4999999999999999E-2</v>
      </c>
      <c r="U57" s="36">
        <v>0.02</v>
      </c>
      <c r="V57" s="36">
        <v>2.5999999999999999E-2</v>
      </c>
      <c r="W57" s="36">
        <v>3.1E-2</v>
      </c>
      <c r="X57" s="36">
        <v>4.3999999999999997E-2</v>
      </c>
      <c r="Y57" s="36">
        <v>0.06</v>
      </c>
      <c r="Z57" s="72">
        <v>0.104</v>
      </c>
      <c r="AA57" s="36">
        <v>8.9999999999999993E-3</v>
      </c>
      <c r="AC57" s="30">
        <f t="shared" si="7"/>
        <v>12</v>
      </c>
      <c r="AD57" s="30" t="e">
        <f t="shared" si="8"/>
        <v>#REF!</v>
      </c>
    </row>
    <row r="58" spans="1:37" ht="20.100000000000001" customHeight="1" x14ac:dyDescent="0.2">
      <c r="B58" s="79" t="s">
        <v>257</v>
      </c>
      <c r="D58" s="59">
        <f>(D55+D56)/2</f>
        <v>9.5652173913043477</v>
      </c>
      <c r="E58" s="30" t="s">
        <v>251</v>
      </c>
      <c r="F58" s="81" t="str">
        <f>IF(K58,"&lt;","&gt;")</f>
        <v>&lt;</v>
      </c>
      <c r="G58" s="30" t="s">
        <v>32</v>
      </c>
      <c r="H58" s="59">
        <f>C42</f>
        <v>25.516090909090906</v>
      </c>
      <c r="I58" s="30" t="s">
        <v>251</v>
      </c>
      <c r="K58" s="30" t="b">
        <f>D58&lt;=H58</f>
        <v>1</v>
      </c>
      <c r="L58" s="82">
        <f>H58/D58</f>
        <v>2.6675913223140495</v>
      </c>
      <c r="S58" s="36">
        <v>10000</v>
      </c>
      <c r="T58" s="36">
        <v>1.4999999999999999E-2</v>
      </c>
      <c r="U58" s="36">
        <v>0.02</v>
      </c>
      <c r="V58" s="36">
        <v>2.5999999999999999E-2</v>
      </c>
      <c r="W58" s="36">
        <v>3.1E-2</v>
      </c>
      <c r="X58" s="36">
        <v>4.3999999999999997E-2</v>
      </c>
      <c r="Y58" s="36">
        <v>0.06</v>
      </c>
      <c r="Z58" s="72">
        <v>0.104</v>
      </c>
      <c r="AA58" s="36">
        <v>8.9999999999999993E-3</v>
      </c>
      <c r="AC58" s="30">
        <f t="shared" si="7"/>
        <v>10000</v>
      </c>
      <c r="AD58" s="30" t="e">
        <f t="shared" si="8"/>
        <v>#REF!</v>
      </c>
    </row>
    <row r="59" spans="1:37" ht="20.100000000000001" customHeight="1" x14ac:dyDescent="0.2">
      <c r="A59" s="34" t="s">
        <v>33</v>
      </c>
      <c r="B59" s="83" t="str">
        <f>IF(AND(K55,K56,K58),"Đạt yêu cầu")</f>
        <v>Đạt yêu cầu</v>
      </c>
    </row>
    <row r="60" spans="1:37" ht="20.100000000000001" customHeight="1" x14ac:dyDescent="0.2">
      <c r="A60" s="84" t="s">
        <v>73</v>
      </c>
      <c r="F60" s="85"/>
    </row>
    <row r="61" spans="1:37" ht="20.100000000000001" customHeight="1" x14ac:dyDescent="0.2">
      <c r="C61" s="86" t="s">
        <v>74</v>
      </c>
      <c r="D61" s="86" t="s">
        <v>75</v>
      </c>
      <c r="E61" s="86" t="s">
        <v>140</v>
      </c>
      <c r="F61" s="86" t="s">
        <v>141</v>
      </c>
      <c r="G61" s="87"/>
      <c r="H61" s="88" t="s">
        <v>204</v>
      </c>
      <c r="I61" s="89"/>
      <c r="K61" s="34" t="s">
        <v>77</v>
      </c>
      <c r="L61" s="34" t="s">
        <v>258</v>
      </c>
      <c r="M61" s="34" t="s">
        <v>259</v>
      </c>
    </row>
    <row r="62" spans="1:37" ht="20.100000000000001" customHeight="1" x14ac:dyDescent="0.2">
      <c r="C62" s="90"/>
      <c r="D62" s="90"/>
      <c r="E62" s="90"/>
      <c r="F62" s="90"/>
      <c r="G62" s="91" t="s">
        <v>260</v>
      </c>
      <c r="H62" s="90" t="s">
        <v>76</v>
      </c>
      <c r="I62" s="90" t="s">
        <v>78</v>
      </c>
      <c r="K62" s="34"/>
      <c r="L62" s="34"/>
      <c r="M62" s="34"/>
    </row>
    <row r="63" spans="1:37" ht="20.100000000000001" customHeight="1" x14ac:dyDescent="0.2">
      <c r="C63" s="92"/>
      <c r="D63" s="92" t="s">
        <v>5</v>
      </c>
      <c r="E63" s="92" t="s">
        <v>58</v>
      </c>
      <c r="F63" s="92" t="s">
        <v>58</v>
      </c>
      <c r="G63" s="93" t="s">
        <v>251</v>
      </c>
      <c r="H63" s="93" t="s">
        <v>251</v>
      </c>
      <c r="I63" s="92"/>
      <c r="K63" s="34" t="s">
        <v>58</v>
      </c>
      <c r="L63" s="34" t="s">
        <v>72</v>
      </c>
      <c r="M63" s="34" t="s">
        <v>121</v>
      </c>
    </row>
    <row r="64" spans="1:37" ht="20.100000000000001" customHeight="1" x14ac:dyDescent="0.25">
      <c r="B64" s="94" t="str">
        <f>$E$2&amp;C64</f>
        <v>56COMB1</v>
      </c>
      <c r="C64" s="95" t="s">
        <v>143</v>
      </c>
      <c r="D64" s="96">
        <f>VLOOKUP(B64,'Joint Reactions'!$A$4:$K$30000,9,FALSE)/10</f>
        <v>21.45</v>
      </c>
      <c r="E64" s="96">
        <f>VLOOKUP(B64,'Joint Reactions'!$A$4:$K$30000,10,FALSE)/10</f>
        <v>-0.16999999999999998</v>
      </c>
      <c r="F64" s="96">
        <f>VLOOKUP(B64,'Joint Reactions'!$A$4:$K$30000,11,FALSE)/10</f>
        <v>0.13</v>
      </c>
      <c r="G64" s="97">
        <f>D64/1.15/$D$49/$H$49+6*K64/1.15/$H$49/$D$49^2+2*$E$16</f>
        <v>9.5739130434782602</v>
      </c>
      <c r="H64" s="97">
        <f>D64/1.15/$D$49/$H$49+2*$E$16</f>
        <v>9.4630434782608699</v>
      </c>
      <c r="I64" s="98" t="str">
        <f>IF(AND(H64&lt;=$C$42,G64&lt;=1.2*$C$42),"Đạt")</f>
        <v>Đạt</v>
      </c>
      <c r="K64" s="78">
        <f>MAX(ABS(E64),ABS(F64))</f>
        <v>0.16999999999999998</v>
      </c>
      <c r="L64" s="39">
        <f t="shared" ref="L64:L72" si="11">G64*($H$48-$D$156/1000)/2</f>
        <v>-3.350869565217391</v>
      </c>
      <c r="M64" s="59">
        <f>$K$176*G64</f>
        <v>0</v>
      </c>
    </row>
    <row r="65" spans="1:13" ht="20.100000000000001" customHeight="1" x14ac:dyDescent="0.25">
      <c r="B65" s="94" t="str">
        <f t="shared" ref="B65:B72" si="12">$E$2&amp;C65</f>
        <v>56COMB2</v>
      </c>
      <c r="C65" s="95" t="s">
        <v>144</v>
      </c>
      <c r="D65" s="96">
        <f>VLOOKUP(B65,'Joint Reactions'!$A$4:$K$30000,9,FALSE)/10</f>
        <v>20.82</v>
      </c>
      <c r="E65" s="96">
        <f>VLOOKUP(B65,'Joint Reactions'!$A$4:$K$30000,10,FALSE)/10</f>
        <v>-0.22000000000000003</v>
      </c>
      <c r="F65" s="96">
        <f>VLOOKUP(B65,'Joint Reactions'!$A$4:$K$30000,11,FALSE)/10</f>
        <v>-0.24</v>
      </c>
      <c r="G65" s="97">
        <f t="shared" ref="G65:G72" si="13">D65/1.15/$D$49/$H$49+6*K65/1.15/$H$49/$D$49^2+2*$E$16</f>
        <v>9.4826086956521749</v>
      </c>
      <c r="H65" s="97">
        <f t="shared" ref="H65:H72" si="14">D65/1.15/$D$49/$H$49+2*$E$16</f>
        <v>9.3260869565217384</v>
      </c>
      <c r="I65" s="98" t="str">
        <f t="shared" ref="I65:I72" si="15">IF(AND(H65&lt;=$C$42,G65&lt;=1.2*$C$42),"Đạt")</f>
        <v>Đạt</v>
      </c>
      <c r="K65" s="59">
        <f t="shared" ref="K65:K72" si="16">MAX(ABS(E65),ABS(F65))</f>
        <v>0.24</v>
      </c>
      <c r="L65" s="39">
        <f t="shared" si="11"/>
        <v>-3.3189130434782612</v>
      </c>
      <c r="M65" s="59">
        <f t="shared" ref="M65:M72" si="17">$K$176*G65</f>
        <v>0</v>
      </c>
    </row>
    <row r="66" spans="1:13" ht="20.100000000000001" customHeight="1" x14ac:dyDescent="0.25">
      <c r="B66" s="94" t="str">
        <f t="shared" si="12"/>
        <v>56COMB3</v>
      </c>
      <c r="C66" s="95" t="s">
        <v>145</v>
      </c>
      <c r="D66" s="96">
        <f>VLOOKUP(B66,'Joint Reactions'!$A$4:$K$30000,9,FALSE)/10</f>
        <v>21.919999999999998</v>
      </c>
      <c r="E66" s="96">
        <f>VLOOKUP(B66,'Joint Reactions'!$A$4:$K$30000,10,FALSE)/10</f>
        <v>-0.12</v>
      </c>
      <c r="F66" s="96">
        <f>VLOOKUP(B66,'Joint Reactions'!$A$4:$K$30000,11,FALSE)/10</f>
        <v>0.5</v>
      </c>
      <c r="G66" s="97">
        <f t="shared" si="13"/>
        <v>9.891304347826086</v>
      </c>
      <c r="H66" s="97">
        <f t="shared" si="14"/>
        <v>9.5652173913043477</v>
      </c>
      <c r="I66" s="98" t="str">
        <f t="shared" si="15"/>
        <v>Đạt</v>
      </c>
      <c r="K66" s="59">
        <f t="shared" si="16"/>
        <v>0.5</v>
      </c>
      <c r="L66" s="39">
        <f t="shared" si="11"/>
        <v>-3.4619565217391299</v>
      </c>
      <c r="M66" s="59">
        <f t="shared" si="17"/>
        <v>0</v>
      </c>
    </row>
    <row r="67" spans="1:13" ht="20.100000000000001" customHeight="1" x14ac:dyDescent="0.25">
      <c r="B67" s="94" t="str">
        <f t="shared" si="12"/>
        <v>56COMB4</v>
      </c>
      <c r="C67" s="95" t="s">
        <v>146</v>
      </c>
      <c r="D67" s="96">
        <f>VLOOKUP(B67,'Joint Reactions'!$A$4:$K$30000,9,FALSE)/10</f>
        <v>21.44</v>
      </c>
      <c r="E67" s="96">
        <f>VLOOKUP(B67,'Joint Reactions'!$A$4:$K$30000,10,FALSE)/10</f>
        <v>0.21000000000000002</v>
      </c>
      <c r="F67" s="96">
        <f>VLOOKUP(B67,'Joint Reactions'!$A$4:$K$30000,11,FALSE)/10</f>
        <v>0.12</v>
      </c>
      <c r="G67" s="97">
        <f t="shared" si="13"/>
        <v>9.5978260869565233</v>
      </c>
      <c r="H67" s="97">
        <f t="shared" si="14"/>
        <v>9.4608695652173918</v>
      </c>
      <c r="I67" s="98" t="str">
        <f t="shared" si="15"/>
        <v>Đạt</v>
      </c>
      <c r="K67" s="59">
        <f t="shared" si="16"/>
        <v>0.21000000000000002</v>
      </c>
      <c r="L67" s="39">
        <f t="shared" si="11"/>
        <v>-3.3592391304347831</v>
      </c>
      <c r="M67" s="59">
        <f t="shared" si="17"/>
        <v>0</v>
      </c>
    </row>
    <row r="68" spans="1:13" ht="20.100000000000001" customHeight="1" x14ac:dyDescent="0.25">
      <c r="B68" s="94" t="str">
        <f t="shared" si="12"/>
        <v>56COMB5</v>
      </c>
      <c r="C68" s="95" t="s">
        <v>147</v>
      </c>
      <c r="D68" s="96">
        <f>VLOOKUP(B68,'Joint Reactions'!$A$4:$K$30000,9,FALSE)/10</f>
        <v>21.240000000000002</v>
      </c>
      <c r="E68" s="96">
        <f>VLOOKUP(B68,'Joint Reactions'!$A$4:$K$30000,10,FALSE)/10</f>
        <v>-0.55000000000000004</v>
      </c>
      <c r="F68" s="96">
        <f>VLOOKUP(B68,'Joint Reactions'!$A$4:$K$30000,11,FALSE)/10</f>
        <v>0.13999999999999999</v>
      </c>
      <c r="G68" s="97">
        <f t="shared" si="13"/>
        <v>9.7760869565217394</v>
      </c>
      <c r="H68" s="97">
        <f t="shared" si="14"/>
        <v>9.4173913043478272</v>
      </c>
      <c r="I68" s="98" t="str">
        <f t="shared" si="15"/>
        <v>Đạt</v>
      </c>
      <c r="K68" s="59">
        <f t="shared" si="16"/>
        <v>0.55000000000000004</v>
      </c>
      <c r="L68" s="39">
        <f t="shared" si="11"/>
        <v>-3.4216304347826085</v>
      </c>
      <c r="M68" s="59">
        <f t="shared" si="17"/>
        <v>0</v>
      </c>
    </row>
    <row r="69" spans="1:13" ht="20.100000000000001" customHeight="1" x14ac:dyDescent="0.25">
      <c r="B69" s="94" t="str">
        <f t="shared" si="12"/>
        <v>56COMB6</v>
      </c>
      <c r="C69" s="95" t="s">
        <v>172</v>
      </c>
      <c r="D69" s="96">
        <f>VLOOKUP(B69,'Joint Reactions'!$A$4:$K$30000,9,FALSE)/10</f>
        <v>19.809999999999999</v>
      </c>
      <c r="E69" s="96">
        <f>VLOOKUP(B69,'Joint Reactions'!$A$4:$K$30000,10,FALSE)/10</f>
        <v>-0.22000000000000003</v>
      </c>
      <c r="F69" s="96">
        <f>VLOOKUP(B69,'Joint Reactions'!$A$4:$K$30000,11,FALSE)/10</f>
        <v>-0.27999999999999997</v>
      </c>
      <c r="G69" s="97">
        <f t="shared" si="13"/>
        <v>9.28913043478261</v>
      </c>
      <c r="H69" s="97">
        <f t="shared" si="14"/>
        <v>9.1065217391304358</v>
      </c>
      <c r="I69" s="98" t="str">
        <f t="shared" si="15"/>
        <v>Đạt</v>
      </c>
      <c r="K69" s="59">
        <f t="shared" si="16"/>
        <v>0.27999999999999997</v>
      </c>
      <c r="L69" s="39">
        <f t="shared" si="11"/>
        <v>-3.2511956521739132</v>
      </c>
      <c r="M69" s="59">
        <f t="shared" si="17"/>
        <v>0</v>
      </c>
    </row>
    <row r="70" spans="1:13" ht="20.100000000000001" customHeight="1" x14ac:dyDescent="0.25">
      <c r="B70" s="94" t="str">
        <f t="shared" si="12"/>
        <v>56COMB7</v>
      </c>
      <c r="C70" s="95" t="s">
        <v>173</v>
      </c>
      <c r="D70" s="96">
        <f>VLOOKUP(B70,'Joint Reactions'!$A$4:$K$30000,9,FALSE)/10</f>
        <v>21.02</v>
      </c>
      <c r="E70" s="96">
        <f>VLOOKUP(B70,'Joint Reactions'!$A$4:$K$30000,10,FALSE)/10</f>
        <v>-0.11000000000000001</v>
      </c>
      <c r="F70" s="96">
        <f>VLOOKUP(B70,'Joint Reactions'!$A$4:$K$30000,11,FALSE)/10</f>
        <v>0.54</v>
      </c>
      <c r="G70" s="97">
        <f t="shared" si="13"/>
        <v>9.7217391304347842</v>
      </c>
      <c r="H70" s="97">
        <f t="shared" si="14"/>
        <v>9.3695652173913047</v>
      </c>
      <c r="I70" s="98" t="str">
        <f t="shared" si="15"/>
        <v>Đạt</v>
      </c>
      <c r="K70" s="59">
        <f t="shared" si="16"/>
        <v>0.54</v>
      </c>
      <c r="L70" s="39">
        <f t="shared" si="11"/>
        <v>-3.4026086956521744</v>
      </c>
      <c r="M70" s="59">
        <f t="shared" si="17"/>
        <v>0</v>
      </c>
    </row>
    <row r="71" spans="1:13" ht="20.100000000000001" customHeight="1" x14ac:dyDescent="0.25">
      <c r="B71" s="94" t="str">
        <f t="shared" si="12"/>
        <v>56COMB8</v>
      </c>
      <c r="C71" s="95" t="s">
        <v>174</v>
      </c>
      <c r="D71" s="96">
        <f>VLOOKUP(B71,'Joint Reactions'!$A$4:$K$30000,9,FALSE)/10</f>
        <v>20.490000000000002</v>
      </c>
      <c r="E71" s="96">
        <f>VLOOKUP(B71,'Joint Reactions'!$A$4:$K$30000,10,FALSE)/10</f>
        <v>0.25</v>
      </c>
      <c r="F71" s="96">
        <f>VLOOKUP(B71,'Joint Reactions'!$A$4:$K$30000,11,FALSE)/10</f>
        <v>0.11000000000000001</v>
      </c>
      <c r="G71" s="97">
        <f t="shared" si="13"/>
        <v>9.4173913043478272</v>
      </c>
      <c r="H71" s="97">
        <f t="shared" si="14"/>
        <v>9.2543478260869563</v>
      </c>
      <c r="I71" s="98" t="str">
        <f t="shared" si="15"/>
        <v>Đạt</v>
      </c>
      <c r="K71" s="59">
        <f t="shared" si="16"/>
        <v>0.25</v>
      </c>
      <c r="L71" s="39">
        <f t="shared" si="11"/>
        <v>-3.2960869565217394</v>
      </c>
      <c r="M71" s="59">
        <f t="shared" si="17"/>
        <v>0</v>
      </c>
    </row>
    <row r="72" spans="1:13" ht="20.100000000000001" customHeight="1" x14ac:dyDescent="0.25">
      <c r="B72" s="94" t="str">
        <f t="shared" si="12"/>
        <v>56COMB9</v>
      </c>
      <c r="C72" s="95" t="s">
        <v>175</v>
      </c>
      <c r="D72" s="96">
        <f>VLOOKUP(B72,'Joint Reactions'!$A$4:$K$30000,9,FALSE)/10</f>
        <v>20.27</v>
      </c>
      <c r="E72" s="96">
        <f>VLOOKUP(B72,'Joint Reactions'!$A$4:$K$30000,10,FALSE)/10</f>
        <v>-0.59000000000000008</v>
      </c>
      <c r="F72" s="96">
        <f>VLOOKUP(B72,'Joint Reactions'!$A$4:$K$30000,11,FALSE)/10</f>
        <v>0.13999999999999999</v>
      </c>
      <c r="G72" s="97">
        <f t="shared" si="13"/>
        <v>9.5913043478260871</v>
      </c>
      <c r="H72" s="97">
        <f t="shared" si="14"/>
        <v>9.2065217391304337</v>
      </c>
      <c r="I72" s="98" t="str">
        <f t="shared" si="15"/>
        <v>Đạt</v>
      </c>
      <c r="K72" s="59">
        <f t="shared" si="16"/>
        <v>0.59000000000000008</v>
      </c>
      <c r="L72" s="39">
        <f t="shared" si="11"/>
        <v>-3.3569565217391304</v>
      </c>
      <c r="M72" s="59">
        <f t="shared" si="17"/>
        <v>0</v>
      </c>
    </row>
    <row r="73" spans="1:13" ht="20.100000000000001" customHeight="1" x14ac:dyDescent="0.2">
      <c r="A73" s="35" t="s">
        <v>34</v>
      </c>
    </row>
    <row r="74" spans="1:13" ht="20.100000000000001" customHeight="1" x14ac:dyDescent="0.2">
      <c r="B74" s="43" t="s">
        <v>35</v>
      </c>
      <c r="C74" s="43"/>
      <c r="D74" s="43"/>
      <c r="E74" s="43"/>
      <c r="F74" s="43"/>
      <c r="G74" s="43"/>
      <c r="H74" s="43"/>
      <c r="I74" s="43"/>
      <c r="J74" s="43"/>
      <c r="K74" s="43"/>
    </row>
    <row r="75" spans="1:13" ht="20.100000000000001" customHeight="1" x14ac:dyDescent="0.2">
      <c r="B75" s="43" t="s">
        <v>38</v>
      </c>
      <c r="C75" s="43"/>
      <c r="D75" s="37">
        <f>H49/5</f>
        <v>0.4</v>
      </c>
      <c r="E75" s="43" t="s">
        <v>8</v>
      </c>
      <c r="F75" s="43"/>
      <c r="G75" s="43"/>
      <c r="H75" s="43"/>
      <c r="I75" s="43"/>
      <c r="J75" s="43"/>
      <c r="K75" s="43"/>
    </row>
    <row r="76" spans="1:13" ht="20.100000000000001" customHeight="1" x14ac:dyDescent="0.2">
      <c r="B76" s="43" t="s">
        <v>36</v>
      </c>
      <c r="C76" s="43"/>
      <c r="D76" s="43"/>
      <c r="E76" s="43"/>
      <c r="F76" s="43"/>
      <c r="G76" s="43"/>
      <c r="H76" s="43"/>
      <c r="I76" s="43"/>
      <c r="J76" s="43"/>
      <c r="K76" s="43"/>
    </row>
    <row r="77" spans="1:13" ht="20.100000000000001" customHeight="1" x14ac:dyDescent="0.2">
      <c r="B77" s="99" t="s">
        <v>37</v>
      </c>
      <c r="C77" s="43"/>
      <c r="D77" s="43"/>
      <c r="E77" s="43"/>
      <c r="F77" s="43"/>
      <c r="G77" s="43"/>
      <c r="H77" s="43"/>
      <c r="I77" s="43"/>
      <c r="J77" s="43"/>
      <c r="K77" s="43"/>
    </row>
    <row r="78" spans="1:13" ht="20.100000000000001" customHeight="1" x14ac:dyDescent="0.2">
      <c r="B78" s="99" t="s">
        <v>261</v>
      </c>
      <c r="C78" s="43"/>
      <c r="D78" s="43"/>
      <c r="E78" s="43"/>
      <c r="F78" s="43"/>
      <c r="G78" s="43"/>
      <c r="H78" s="43"/>
      <c r="I78" s="43"/>
      <c r="J78" s="43"/>
      <c r="K78" s="43"/>
    </row>
    <row r="79" spans="1:13" ht="20.100000000000001" customHeight="1" x14ac:dyDescent="0.2">
      <c r="B79" s="99" t="s">
        <v>262</v>
      </c>
      <c r="C79" s="43" t="s">
        <v>95</v>
      </c>
      <c r="D79" s="43"/>
      <c r="E79" s="43"/>
      <c r="F79" s="43"/>
      <c r="H79" s="43" t="s">
        <v>263</v>
      </c>
      <c r="I79" s="43"/>
      <c r="J79" s="43"/>
      <c r="K79" s="43"/>
    </row>
    <row r="80" spans="1:13" ht="20.100000000000001" customHeight="1" x14ac:dyDescent="0.2">
      <c r="B80" s="99" t="s">
        <v>264</v>
      </c>
      <c r="C80" s="43" t="s">
        <v>96</v>
      </c>
      <c r="D80" s="43"/>
      <c r="E80" s="43"/>
      <c r="F80" s="43"/>
      <c r="G80" s="43"/>
      <c r="H80" s="43"/>
      <c r="I80" s="43"/>
      <c r="J80" s="43"/>
      <c r="K80" s="43"/>
    </row>
    <row r="81" spans="1:17" ht="20.100000000000001" customHeight="1" x14ac:dyDescent="0.2">
      <c r="B81" s="99" t="s">
        <v>265</v>
      </c>
      <c r="C81" s="43" t="s">
        <v>97</v>
      </c>
      <c r="H81" s="100" t="s">
        <v>266</v>
      </c>
      <c r="I81" s="59">
        <f>SUM(AC20:AC22)</f>
        <v>1.1749999999999998</v>
      </c>
      <c r="J81" s="30" t="s">
        <v>251</v>
      </c>
    </row>
    <row r="82" spans="1:17" ht="20.100000000000001" customHeight="1" x14ac:dyDescent="0.2">
      <c r="B82" s="99" t="s">
        <v>267</v>
      </c>
      <c r="C82" s="43" t="s">
        <v>268</v>
      </c>
      <c r="I82" s="59">
        <f>D58-I81</f>
        <v>8.390217391304347</v>
      </c>
      <c r="J82" s="30" t="s">
        <v>251</v>
      </c>
    </row>
    <row r="83" spans="1:17" ht="20.100000000000001" customHeight="1" x14ac:dyDescent="0.2">
      <c r="B83" s="99" t="s">
        <v>99</v>
      </c>
      <c r="C83" s="43" t="s">
        <v>100</v>
      </c>
      <c r="I83" s="59"/>
    </row>
    <row r="84" spans="1:17" ht="20.100000000000001" customHeight="1" x14ac:dyDescent="0.2">
      <c r="B84" s="101" t="s">
        <v>102</v>
      </c>
      <c r="C84" s="43"/>
      <c r="I84" s="59"/>
    </row>
    <row r="85" spans="1:17" ht="20.100000000000001" customHeight="1" x14ac:dyDescent="0.2">
      <c r="B85" s="30" t="s">
        <v>92</v>
      </c>
      <c r="E85" s="102" t="s">
        <v>149</v>
      </c>
      <c r="K85" s="30" t="s">
        <v>93</v>
      </c>
      <c r="L85" s="36">
        <f>D49/H49</f>
        <v>1</v>
      </c>
    </row>
    <row r="86" spans="1:17" ht="20.100000000000001" customHeight="1" x14ac:dyDescent="0.2">
      <c r="A86" s="103" t="s">
        <v>40</v>
      </c>
      <c r="B86" s="104"/>
      <c r="C86" s="105" t="s">
        <v>41</v>
      </c>
      <c r="D86" s="105" t="s">
        <v>42</v>
      </c>
      <c r="E86" s="105" t="s">
        <v>11</v>
      </c>
      <c r="F86" s="106" t="s">
        <v>98</v>
      </c>
      <c r="G86" s="105" t="s">
        <v>269</v>
      </c>
      <c r="H86" s="105" t="s">
        <v>270</v>
      </c>
      <c r="I86" s="105" t="s">
        <v>271</v>
      </c>
      <c r="J86" s="105" t="s">
        <v>272</v>
      </c>
      <c r="K86" s="45" t="s">
        <v>43</v>
      </c>
      <c r="L86" s="45" t="s">
        <v>14</v>
      </c>
      <c r="M86" s="43" t="s">
        <v>44</v>
      </c>
      <c r="N86" s="45" t="s">
        <v>45</v>
      </c>
      <c r="O86" s="45" t="s">
        <v>273</v>
      </c>
      <c r="P86" s="45" t="s">
        <v>46</v>
      </c>
      <c r="Q86" s="34" t="s">
        <v>94</v>
      </c>
    </row>
    <row r="87" spans="1:17" ht="20.100000000000001" customHeight="1" x14ac:dyDescent="0.2">
      <c r="A87" s="107" t="s">
        <v>274</v>
      </c>
      <c r="B87" s="108"/>
      <c r="C87" s="109" t="s">
        <v>275</v>
      </c>
      <c r="D87" s="109" t="s">
        <v>276</v>
      </c>
      <c r="E87" s="110"/>
      <c r="F87" s="111"/>
      <c r="G87" s="111" t="s">
        <v>277</v>
      </c>
      <c r="H87" s="111" t="s">
        <v>277</v>
      </c>
      <c r="I87" s="111" t="s">
        <v>278</v>
      </c>
      <c r="J87" s="111" t="s">
        <v>47</v>
      </c>
      <c r="K87" s="43"/>
      <c r="L87" s="45" t="s">
        <v>8</v>
      </c>
      <c r="M87" s="43" t="s">
        <v>48</v>
      </c>
      <c r="N87" s="45" t="s">
        <v>279</v>
      </c>
      <c r="O87" s="45" t="s">
        <v>277</v>
      </c>
      <c r="P87" s="43"/>
    </row>
    <row r="88" spans="1:17" ht="20.100000000000001" customHeight="1" x14ac:dyDescent="0.2">
      <c r="A88" s="112"/>
      <c r="B88" s="113">
        <v>0</v>
      </c>
      <c r="C88" s="114">
        <f t="shared" ref="C88:C94" si="18">IF(M88=0,$D$75,MIN($D$75,M88))</f>
        <v>0.4</v>
      </c>
      <c r="D88" s="114">
        <f t="shared" ref="D88:D102" si="19">$E$16+B88</f>
        <v>2.4</v>
      </c>
      <c r="E88" s="115">
        <f>INDEX($B$19:$B$22,MATCH(D88,$M$18:$M$22))</f>
        <v>2</v>
      </c>
      <c r="F88" s="116">
        <f>IF($E$85="chữ nhật",INTER2D($S$29:$Y$58,Q88,$L$85),ns($AC$30:$AD$58,Q88))</f>
        <v>1</v>
      </c>
      <c r="G88" s="114">
        <f>$I$81</f>
        <v>1.1749999999999998</v>
      </c>
      <c r="H88" s="114">
        <f t="shared" ref="H88:H122" si="20">$I$82*F88</f>
        <v>8.390217391304347</v>
      </c>
      <c r="I88" s="115">
        <f>INDEX($J$19:$J$22,MATCH(D88,$M$18:$M$22))</f>
        <v>173</v>
      </c>
      <c r="J88" s="117">
        <f t="shared" ref="J88:J102" si="21">0.8/I88/10*H88*C88*1000</f>
        <v>1.5519477255591858</v>
      </c>
      <c r="K88" s="118">
        <f>MATCH(D88,$Q$18:$Q$23)</f>
        <v>4</v>
      </c>
      <c r="L88" s="43">
        <f>INDEX($Q$19:$Q$23,K88)</f>
        <v>12.8</v>
      </c>
      <c r="M88" s="43">
        <f>L88-D88</f>
        <v>10.4</v>
      </c>
      <c r="N88" s="43">
        <f>INDEX($R$19:$R$23,K88)</f>
        <v>1.97</v>
      </c>
      <c r="O88" s="43">
        <f>N88*C88</f>
        <v>0.78800000000000003</v>
      </c>
      <c r="P88" s="43">
        <v>1</v>
      </c>
      <c r="Q88" s="36">
        <f>2*B88/$H$49</f>
        <v>0</v>
      </c>
    </row>
    <row r="89" spans="1:17" ht="20.100000000000001" customHeight="1" x14ac:dyDescent="0.2">
      <c r="A89" s="71"/>
      <c r="B89" s="119">
        <f t="shared" ref="B89:B102" si="22">B88+C88</f>
        <v>0.4</v>
      </c>
      <c r="C89" s="120">
        <f t="shared" si="18"/>
        <v>0.4</v>
      </c>
      <c r="D89" s="120">
        <f t="shared" si="19"/>
        <v>2.8</v>
      </c>
      <c r="E89" s="121">
        <f t="shared" ref="E89:E122" si="23">INDEX($B$19:$B$22,MATCH(D89,$M$18:$M$22))</f>
        <v>2</v>
      </c>
      <c r="F89" s="122">
        <f>IF($E$85="chữ nhật",INTER2D($S$29:$Y$58,Q89,$L$85),ns($AC$30:$AD$58,Q89))</f>
        <v>0.96</v>
      </c>
      <c r="G89" s="120">
        <f t="shared" ref="G89:G102" si="24">G88+O88</f>
        <v>1.9629999999999999</v>
      </c>
      <c r="H89" s="120">
        <f t="shared" si="20"/>
        <v>8.0546086956521723</v>
      </c>
      <c r="I89" s="121">
        <f t="shared" ref="I89:I122" si="25">INDEX($J$19:$J$22,MATCH(D89,$M$18:$M$22))</f>
        <v>173</v>
      </c>
      <c r="J89" s="123">
        <f t="shared" si="21"/>
        <v>1.4898698165368183</v>
      </c>
      <c r="K89" s="118">
        <f t="shared" ref="K89:K102" si="26">MATCH(D89,$Q$18:$Q$23)</f>
        <v>4</v>
      </c>
      <c r="L89" s="43">
        <f t="shared" ref="L89:L102" si="27">INDEX($Q$19:$Q$23,K89)</f>
        <v>12.8</v>
      </c>
      <c r="M89" s="43">
        <f t="shared" ref="M89:M102" si="28">L89-D89</f>
        <v>10</v>
      </c>
      <c r="N89" s="43">
        <f t="shared" ref="N89:N102" si="29">INDEX($R$19:$R$23,K89)</f>
        <v>1.97</v>
      </c>
      <c r="O89" s="43">
        <f t="shared" ref="O89:O102" si="30">N89*C89</f>
        <v>0.78800000000000003</v>
      </c>
      <c r="P89" s="43">
        <f t="shared" ref="P89:P122" si="31">IF(G88&gt;$E$125*H88,0,1)</f>
        <v>1</v>
      </c>
      <c r="Q89" s="36">
        <f t="shared" ref="Q89:Q122" si="32">2*B89/$H$49</f>
        <v>0.4</v>
      </c>
    </row>
    <row r="90" spans="1:17" ht="20.100000000000001" customHeight="1" x14ac:dyDescent="0.2">
      <c r="A90" s="71"/>
      <c r="B90" s="119">
        <f t="shared" si="22"/>
        <v>0.8</v>
      </c>
      <c r="C90" s="120">
        <f t="shared" si="18"/>
        <v>0.4</v>
      </c>
      <c r="D90" s="120">
        <f t="shared" si="19"/>
        <v>3.2</v>
      </c>
      <c r="E90" s="121">
        <f t="shared" si="23"/>
        <v>2</v>
      </c>
      <c r="F90" s="122">
        <f>IF($E$85="chữ nhật",INTER2D($S$29:$Y$58,Q90,$L$85),ns($AC$30:$AD$58,Q90))</f>
        <v>0.8</v>
      </c>
      <c r="G90" s="120">
        <f t="shared" si="24"/>
        <v>2.7509999999999999</v>
      </c>
      <c r="H90" s="120">
        <f t="shared" si="20"/>
        <v>6.7121739130434781</v>
      </c>
      <c r="I90" s="121">
        <f t="shared" si="25"/>
        <v>173</v>
      </c>
      <c r="J90" s="123">
        <f t="shared" si="21"/>
        <v>1.2415581804473488</v>
      </c>
      <c r="K90" s="118">
        <f t="shared" si="26"/>
        <v>4</v>
      </c>
      <c r="L90" s="43">
        <f t="shared" si="27"/>
        <v>12.8</v>
      </c>
      <c r="M90" s="43">
        <f t="shared" si="28"/>
        <v>9.6000000000000014</v>
      </c>
      <c r="N90" s="43">
        <f t="shared" si="29"/>
        <v>1.97</v>
      </c>
      <c r="O90" s="43">
        <f t="shared" si="30"/>
        <v>0.78800000000000003</v>
      </c>
      <c r="P90" s="43">
        <f t="shared" si="31"/>
        <v>1</v>
      </c>
      <c r="Q90" s="36">
        <f t="shared" si="32"/>
        <v>0.8</v>
      </c>
    </row>
    <row r="91" spans="1:17" ht="20.100000000000001" customHeight="1" x14ac:dyDescent="0.2">
      <c r="A91" s="71"/>
      <c r="B91" s="119">
        <f t="shared" si="22"/>
        <v>1.2000000000000002</v>
      </c>
      <c r="C91" s="120">
        <f t="shared" si="18"/>
        <v>0.4</v>
      </c>
      <c r="D91" s="120">
        <f t="shared" si="19"/>
        <v>3.6</v>
      </c>
      <c r="E91" s="121">
        <f t="shared" si="23"/>
        <v>2</v>
      </c>
      <c r="F91" s="122">
        <f>IF($E$85="chữ nhật",INTER2D($S$29:$Y$58,Q91,$L$85),ns($AC$30:$AD$58,Q91))</f>
        <v>0.60599999999999998</v>
      </c>
      <c r="G91" s="120">
        <f t="shared" si="24"/>
        <v>3.5389999999999997</v>
      </c>
      <c r="H91" s="120">
        <f t="shared" si="20"/>
        <v>5.0844717391304339</v>
      </c>
      <c r="I91" s="121">
        <f t="shared" si="25"/>
        <v>173</v>
      </c>
      <c r="J91" s="123">
        <f t="shared" si="21"/>
        <v>0.94048032168886653</v>
      </c>
      <c r="K91" s="118">
        <f t="shared" si="26"/>
        <v>4</v>
      </c>
      <c r="L91" s="43">
        <f t="shared" si="27"/>
        <v>12.8</v>
      </c>
      <c r="M91" s="43">
        <f t="shared" si="28"/>
        <v>9.2000000000000011</v>
      </c>
      <c r="N91" s="43">
        <f t="shared" si="29"/>
        <v>1.97</v>
      </c>
      <c r="O91" s="43">
        <f t="shared" si="30"/>
        <v>0.78800000000000003</v>
      </c>
      <c r="P91" s="43">
        <f t="shared" si="31"/>
        <v>1</v>
      </c>
      <c r="Q91" s="36">
        <f t="shared" si="32"/>
        <v>1.2000000000000002</v>
      </c>
    </row>
    <row r="92" spans="1:17" ht="20.100000000000001" customHeight="1" x14ac:dyDescent="0.2">
      <c r="A92" s="71"/>
      <c r="B92" s="119">
        <f t="shared" si="22"/>
        <v>1.6</v>
      </c>
      <c r="C92" s="120">
        <f t="shared" si="18"/>
        <v>0.4</v>
      </c>
      <c r="D92" s="120">
        <f t="shared" si="19"/>
        <v>4</v>
      </c>
      <c r="E92" s="121">
        <f t="shared" si="23"/>
        <v>2</v>
      </c>
      <c r="F92" s="122">
        <f>IF($E$85="chữ nhật",INTER2D($S$29:$Y$58,Q92,$L$85),ns($AC$30:$AD$58,Q92))</f>
        <v>0.44900000000000001</v>
      </c>
      <c r="G92" s="120">
        <f t="shared" si="24"/>
        <v>4.327</v>
      </c>
      <c r="H92" s="120">
        <f t="shared" si="20"/>
        <v>3.7672076086956521</v>
      </c>
      <c r="I92" s="121">
        <f t="shared" si="25"/>
        <v>173</v>
      </c>
      <c r="J92" s="123">
        <f t="shared" si="21"/>
        <v>0.69682452877607459</v>
      </c>
      <c r="K92" s="118">
        <f t="shared" si="26"/>
        <v>4</v>
      </c>
      <c r="L92" s="43">
        <f t="shared" si="27"/>
        <v>12.8</v>
      </c>
      <c r="M92" s="43">
        <f t="shared" si="28"/>
        <v>8.8000000000000007</v>
      </c>
      <c r="N92" s="43">
        <f t="shared" si="29"/>
        <v>1.97</v>
      </c>
      <c r="O92" s="43">
        <f t="shared" si="30"/>
        <v>0.78800000000000003</v>
      </c>
      <c r="P92" s="43">
        <f t="shared" si="31"/>
        <v>1</v>
      </c>
      <c r="Q92" s="36">
        <f t="shared" si="32"/>
        <v>1.6</v>
      </c>
    </row>
    <row r="93" spans="1:17" ht="20.100000000000001" customHeight="1" x14ac:dyDescent="0.2">
      <c r="A93" s="71"/>
      <c r="B93" s="119">
        <f t="shared" si="22"/>
        <v>2</v>
      </c>
      <c r="C93" s="120">
        <f t="shared" si="18"/>
        <v>0.4</v>
      </c>
      <c r="D93" s="120">
        <f t="shared" si="19"/>
        <v>4.4000000000000004</v>
      </c>
      <c r="E93" s="121">
        <f t="shared" si="23"/>
        <v>2</v>
      </c>
      <c r="F93" s="122">
        <f>IF($E$85="chữ nhật",INTER2D($S$29:$Y$58,Q93,$L$85),ns($AC$30:$AD$58,Q93))</f>
        <v>0.33600000000000002</v>
      </c>
      <c r="G93" s="120">
        <f t="shared" si="24"/>
        <v>5.1150000000000002</v>
      </c>
      <c r="H93" s="120">
        <f t="shared" si="20"/>
        <v>2.8191130434782607</v>
      </c>
      <c r="I93" s="121">
        <f t="shared" si="25"/>
        <v>173</v>
      </c>
      <c r="J93" s="123">
        <f t="shared" si="21"/>
        <v>0.52145443578788642</v>
      </c>
      <c r="K93" s="118">
        <f t="shared" si="26"/>
        <v>4</v>
      </c>
      <c r="L93" s="43">
        <f t="shared" si="27"/>
        <v>12.8</v>
      </c>
      <c r="M93" s="43">
        <f t="shared" si="28"/>
        <v>8.4</v>
      </c>
      <c r="N93" s="43">
        <f t="shared" si="29"/>
        <v>1.97</v>
      </c>
      <c r="O93" s="43">
        <f t="shared" si="30"/>
        <v>0.78800000000000003</v>
      </c>
      <c r="P93" s="43">
        <f t="shared" si="31"/>
        <v>1</v>
      </c>
      <c r="Q93" s="36">
        <f t="shared" si="32"/>
        <v>2</v>
      </c>
    </row>
    <row r="94" spans="1:17" ht="20.100000000000001" customHeight="1" x14ac:dyDescent="0.2">
      <c r="A94" s="71"/>
      <c r="B94" s="119">
        <f t="shared" si="22"/>
        <v>2.4</v>
      </c>
      <c r="C94" s="120">
        <f t="shared" si="18"/>
        <v>0.4</v>
      </c>
      <c r="D94" s="120">
        <f t="shared" si="19"/>
        <v>4.8</v>
      </c>
      <c r="E94" s="121">
        <f t="shared" si="23"/>
        <v>2</v>
      </c>
      <c r="F94" s="122">
        <f>IF($E$85="chữ nhật",INTER2D($S$29:$Y$58,Q94,$L$85),ns($AC$30:$AD$58,Q94))</f>
        <v>0.25700000000000001</v>
      </c>
      <c r="G94" s="120">
        <f t="shared" si="24"/>
        <v>5.9030000000000005</v>
      </c>
      <c r="H94" s="120">
        <f t="shared" si="20"/>
        <v>2.1562858695652172</v>
      </c>
      <c r="I94" s="121">
        <f t="shared" si="25"/>
        <v>173</v>
      </c>
      <c r="J94" s="123">
        <f t="shared" si="21"/>
        <v>0.39885056546871078</v>
      </c>
      <c r="K94" s="118">
        <f t="shared" si="26"/>
        <v>4</v>
      </c>
      <c r="L94" s="43">
        <f t="shared" si="27"/>
        <v>12.8</v>
      </c>
      <c r="M94" s="43">
        <f t="shared" si="28"/>
        <v>8</v>
      </c>
      <c r="N94" s="43">
        <f t="shared" si="29"/>
        <v>1.97</v>
      </c>
      <c r="O94" s="43">
        <f t="shared" si="30"/>
        <v>0.78800000000000003</v>
      </c>
      <c r="P94" s="43">
        <f t="shared" si="31"/>
        <v>1</v>
      </c>
      <c r="Q94" s="36">
        <f t="shared" si="32"/>
        <v>2.4</v>
      </c>
    </row>
    <row r="95" spans="1:17" ht="20.100000000000001" customHeight="1" x14ac:dyDescent="0.2">
      <c r="A95" s="71"/>
      <c r="B95" s="119">
        <f t="shared" si="22"/>
        <v>2.8</v>
      </c>
      <c r="C95" s="120">
        <f>IF(M95=0,$D$75,MIN($D$75,M95))</f>
        <v>0.4</v>
      </c>
      <c r="D95" s="120">
        <f t="shared" si="19"/>
        <v>5.1999999999999993</v>
      </c>
      <c r="E95" s="121">
        <f t="shared" si="23"/>
        <v>2</v>
      </c>
      <c r="F95" s="122">
        <f>IF($E$85="chữ nhật",INTER2D($S$29:$Y$58,Q95,$L$85),ns($AC$30:$AD$58,Q95))</f>
        <v>0.20100000000000001</v>
      </c>
      <c r="G95" s="120">
        <f t="shared" si="24"/>
        <v>6.6910000000000007</v>
      </c>
      <c r="H95" s="120">
        <f t="shared" si="20"/>
        <v>1.6864336956521739</v>
      </c>
      <c r="I95" s="121">
        <f t="shared" si="25"/>
        <v>173</v>
      </c>
      <c r="J95" s="123">
        <f t="shared" si="21"/>
        <v>0.31194149283739636</v>
      </c>
      <c r="K95" s="118">
        <f t="shared" si="26"/>
        <v>4</v>
      </c>
      <c r="L95" s="43">
        <f t="shared" si="27"/>
        <v>12.8</v>
      </c>
      <c r="M95" s="43">
        <f t="shared" si="28"/>
        <v>7.6000000000000014</v>
      </c>
      <c r="N95" s="43">
        <f t="shared" si="29"/>
        <v>1.97</v>
      </c>
      <c r="O95" s="43">
        <f t="shared" si="30"/>
        <v>0.78800000000000003</v>
      </c>
      <c r="P95" s="43">
        <f t="shared" si="31"/>
        <v>1</v>
      </c>
      <c r="Q95" s="36">
        <f t="shared" si="32"/>
        <v>2.8</v>
      </c>
    </row>
    <row r="96" spans="1:17" ht="20.100000000000001" customHeight="1" x14ac:dyDescent="0.2">
      <c r="A96" s="71"/>
      <c r="B96" s="119">
        <f t="shared" si="22"/>
        <v>3.1999999999999997</v>
      </c>
      <c r="C96" s="120">
        <f t="shared" ref="C96:C102" si="33">IF(M96=0,$D$75,MIN($D$75,M96))</f>
        <v>0.4</v>
      </c>
      <c r="D96" s="120">
        <f t="shared" si="19"/>
        <v>5.6</v>
      </c>
      <c r="E96" s="121">
        <f t="shared" si="23"/>
        <v>2</v>
      </c>
      <c r="F96" s="122">
        <f>IF($E$85="chữ nhật",INTER2D($S$29:$Y$58,Q96,$L$85),ns($AC$30:$AD$58,Q96))</f>
        <v>0.16</v>
      </c>
      <c r="G96" s="120">
        <f t="shared" si="24"/>
        <v>7.479000000000001</v>
      </c>
      <c r="H96" s="120">
        <f t="shared" si="20"/>
        <v>1.3424347826086955</v>
      </c>
      <c r="I96" s="121">
        <f t="shared" si="25"/>
        <v>173</v>
      </c>
      <c r="J96" s="123">
        <f t="shared" si="21"/>
        <v>0.24831163608946971</v>
      </c>
      <c r="K96" s="118">
        <f t="shared" si="26"/>
        <v>4</v>
      </c>
      <c r="L96" s="43">
        <f t="shared" si="27"/>
        <v>12.8</v>
      </c>
      <c r="M96" s="43">
        <f t="shared" si="28"/>
        <v>7.2000000000000011</v>
      </c>
      <c r="N96" s="43">
        <f t="shared" si="29"/>
        <v>1.97</v>
      </c>
      <c r="O96" s="43">
        <f t="shared" si="30"/>
        <v>0.78800000000000003</v>
      </c>
      <c r="P96" s="43">
        <f t="shared" si="31"/>
        <v>1</v>
      </c>
      <c r="Q96" s="36">
        <f t="shared" si="32"/>
        <v>3.1999999999999997</v>
      </c>
    </row>
    <row r="97" spans="1:17" ht="20.100000000000001" customHeight="1" x14ac:dyDescent="0.2">
      <c r="A97" s="71"/>
      <c r="B97" s="119">
        <f t="shared" si="22"/>
        <v>3.5999999999999996</v>
      </c>
      <c r="C97" s="120">
        <f t="shared" si="33"/>
        <v>0.4</v>
      </c>
      <c r="D97" s="120">
        <f t="shared" si="19"/>
        <v>6</v>
      </c>
      <c r="E97" s="121">
        <f t="shared" si="23"/>
        <v>2</v>
      </c>
      <c r="F97" s="122">
        <f>IF($E$85="chữ nhật",INTER2D($S$29:$Y$58,Q97,$L$85),ns($AC$30:$AD$58,Q97))</f>
        <v>0.13</v>
      </c>
      <c r="G97" s="120">
        <f t="shared" si="24"/>
        <v>8.2670000000000012</v>
      </c>
      <c r="H97" s="120">
        <f t="shared" si="20"/>
        <v>1.0907282608695652</v>
      </c>
      <c r="I97" s="121">
        <f t="shared" si="25"/>
        <v>173</v>
      </c>
      <c r="J97" s="123">
        <f t="shared" si="21"/>
        <v>0.20175320432269414</v>
      </c>
      <c r="K97" s="118">
        <f t="shared" si="26"/>
        <v>4</v>
      </c>
      <c r="L97" s="43">
        <f t="shared" si="27"/>
        <v>12.8</v>
      </c>
      <c r="M97" s="43">
        <f t="shared" si="28"/>
        <v>6.8000000000000007</v>
      </c>
      <c r="N97" s="43">
        <f t="shared" si="29"/>
        <v>1.97</v>
      </c>
      <c r="O97" s="43">
        <f t="shared" si="30"/>
        <v>0.78800000000000003</v>
      </c>
      <c r="P97" s="43">
        <f t="shared" si="31"/>
        <v>0</v>
      </c>
      <c r="Q97" s="36">
        <f t="shared" si="32"/>
        <v>3.5999999999999996</v>
      </c>
    </row>
    <row r="98" spans="1:17" ht="20.100000000000001" customHeight="1" x14ac:dyDescent="0.2">
      <c r="A98" s="71"/>
      <c r="B98" s="119">
        <f t="shared" si="22"/>
        <v>3.9999999999999996</v>
      </c>
      <c r="C98" s="120">
        <f t="shared" si="33"/>
        <v>0.4</v>
      </c>
      <c r="D98" s="120">
        <f t="shared" si="19"/>
        <v>6.3999999999999995</v>
      </c>
      <c r="E98" s="121">
        <f t="shared" si="23"/>
        <v>2</v>
      </c>
      <c r="F98" s="122">
        <f>IF($E$85="chữ nhật",INTER2D($S$29:$Y$58,Q98,$L$85),ns($AC$30:$AD$58,Q98))</f>
        <v>0.108</v>
      </c>
      <c r="G98" s="120">
        <f t="shared" si="24"/>
        <v>9.0550000000000015</v>
      </c>
      <c r="H98" s="120">
        <f t="shared" si="20"/>
        <v>0.90614347826086949</v>
      </c>
      <c r="I98" s="121">
        <f t="shared" si="25"/>
        <v>173</v>
      </c>
      <c r="J98" s="123">
        <f t="shared" si="21"/>
        <v>0.16761035436039207</v>
      </c>
      <c r="K98" s="118">
        <f t="shared" si="26"/>
        <v>4</v>
      </c>
      <c r="L98" s="43">
        <f t="shared" si="27"/>
        <v>12.8</v>
      </c>
      <c r="M98" s="43">
        <f t="shared" si="28"/>
        <v>6.4000000000000012</v>
      </c>
      <c r="N98" s="43">
        <f t="shared" si="29"/>
        <v>1.97</v>
      </c>
      <c r="O98" s="43">
        <f t="shared" si="30"/>
        <v>0.78800000000000003</v>
      </c>
      <c r="P98" s="43">
        <f t="shared" si="31"/>
        <v>0</v>
      </c>
      <c r="Q98" s="36">
        <f t="shared" si="32"/>
        <v>3.9999999999999996</v>
      </c>
    </row>
    <row r="99" spans="1:17" ht="20.100000000000001" customHeight="1" x14ac:dyDescent="0.2">
      <c r="A99" s="71"/>
      <c r="B99" s="119">
        <f t="shared" si="22"/>
        <v>4.3999999999999995</v>
      </c>
      <c r="C99" s="120">
        <f t="shared" si="33"/>
        <v>0.4</v>
      </c>
      <c r="D99" s="120">
        <f t="shared" si="19"/>
        <v>6.7999999999999989</v>
      </c>
      <c r="E99" s="121">
        <f t="shared" si="23"/>
        <v>2</v>
      </c>
      <c r="F99" s="122">
        <f>IF($E$85="chữ nhật",INTER2D($S$29:$Y$58,Q99,$L$85),ns($AC$30:$AD$58,Q99))</f>
        <v>9.0999999999999998E-2</v>
      </c>
      <c r="G99" s="120">
        <f t="shared" si="24"/>
        <v>9.8430000000000017</v>
      </c>
      <c r="H99" s="120">
        <f t="shared" si="20"/>
        <v>0.76350978260869551</v>
      </c>
      <c r="I99" s="121">
        <f t="shared" si="25"/>
        <v>173</v>
      </c>
      <c r="J99" s="123">
        <f t="shared" si="21"/>
        <v>0.14122724302588591</v>
      </c>
      <c r="K99" s="118">
        <f t="shared" si="26"/>
        <v>4</v>
      </c>
      <c r="L99" s="43">
        <f t="shared" si="27"/>
        <v>12.8</v>
      </c>
      <c r="M99" s="43">
        <f t="shared" si="28"/>
        <v>6.0000000000000018</v>
      </c>
      <c r="N99" s="43">
        <f t="shared" si="29"/>
        <v>1.97</v>
      </c>
      <c r="O99" s="43">
        <f t="shared" si="30"/>
        <v>0.78800000000000003</v>
      </c>
      <c r="P99" s="43">
        <f t="shared" si="31"/>
        <v>0</v>
      </c>
      <c r="Q99" s="36">
        <f t="shared" si="32"/>
        <v>4.3999999999999995</v>
      </c>
    </row>
    <row r="100" spans="1:17" ht="20.100000000000001" customHeight="1" x14ac:dyDescent="0.2">
      <c r="A100" s="71"/>
      <c r="B100" s="119">
        <f t="shared" si="22"/>
        <v>4.8</v>
      </c>
      <c r="C100" s="120">
        <f t="shared" si="33"/>
        <v>0.4</v>
      </c>
      <c r="D100" s="120">
        <f t="shared" si="19"/>
        <v>7.1999999999999993</v>
      </c>
      <c r="E100" s="121">
        <f t="shared" si="23"/>
        <v>2</v>
      </c>
      <c r="F100" s="122">
        <f>IF($E$85="chữ nhật",INTER2D($S$29:$Y$58,Q100,$L$85),ns($AC$30:$AD$58,Q100))</f>
        <v>7.6999999999999999E-2</v>
      </c>
      <c r="G100" s="120">
        <f t="shared" si="24"/>
        <v>10.631000000000002</v>
      </c>
      <c r="H100" s="120">
        <f t="shared" si="20"/>
        <v>0.64604673913043476</v>
      </c>
      <c r="I100" s="121">
        <f t="shared" si="25"/>
        <v>173</v>
      </c>
      <c r="J100" s="123">
        <f t="shared" si="21"/>
        <v>0.1194999748680573</v>
      </c>
      <c r="K100" s="118">
        <f t="shared" si="26"/>
        <v>4</v>
      </c>
      <c r="L100" s="43">
        <f t="shared" si="27"/>
        <v>12.8</v>
      </c>
      <c r="M100" s="43">
        <f t="shared" si="28"/>
        <v>5.6000000000000014</v>
      </c>
      <c r="N100" s="43">
        <f t="shared" si="29"/>
        <v>1.97</v>
      </c>
      <c r="O100" s="43">
        <f t="shared" si="30"/>
        <v>0.78800000000000003</v>
      </c>
      <c r="P100" s="43">
        <f t="shared" si="31"/>
        <v>0</v>
      </c>
      <c r="Q100" s="36">
        <f t="shared" si="32"/>
        <v>4.8</v>
      </c>
    </row>
    <row r="101" spans="1:17" ht="19.5" customHeight="1" x14ac:dyDescent="0.2">
      <c r="A101" s="124"/>
      <c r="B101" s="125">
        <f t="shared" si="22"/>
        <v>5.2</v>
      </c>
      <c r="C101" s="126">
        <f t="shared" si="33"/>
        <v>0.4</v>
      </c>
      <c r="D101" s="126">
        <f t="shared" si="19"/>
        <v>7.6</v>
      </c>
      <c r="E101" s="110">
        <f t="shared" si="23"/>
        <v>2</v>
      </c>
      <c r="F101" s="127">
        <f>IF($E$85="chữ nhật",INTER2D($S$29:$Y$58,Q101,$L$85),ns($AC$30:$AD$58,Q101))</f>
        <v>6.6000000000000003E-2</v>
      </c>
      <c r="G101" s="126">
        <f t="shared" si="24"/>
        <v>11.419000000000002</v>
      </c>
      <c r="H101" s="126">
        <f t="shared" si="20"/>
        <v>0.5537543478260869</v>
      </c>
      <c r="I101" s="110">
        <f t="shared" si="25"/>
        <v>173</v>
      </c>
      <c r="J101" s="128">
        <f t="shared" si="21"/>
        <v>0.10242854988690626</v>
      </c>
      <c r="K101" s="118">
        <f t="shared" si="26"/>
        <v>4</v>
      </c>
      <c r="L101" s="43">
        <f t="shared" si="27"/>
        <v>12.8</v>
      </c>
      <c r="M101" s="43">
        <f t="shared" si="28"/>
        <v>5.2000000000000011</v>
      </c>
      <c r="N101" s="43">
        <f t="shared" si="29"/>
        <v>1.97</v>
      </c>
      <c r="O101" s="43">
        <f t="shared" si="30"/>
        <v>0.78800000000000003</v>
      </c>
      <c r="P101" s="43">
        <f t="shared" si="31"/>
        <v>0</v>
      </c>
      <c r="Q101" s="36">
        <f t="shared" si="32"/>
        <v>5.2</v>
      </c>
    </row>
    <row r="102" spans="1:17" ht="20.100000000000001" hidden="1" customHeight="1" x14ac:dyDescent="0.2">
      <c r="A102" s="71"/>
      <c r="B102" s="119">
        <f t="shared" si="22"/>
        <v>5.6000000000000005</v>
      </c>
      <c r="C102" s="120">
        <f t="shared" si="33"/>
        <v>0.4</v>
      </c>
      <c r="D102" s="120">
        <f t="shared" si="19"/>
        <v>8</v>
      </c>
      <c r="E102" s="121">
        <f t="shared" si="23"/>
        <v>2</v>
      </c>
      <c r="F102" s="122">
        <f>IF($E$85="chữ nhật",INTER2D($S$29:$Y$58,Q102,$L$85),ns($AC$30:$AD$58,Q102))</f>
        <v>5.8000000000000003E-2</v>
      </c>
      <c r="G102" s="120">
        <f t="shared" si="24"/>
        <v>12.207000000000003</v>
      </c>
      <c r="H102" s="120">
        <f t="shared" si="20"/>
        <v>0.48663260869565217</v>
      </c>
      <c r="I102" s="121">
        <f t="shared" si="25"/>
        <v>173</v>
      </c>
      <c r="J102" s="129">
        <f t="shared" si="21"/>
        <v>9.0012968082432782E-2</v>
      </c>
      <c r="K102" s="118">
        <f t="shared" si="26"/>
        <v>4</v>
      </c>
      <c r="L102" s="43">
        <f t="shared" si="27"/>
        <v>12.8</v>
      </c>
      <c r="M102" s="43">
        <f t="shared" si="28"/>
        <v>4.8000000000000007</v>
      </c>
      <c r="N102" s="43">
        <f t="shared" si="29"/>
        <v>1.97</v>
      </c>
      <c r="O102" s="43">
        <f t="shared" si="30"/>
        <v>0.78800000000000003</v>
      </c>
      <c r="P102" s="43">
        <f t="shared" si="31"/>
        <v>0</v>
      </c>
      <c r="Q102" s="36">
        <f t="shared" si="32"/>
        <v>5.6000000000000005</v>
      </c>
    </row>
    <row r="103" spans="1:17" ht="20.100000000000001" hidden="1" customHeight="1" x14ac:dyDescent="0.2">
      <c r="A103" s="71"/>
      <c r="B103" s="119">
        <f>B102+C102</f>
        <v>6.0000000000000009</v>
      </c>
      <c r="C103" s="120">
        <f>IF(M103=0,$D$75,MIN($D$75,M103))</f>
        <v>0.4</v>
      </c>
      <c r="D103" s="120">
        <f>$E$16+B103</f>
        <v>8.4</v>
      </c>
      <c r="E103" s="121">
        <f t="shared" si="23"/>
        <v>2</v>
      </c>
      <c r="F103" s="122">
        <f>IF($E$85="chữ nhật",INTER2D($S$29:$Y$58,Q103,$L$85),ns($AC$30:$AD$58,Q103))</f>
        <v>5.0999999999999997E-2</v>
      </c>
      <c r="G103" s="120">
        <f>G102+O102</f>
        <v>12.995000000000003</v>
      </c>
      <c r="H103" s="120">
        <f t="shared" si="20"/>
        <v>0.42790108695652168</v>
      </c>
      <c r="I103" s="121">
        <f t="shared" si="25"/>
        <v>173</v>
      </c>
      <c r="J103" s="129">
        <f>0.8/I103/10*H103*C103*1000</f>
        <v>7.9149334003518465E-2</v>
      </c>
      <c r="K103" s="118">
        <f>MATCH(D103,$Q$18:$Q$23)</f>
        <v>4</v>
      </c>
      <c r="L103" s="43">
        <f>INDEX($Q$19:$Q$23,K103)</f>
        <v>12.8</v>
      </c>
      <c r="M103" s="43">
        <f>L103-D103</f>
        <v>4.4000000000000004</v>
      </c>
      <c r="N103" s="43">
        <f>INDEX($R$19:$R$23,K103)</f>
        <v>1.97</v>
      </c>
      <c r="O103" s="43">
        <f>N103*C103</f>
        <v>0.78800000000000003</v>
      </c>
      <c r="P103" s="43">
        <f t="shared" si="31"/>
        <v>0</v>
      </c>
      <c r="Q103" s="36">
        <f t="shared" si="32"/>
        <v>6.0000000000000009</v>
      </c>
    </row>
    <row r="104" spans="1:17" ht="20.100000000000001" hidden="1" customHeight="1" x14ac:dyDescent="0.2">
      <c r="A104" s="71"/>
      <c r="B104" s="119">
        <f>B103+C103</f>
        <v>6.4000000000000012</v>
      </c>
      <c r="C104" s="120">
        <f>IF(M104=0,$D$75,MIN($D$75,M104))</f>
        <v>0.4</v>
      </c>
      <c r="D104" s="120">
        <f>$E$16+B104</f>
        <v>8.8000000000000007</v>
      </c>
      <c r="E104" s="121">
        <f t="shared" si="23"/>
        <v>2</v>
      </c>
      <c r="F104" s="122">
        <f>IF($E$85="chữ nhật",INTER2D($S$29:$Y$58,Q104,$L$85),ns($AC$30:$AD$58,Q104))</f>
        <v>4.4999999999999998E-2</v>
      </c>
      <c r="G104" s="120">
        <f>G103+O103</f>
        <v>13.783000000000003</v>
      </c>
      <c r="H104" s="120">
        <f t="shared" si="20"/>
        <v>0.3775597826086956</v>
      </c>
      <c r="I104" s="121">
        <f t="shared" si="25"/>
        <v>173</v>
      </c>
      <c r="J104" s="129">
        <f>0.8/I104/10*H104*C104*1000</f>
        <v>6.9837647650163356E-2</v>
      </c>
      <c r="K104" s="118">
        <f>MATCH(D104,$Q$18:$Q$23)</f>
        <v>4</v>
      </c>
      <c r="L104" s="43">
        <f>INDEX($Q$19:$Q$23,K104)</f>
        <v>12.8</v>
      </c>
      <c r="M104" s="43">
        <f>L104-D104</f>
        <v>4</v>
      </c>
      <c r="N104" s="43">
        <f>INDEX($R$19:$R$23,K104)</f>
        <v>1.97</v>
      </c>
      <c r="O104" s="43">
        <f>N104*C104</f>
        <v>0.78800000000000003</v>
      </c>
      <c r="P104" s="43">
        <f t="shared" si="31"/>
        <v>0</v>
      </c>
      <c r="Q104" s="36">
        <f t="shared" si="32"/>
        <v>6.4000000000000012</v>
      </c>
    </row>
    <row r="105" spans="1:17" ht="20.100000000000001" hidden="1" customHeight="1" x14ac:dyDescent="0.2">
      <c r="A105" s="71"/>
      <c r="B105" s="119">
        <f>B104+C104</f>
        <v>6.8000000000000016</v>
      </c>
      <c r="C105" s="120">
        <f>IF(M105=0,$D$75,MIN($D$75,M105))</f>
        <v>0.4</v>
      </c>
      <c r="D105" s="120">
        <f>$E$16+B105</f>
        <v>9.2000000000000011</v>
      </c>
      <c r="E105" s="121">
        <f t="shared" si="23"/>
        <v>2</v>
      </c>
      <c r="F105" s="122">
        <f>IF($E$85="chữ nhật",INTER2D($S$29:$Y$58,Q105,$L$85),ns($AC$30:$AD$58,Q105))</f>
        <v>0.04</v>
      </c>
      <c r="G105" s="120">
        <f>G104+O104</f>
        <v>14.571000000000003</v>
      </c>
      <c r="H105" s="120">
        <f t="shared" si="20"/>
        <v>0.33560869565217388</v>
      </c>
      <c r="I105" s="121">
        <f t="shared" si="25"/>
        <v>173</v>
      </c>
      <c r="J105" s="129">
        <f>0.8/I105/10*H105*C105*1000</f>
        <v>6.2077909022367428E-2</v>
      </c>
      <c r="K105" s="118">
        <f>MATCH(D105,$Q$18:$Q$23)</f>
        <v>4</v>
      </c>
      <c r="L105" s="43">
        <f>INDEX($Q$19:$Q$23,K105)</f>
        <v>12.8</v>
      </c>
      <c r="M105" s="43">
        <f>L105-D105</f>
        <v>3.5999999999999996</v>
      </c>
      <c r="N105" s="43">
        <f>INDEX($R$19:$R$23,K105)</f>
        <v>1.97</v>
      </c>
      <c r="O105" s="43">
        <f>N105*C105</f>
        <v>0.78800000000000003</v>
      </c>
      <c r="P105" s="43">
        <f t="shared" si="31"/>
        <v>0</v>
      </c>
      <c r="Q105" s="36">
        <f t="shared" si="32"/>
        <v>6.8000000000000016</v>
      </c>
    </row>
    <row r="106" spans="1:17" ht="20.100000000000001" hidden="1" customHeight="1" x14ac:dyDescent="0.2">
      <c r="A106" s="71"/>
      <c r="B106" s="119">
        <f>B105+C105</f>
        <v>7.200000000000002</v>
      </c>
      <c r="C106" s="120">
        <f>IF(M106=0,$D$75,MIN($D$75,M106))</f>
        <v>0.4</v>
      </c>
      <c r="D106" s="120">
        <f>$E$16+B106</f>
        <v>9.6000000000000014</v>
      </c>
      <c r="E106" s="121">
        <f t="shared" si="23"/>
        <v>2</v>
      </c>
      <c r="F106" s="122">
        <f>IF($E$85="chữ nhật",INTER2D($S$29:$Y$58,Q106,$L$85),ns($AC$30:$AD$58,Q106))</f>
        <v>3.5999999999999997E-2</v>
      </c>
      <c r="G106" s="120">
        <f>G105+O105</f>
        <v>15.359000000000004</v>
      </c>
      <c r="H106" s="120">
        <f t="shared" si="20"/>
        <v>0.30204782608695646</v>
      </c>
      <c r="I106" s="121">
        <f t="shared" si="25"/>
        <v>173</v>
      </c>
      <c r="J106" s="129">
        <f>0.8/I106/10*H106*C106*1000</f>
        <v>5.587011812013068E-2</v>
      </c>
      <c r="K106" s="118">
        <f>MATCH(D106,$Q$18:$Q$23)</f>
        <v>4</v>
      </c>
      <c r="L106" s="43">
        <f>INDEX($Q$19:$Q$23,K106)</f>
        <v>12.8</v>
      </c>
      <c r="M106" s="43">
        <f>L106-D106</f>
        <v>3.1999999999999993</v>
      </c>
      <c r="N106" s="43">
        <f>INDEX($R$19:$R$23,K106)</f>
        <v>1.97</v>
      </c>
      <c r="O106" s="43">
        <f>N106*C106</f>
        <v>0.78800000000000003</v>
      </c>
      <c r="P106" s="43">
        <f t="shared" si="31"/>
        <v>0</v>
      </c>
      <c r="Q106" s="36">
        <f t="shared" si="32"/>
        <v>7.200000000000002</v>
      </c>
    </row>
    <row r="107" spans="1:17" ht="20.100000000000001" hidden="1" customHeight="1" x14ac:dyDescent="0.2">
      <c r="A107" s="71"/>
      <c r="B107" s="119">
        <f>B106+C106</f>
        <v>7.6000000000000023</v>
      </c>
      <c r="C107" s="120">
        <f>IF(M107=0,$D$75,MIN($D$75,M107))</f>
        <v>0.4</v>
      </c>
      <c r="D107" s="120">
        <f>$E$16+B107</f>
        <v>10.000000000000002</v>
      </c>
      <c r="E107" s="121">
        <f t="shared" si="23"/>
        <v>2</v>
      </c>
      <c r="F107" s="122">
        <f>IF($E$85="chữ nhật",INTER2D($S$29:$Y$58,Q107,$L$85),ns($AC$30:$AD$58,Q107))</f>
        <v>3.2000000000000001E-2</v>
      </c>
      <c r="G107" s="120">
        <f>G106+O106</f>
        <v>16.147000000000002</v>
      </c>
      <c r="H107" s="120">
        <f t="shared" si="20"/>
        <v>0.2684869565217391</v>
      </c>
      <c r="I107" s="121">
        <f t="shared" si="25"/>
        <v>173</v>
      </c>
      <c r="J107" s="129">
        <f>0.8/I107/10*H107*C107*1000</f>
        <v>4.9662327217893938E-2</v>
      </c>
      <c r="K107" s="118">
        <f>MATCH(D107,$Q$18:$Q$23)</f>
        <v>4</v>
      </c>
      <c r="L107" s="43">
        <f>INDEX($Q$19:$Q$23,K107)</f>
        <v>12.8</v>
      </c>
      <c r="M107" s="43">
        <f>L107-D107</f>
        <v>2.7999999999999989</v>
      </c>
      <c r="N107" s="43">
        <f>INDEX($R$19:$R$23,K107)</f>
        <v>1.97</v>
      </c>
      <c r="O107" s="43">
        <f>N107*C107</f>
        <v>0.78800000000000003</v>
      </c>
      <c r="P107" s="43">
        <f t="shared" si="31"/>
        <v>0</v>
      </c>
      <c r="Q107" s="36">
        <f t="shared" si="32"/>
        <v>7.6000000000000023</v>
      </c>
    </row>
    <row r="108" spans="1:17" ht="20.100000000000001" hidden="1" customHeight="1" x14ac:dyDescent="0.2">
      <c r="A108" s="71"/>
      <c r="B108" s="119">
        <f t="shared" ref="B108:B122" si="34">B107+C107</f>
        <v>8.0000000000000018</v>
      </c>
      <c r="C108" s="120">
        <f t="shared" ref="C108:C122" si="35">IF(M108=0,$D$75,MIN($D$75,M108))</f>
        <v>0.4</v>
      </c>
      <c r="D108" s="120">
        <f t="shared" ref="D108:D122" si="36">$E$16+B108</f>
        <v>10.400000000000002</v>
      </c>
      <c r="E108" s="121">
        <f t="shared" si="23"/>
        <v>2</v>
      </c>
      <c r="F108" s="122">
        <f>IF($E$85="chữ nhật",INTER2D($S$29:$Y$58,Q108,$L$85),ns($AC$30:$AD$58,Q108))</f>
        <v>2.9000000000000001E-2</v>
      </c>
      <c r="G108" s="120">
        <f t="shared" ref="G108:G122" si="37">G107+O107</f>
        <v>16.935000000000002</v>
      </c>
      <c r="H108" s="120">
        <f t="shared" si="20"/>
        <v>0.24331630434782608</v>
      </c>
      <c r="I108" s="121">
        <f t="shared" si="25"/>
        <v>173</v>
      </c>
      <c r="J108" s="129">
        <f t="shared" ref="J108:J122" si="38">0.8/I108/10*H108*C108*1000</f>
        <v>4.5006484041216391E-2</v>
      </c>
      <c r="K108" s="118">
        <f t="shared" ref="K108:K122" si="39">MATCH(D108,$Q$18:$Q$23)</f>
        <v>4</v>
      </c>
      <c r="L108" s="43">
        <f t="shared" ref="L108:L122" si="40">INDEX($Q$19:$Q$23,K108)</f>
        <v>12.8</v>
      </c>
      <c r="M108" s="43">
        <f t="shared" ref="M108:M122" si="41">L108-D108</f>
        <v>2.3999999999999986</v>
      </c>
      <c r="N108" s="43">
        <f t="shared" ref="N108:N122" si="42">INDEX($R$19:$R$23,K108)</f>
        <v>1.97</v>
      </c>
      <c r="O108" s="43">
        <f t="shared" ref="O108:O122" si="43">N108*C108</f>
        <v>0.78800000000000003</v>
      </c>
      <c r="P108" s="43">
        <f t="shared" si="31"/>
        <v>0</v>
      </c>
      <c r="Q108" s="36">
        <f t="shared" si="32"/>
        <v>8.0000000000000018</v>
      </c>
    </row>
    <row r="109" spans="1:17" ht="20.100000000000001" hidden="1" customHeight="1" x14ac:dyDescent="0.2">
      <c r="A109" s="71"/>
      <c r="B109" s="119">
        <f t="shared" si="34"/>
        <v>8.4000000000000021</v>
      </c>
      <c r="C109" s="120">
        <f t="shared" si="35"/>
        <v>0.4</v>
      </c>
      <c r="D109" s="120">
        <f t="shared" si="36"/>
        <v>10.800000000000002</v>
      </c>
      <c r="E109" s="121">
        <f t="shared" si="23"/>
        <v>2</v>
      </c>
      <c r="F109" s="122">
        <f>IF($E$85="chữ nhật",INTER2D($S$29:$Y$58,Q109,$L$85),ns($AC$30:$AD$58,Q109))</f>
        <v>2.5999999999999999E-2</v>
      </c>
      <c r="G109" s="120">
        <f t="shared" si="37"/>
        <v>17.723000000000003</v>
      </c>
      <c r="H109" s="120">
        <f t="shared" si="20"/>
        <v>0.21814565217391302</v>
      </c>
      <c r="I109" s="121">
        <f t="shared" si="25"/>
        <v>173</v>
      </c>
      <c r="J109" s="129">
        <f t="shared" si="38"/>
        <v>4.035064086453883E-2</v>
      </c>
      <c r="K109" s="118">
        <f t="shared" si="39"/>
        <v>4</v>
      </c>
      <c r="L109" s="43">
        <f t="shared" si="40"/>
        <v>12.8</v>
      </c>
      <c r="M109" s="43">
        <f t="shared" si="41"/>
        <v>1.9999999999999982</v>
      </c>
      <c r="N109" s="43">
        <f t="shared" si="42"/>
        <v>1.97</v>
      </c>
      <c r="O109" s="43">
        <f t="shared" si="43"/>
        <v>0.78800000000000003</v>
      </c>
      <c r="P109" s="43">
        <f t="shared" si="31"/>
        <v>0</v>
      </c>
      <c r="Q109" s="36">
        <f t="shared" si="32"/>
        <v>8.4000000000000021</v>
      </c>
    </row>
    <row r="110" spans="1:17" ht="20.100000000000001" hidden="1" customHeight="1" x14ac:dyDescent="0.2">
      <c r="A110" s="71"/>
      <c r="B110" s="119">
        <f t="shared" si="34"/>
        <v>8.8000000000000025</v>
      </c>
      <c r="C110" s="120">
        <f t="shared" si="35"/>
        <v>0.4</v>
      </c>
      <c r="D110" s="120">
        <f t="shared" si="36"/>
        <v>11.200000000000003</v>
      </c>
      <c r="E110" s="121">
        <f t="shared" si="23"/>
        <v>2</v>
      </c>
      <c r="F110" s="122">
        <f>IF($E$85="chữ nhật",INTER2D($S$29:$Y$58,Q110,$L$85),ns($AC$30:$AD$58,Q110))</f>
        <v>2.4E-2</v>
      </c>
      <c r="G110" s="120">
        <f t="shared" si="37"/>
        <v>18.511000000000003</v>
      </c>
      <c r="H110" s="120">
        <f t="shared" si="20"/>
        <v>0.20136521739130434</v>
      </c>
      <c r="I110" s="121">
        <f t="shared" si="25"/>
        <v>173</v>
      </c>
      <c r="J110" s="129">
        <f t="shared" si="38"/>
        <v>3.7246745413420462E-2</v>
      </c>
      <c r="K110" s="118">
        <f t="shared" si="39"/>
        <v>4</v>
      </c>
      <c r="L110" s="43">
        <f t="shared" si="40"/>
        <v>12.8</v>
      </c>
      <c r="M110" s="43">
        <f t="shared" si="41"/>
        <v>1.5999999999999979</v>
      </c>
      <c r="N110" s="43">
        <f t="shared" si="42"/>
        <v>1.97</v>
      </c>
      <c r="O110" s="43">
        <f t="shared" si="43"/>
        <v>0.78800000000000003</v>
      </c>
      <c r="P110" s="43">
        <f t="shared" si="31"/>
        <v>0</v>
      </c>
      <c r="Q110" s="36">
        <f t="shared" si="32"/>
        <v>8.8000000000000025</v>
      </c>
    </row>
    <row r="111" spans="1:17" ht="20.100000000000001" hidden="1" customHeight="1" x14ac:dyDescent="0.2">
      <c r="A111" s="71"/>
      <c r="B111" s="119">
        <f t="shared" si="34"/>
        <v>9.2000000000000028</v>
      </c>
      <c r="C111" s="120">
        <f t="shared" si="35"/>
        <v>0.4</v>
      </c>
      <c r="D111" s="120">
        <f t="shared" si="36"/>
        <v>11.600000000000003</v>
      </c>
      <c r="E111" s="121">
        <f t="shared" si="23"/>
        <v>2</v>
      </c>
      <c r="F111" s="122">
        <f>IF($E$85="chữ nhật",INTER2D($S$29:$Y$58,Q111,$L$85),ns($AC$30:$AD$58,Q111))</f>
        <v>2.1999999999999999E-2</v>
      </c>
      <c r="G111" s="120">
        <f t="shared" si="37"/>
        <v>19.299000000000003</v>
      </c>
      <c r="H111" s="120">
        <f t="shared" si="20"/>
        <v>0.18458478260869562</v>
      </c>
      <c r="I111" s="121">
        <f t="shared" si="25"/>
        <v>173</v>
      </c>
      <c r="J111" s="129">
        <f t="shared" si="38"/>
        <v>3.4142849962302088E-2</v>
      </c>
      <c r="K111" s="118">
        <f t="shared" si="39"/>
        <v>4</v>
      </c>
      <c r="L111" s="43">
        <f t="shared" si="40"/>
        <v>12.8</v>
      </c>
      <c r="M111" s="43">
        <f t="shared" si="41"/>
        <v>1.1999999999999975</v>
      </c>
      <c r="N111" s="43">
        <f t="shared" si="42"/>
        <v>1.97</v>
      </c>
      <c r="O111" s="43">
        <f t="shared" si="43"/>
        <v>0.78800000000000003</v>
      </c>
      <c r="P111" s="43">
        <f t="shared" si="31"/>
        <v>0</v>
      </c>
      <c r="Q111" s="36">
        <f t="shared" si="32"/>
        <v>9.2000000000000028</v>
      </c>
    </row>
    <row r="112" spans="1:17" ht="20.100000000000001" hidden="1" customHeight="1" x14ac:dyDescent="0.2">
      <c r="A112" s="71"/>
      <c r="B112" s="119">
        <f t="shared" si="34"/>
        <v>9.6000000000000032</v>
      </c>
      <c r="C112" s="120">
        <f t="shared" si="35"/>
        <v>0.4</v>
      </c>
      <c r="D112" s="120">
        <f t="shared" si="36"/>
        <v>12.000000000000004</v>
      </c>
      <c r="E112" s="121">
        <f t="shared" si="23"/>
        <v>2</v>
      </c>
      <c r="F112" s="122">
        <f>IF($E$85="chữ nhật",INTER2D($S$29:$Y$58,Q112,$L$85),ns($AC$30:$AD$58,Q112))</f>
        <v>0.02</v>
      </c>
      <c r="G112" s="120">
        <f t="shared" si="37"/>
        <v>20.087000000000003</v>
      </c>
      <c r="H112" s="120">
        <f t="shared" si="20"/>
        <v>0.16780434782608694</v>
      </c>
      <c r="I112" s="121">
        <f t="shared" si="25"/>
        <v>173</v>
      </c>
      <c r="J112" s="129">
        <f t="shared" si="38"/>
        <v>3.1038954511183714E-2</v>
      </c>
      <c r="K112" s="118">
        <f t="shared" si="39"/>
        <v>4</v>
      </c>
      <c r="L112" s="43">
        <f t="shared" si="40"/>
        <v>12.8</v>
      </c>
      <c r="M112" s="43">
        <f t="shared" si="41"/>
        <v>0.79999999999999716</v>
      </c>
      <c r="N112" s="43">
        <f t="shared" si="42"/>
        <v>1.97</v>
      </c>
      <c r="O112" s="43">
        <f t="shared" si="43"/>
        <v>0.78800000000000003</v>
      </c>
      <c r="P112" s="43">
        <f t="shared" si="31"/>
        <v>0</v>
      </c>
      <c r="Q112" s="36">
        <f t="shared" si="32"/>
        <v>9.6000000000000032</v>
      </c>
    </row>
    <row r="113" spans="1:17" ht="20.100000000000001" hidden="1" customHeight="1" x14ac:dyDescent="0.2">
      <c r="A113" s="71"/>
      <c r="B113" s="119">
        <f t="shared" si="34"/>
        <v>10.000000000000004</v>
      </c>
      <c r="C113" s="120">
        <f t="shared" si="35"/>
        <v>0.3999999999999968</v>
      </c>
      <c r="D113" s="120">
        <f t="shared" si="36"/>
        <v>12.400000000000004</v>
      </c>
      <c r="E113" s="121">
        <f t="shared" si="23"/>
        <v>2</v>
      </c>
      <c r="F113" s="122">
        <f>IF($E$85="chữ nhật",INTER2D($S$29:$Y$58,Q113,$L$85),ns($AC$30:$AD$58,Q113))</f>
        <v>1.9E-2</v>
      </c>
      <c r="G113" s="120">
        <f t="shared" si="37"/>
        <v>20.875000000000004</v>
      </c>
      <c r="H113" s="120">
        <f t="shared" si="20"/>
        <v>0.15941413043478259</v>
      </c>
      <c r="I113" s="121">
        <f t="shared" si="25"/>
        <v>173</v>
      </c>
      <c r="J113" s="129">
        <f t="shared" si="38"/>
        <v>2.9487006785624291E-2</v>
      </c>
      <c r="K113" s="118">
        <f t="shared" si="39"/>
        <v>4</v>
      </c>
      <c r="L113" s="43">
        <f t="shared" si="40"/>
        <v>12.8</v>
      </c>
      <c r="M113" s="43">
        <f t="shared" si="41"/>
        <v>0.3999999999999968</v>
      </c>
      <c r="N113" s="43">
        <f t="shared" si="42"/>
        <v>1.97</v>
      </c>
      <c r="O113" s="43">
        <f t="shared" si="43"/>
        <v>0.78799999999999371</v>
      </c>
      <c r="P113" s="43">
        <f t="shared" si="31"/>
        <v>0</v>
      </c>
      <c r="Q113" s="36">
        <f t="shared" si="32"/>
        <v>10.000000000000004</v>
      </c>
    </row>
    <row r="114" spans="1:17" ht="20.100000000000001" hidden="1" customHeight="1" x14ac:dyDescent="0.2">
      <c r="A114" s="71"/>
      <c r="B114" s="119">
        <f t="shared" si="34"/>
        <v>10.4</v>
      </c>
      <c r="C114" s="120">
        <f t="shared" si="35"/>
        <v>0.4</v>
      </c>
      <c r="D114" s="120">
        <f t="shared" si="36"/>
        <v>12.8</v>
      </c>
      <c r="E114" s="121">
        <f t="shared" si="23"/>
        <v>3</v>
      </c>
      <c r="F114" s="122">
        <f>IF($E$85="chữ nhật",INTER2D($S$29:$Y$58,Q114,$L$85),ns($AC$30:$AD$58,Q114))</f>
        <v>1.8200000000000004E-2</v>
      </c>
      <c r="G114" s="120">
        <f t="shared" si="37"/>
        <v>21.662999999999997</v>
      </c>
      <c r="H114" s="120">
        <f t="shared" si="20"/>
        <v>0.15270195652173915</v>
      </c>
      <c r="I114" s="121">
        <f t="shared" si="25"/>
        <v>204</v>
      </c>
      <c r="J114" s="129">
        <f t="shared" si="38"/>
        <v>2.3953248081841436E-2</v>
      </c>
      <c r="K114" s="118">
        <f t="shared" si="39"/>
        <v>5</v>
      </c>
      <c r="L114" s="43">
        <f t="shared" si="40"/>
        <v>18.8</v>
      </c>
      <c r="M114" s="43">
        <f t="shared" si="41"/>
        <v>6</v>
      </c>
      <c r="N114" s="43">
        <f t="shared" si="42"/>
        <v>1.97</v>
      </c>
      <c r="O114" s="43">
        <f t="shared" si="43"/>
        <v>0.78800000000000003</v>
      </c>
      <c r="P114" s="43">
        <f t="shared" si="31"/>
        <v>0</v>
      </c>
      <c r="Q114" s="36">
        <f t="shared" si="32"/>
        <v>10.4</v>
      </c>
    </row>
    <row r="115" spans="1:17" ht="20.100000000000001" hidden="1" customHeight="1" x14ac:dyDescent="0.2">
      <c r="A115" s="71"/>
      <c r="B115" s="119">
        <f t="shared" si="34"/>
        <v>10.8</v>
      </c>
      <c r="C115" s="120">
        <f t="shared" si="35"/>
        <v>0.4</v>
      </c>
      <c r="D115" s="120">
        <f t="shared" si="36"/>
        <v>13.200000000000001</v>
      </c>
      <c r="E115" s="121">
        <f t="shared" si="23"/>
        <v>3</v>
      </c>
      <c r="F115" s="122">
        <f>IF($E$85="chữ nhật",INTER2D($S$29:$Y$58,Q115,$L$85),ns($AC$30:$AD$58,Q115))</f>
        <v>1.7400000000000002E-2</v>
      </c>
      <c r="G115" s="120">
        <f t="shared" si="37"/>
        <v>22.450999999999997</v>
      </c>
      <c r="H115" s="120">
        <f t="shared" si="20"/>
        <v>0.14598978260869566</v>
      </c>
      <c r="I115" s="121">
        <f t="shared" si="25"/>
        <v>204</v>
      </c>
      <c r="J115" s="129">
        <f t="shared" si="38"/>
        <v>2.2900358056265988E-2</v>
      </c>
      <c r="K115" s="118">
        <f t="shared" si="39"/>
        <v>5</v>
      </c>
      <c r="L115" s="43">
        <f t="shared" si="40"/>
        <v>18.8</v>
      </c>
      <c r="M115" s="43">
        <f t="shared" si="41"/>
        <v>5.6</v>
      </c>
      <c r="N115" s="43">
        <f t="shared" si="42"/>
        <v>1.97</v>
      </c>
      <c r="O115" s="43">
        <f t="shared" si="43"/>
        <v>0.78800000000000003</v>
      </c>
      <c r="P115" s="43">
        <f t="shared" si="31"/>
        <v>0</v>
      </c>
      <c r="Q115" s="36">
        <f t="shared" si="32"/>
        <v>10.8</v>
      </c>
    </row>
    <row r="116" spans="1:17" ht="20.100000000000001" hidden="1" customHeight="1" x14ac:dyDescent="0.2">
      <c r="A116" s="71"/>
      <c r="B116" s="119">
        <f t="shared" si="34"/>
        <v>11.200000000000001</v>
      </c>
      <c r="C116" s="120">
        <f t="shared" si="35"/>
        <v>0.4</v>
      </c>
      <c r="D116" s="120">
        <f t="shared" si="36"/>
        <v>13.600000000000001</v>
      </c>
      <c r="E116" s="121">
        <f t="shared" si="23"/>
        <v>3</v>
      </c>
      <c r="F116" s="122">
        <f>IF($E$85="chữ nhật",INTER2D($S$29:$Y$58,Q116,$L$85),ns($AC$30:$AD$58,Q116))</f>
        <v>1.66E-2</v>
      </c>
      <c r="G116" s="120">
        <f t="shared" si="37"/>
        <v>23.238999999999997</v>
      </c>
      <c r="H116" s="120">
        <f t="shared" si="20"/>
        <v>0.13927760869565217</v>
      </c>
      <c r="I116" s="121">
        <f t="shared" si="25"/>
        <v>204</v>
      </c>
      <c r="J116" s="129">
        <f t="shared" si="38"/>
        <v>2.1847468030690539E-2</v>
      </c>
      <c r="K116" s="118">
        <f t="shared" si="39"/>
        <v>5</v>
      </c>
      <c r="L116" s="43">
        <f t="shared" si="40"/>
        <v>18.8</v>
      </c>
      <c r="M116" s="43">
        <f t="shared" si="41"/>
        <v>5.1999999999999993</v>
      </c>
      <c r="N116" s="43">
        <f t="shared" si="42"/>
        <v>1.97</v>
      </c>
      <c r="O116" s="43">
        <f t="shared" si="43"/>
        <v>0.78800000000000003</v>
      </c>
      <c r="P116" s="43">
        <f t="shared" si="31"/>
        <v>0</v>
      </c>
      <c r="Q116" s="36">
        <f t="shared" si="32"/>
        <v>11.200000000000001</v>
      </c>
    </row>
    <row r="117" spans="1:17" ht="20.100000000000001" hidden="1" customHeight="1" x14ac:dyDescent="0.2">
      <c r="A117" s="71"/>
      <c r="B117" s="119">
        <f t="shared" si="34"/>
        <v>11.600000000000001</v>
      </c>
      <c r="C117" s="120">
        <f t="shared" si="35"/>
        <v>0.4</v>
      </c>
      <c r="D117" s="120">
        <f t="shared" si="36"/>
        <v>14.000000000000002</v>
      </c>
      <c r="E117" s="121">
        <f t="shared" si="23"/>
        <v>3</v>
      </c>
      <c r="F117" s="122">
        <f>IF($E$85="chữ nhật",INTER2D($S$29:$Y$58,Q117,$L$85),ns($AC$30:$AD$58,Q117))</f>
        <v>1.5799999999999998E-2</v>
      </c>
      <c r="G117" s="120">
        <f t="shared" si="37"/>
        <v>24.026999999999997</v>
      </c>
      <c r="H117" s="120">
        <f t="shared" si="20"/>
        <v>0.13256543478260865</v>
      </c>
      <c r="I117" s="121">
        <f t="shared" si="25"/>
        <v>204</v>
      </c>
      <c r="J117" s="129">
        <f t="shared" si="38"/>
        <v>2.0794578005115086E-2</v>
      </c>
      <c r="K117" s="118">
        <f t="shared" si="39"/>
        <v>5</v>
      </c>
      <c r="L117" s="43">
        <f t="shared" si="40"/>
        <v>18.8</v>
      </c>
      <c r="M117" s="43">
        <f t="shared" si="41"/>
        <v>4.7999999999999989</v>
      </c>
      <c r="N117" s="43">
        <f t="shared" si="42"/>
        <v>1.97</v>
      </c>
      <c r="O117" s="43">
        <f t="shared" si="43"/>
        <v>0.78800000000000003</v>
      </c>
      <c r="P117" s="43">
        <f t="shared" si="31"/>
        <v>0</v>
      </c>
      <c r="Q117" s="36">
        <f t="shared" si="32"/>
        <v>11.600000000000001</v>
      </c>
    </row>
    <row r="118" spans="1:17" ht="20.100000000000001" hidden="1" customHeight="1" x14ac:dyDescent="0.2">
      <c r="A118" s="71"/>
      <c r="B118" s="119">
        <f t="shared" si="34"/>
        <v>12.000000000000002</v>
      </c>
      <c r="C118" s="120">
        <f t="shared" si="35"/>
        <v>0.4</v>
      </c>
      <c r="D118" s="120">
        <f t="shared" si="36"/>
        <v>14.400000000000002</v>
      </c>
      <c r="E118" s="121">
        <f t="shared" si="23"/>
        <v>3</v>
      </c>
      <c r="F118" s="122">
        <f>IF($E$85="chữ nhật",INTER2D($S$29:$Y$58,Q118,$L$85),ns($AC$30:$AD$58,Q118))</f>
        <v>1.4999999999999999E-2</v>
      </c>
      <c r="G118" s="120">
        <f t="shared" si="37"/>
        <v>24.814999999999998</v>
      </c>
      <c r="H118" s="120">
        <f t="shared" si="20"/>
        <v>0.12585326086956519</v>
      </c>
      <c r="I118" s="121">
        <f t="shared" si="25"/>
        <v>204</v>
      </c>
      <c r="J118" s="129">
        <f t="shared" si="38"/>
        <v>1.9741687979539641E-2</v>
      </c>
      <c r="K118" s="118">
        <f t="shared" si="39"/>
        <v>5</v>
      </c>
      <c r="L118" s="43">
        <f t="shared" si="40"/>
        <v>18.8</v>
      </c>
      <c r="M118" s="43">
        <f t="shared" si="41"/>
        <v>4.3999999999999986</v>
      </c>
      <c r="N118" s="43">
        <f t="shared" si="42"/>
        <v>1.97</v>
      </c>
      <c r="O118" s="43">
        <f t="shared" si="43"/>
        <v>0.78800000000000003</v>
      </c>
      <c r="P118" s="43">
        <f t="shared" si="31"/>
        <v>0</v>
      </c>
      <c r="Q118" s="36">
        <f t="shared" si="32"/>
        <v>12.000000000000002</v>
      </c>
    </row>
    <row r="119" spans="1:17" ht="20.100000000000001" hidden="1" customHeight="1" x14ac:dyDescent="0.2">
      <c r="A119" s="71"/>
      <c r="B119" s="119">
        <f t="shared" si="34"/>
        <v>12.400000000000002</v>
      </c>
      <c r="C119" s="120">
        <f t="shared" si="35"/>
        <v>0.4</v>
      </c>
      <c r="D119" s="120">
        <f t="shared" si="36"/>
        <v>14.800000000000002</v>
      </c>
      <c r="E119" s="121">
        <f t="shared" si="23"/>
        <v>3</v>
      </c>
      <c r="F119" s="122">
        <f>IF($E$85="chữ nhật",INTER2D($S$29:$Y$58,Q119,$L$85),ns($AC$30:$AD$58,Q119))</f>
        <v>1.4999999999999999E-2</v>
      </c>
      <c r="G119" s="120">
        <f t="shared" si="37"/>
        <v>25.602999999999998</v>
      </c>
      <c r="H119" s="120">
        <f t="shared" si="20"/>
        <v>0.12585326086956519</v>
      </c>
      <c r="I119" s="121">
        <f t="shared" si="25"/>
        <v>204</v>
      </c>
      <c r="J119" s="129">
        <f t="shared" si="38"/>
        <v>1.9741687979539641E-2</v>
      </c>
      <c r="K119" s="118">
        <f t="shared" si="39"/>
        <v>5</v>
      </c>
      <c r="L119" s="43">
        <f t="shared" si="40"/>
        <v>18.8</v>
      </c>
      <c r="M119" s="43">
        <f t="shared" si="41"/>
        <v>3.9999999999999982</v>
      </c>
      <c r="N119" s="43">
        <f t="shared" si="42"/>
        <v>1.97</v>
      </c>
      <c r="O119" s="43">
        <f t="shared" si="43"/>
        <v>0.78800000000000003</v>
      </c>
      <c r="P119" s="43">
        <f t="shared" si="31"/>
        <v>0</v>
      </c>
      <c r="Q119" s="36">
        <f t="shared" si="32"/>
        <v>12.400000000000002</v>
      </c>
    </row>
    <row r="120" spans="1:17" ht="20.100000000000001" hidden="1" customHeight="1" x14ac:dyDescent="0.2">
      <c r="A120" s="71"/>
      <c r="B120" s="119">
        <f t="shared" si="34"/>
        <v>12.800000000000002</v>
      </c>
      <c r="C120" s="120">
        <f t="shared" si="35"/>
        <v>0.4</v>
      </c>
      <c r="D120" s="120">
        <f t="shared" si="36"/>
        <v>15.200000000000003</v>
      </c>
      <c r="E120" s="121">
        <f t="shared" si="23"/>
        <v>3</v>
      </c>
      <c r="F120" s="122">
        <f>IF($E$85="chữ nhật",INTER2D($S$29:$Y$58,Q120,$L$85),ns($AC$30:$AD$58,Q120))</f>
        <v>1.4999999999999999E-2</v>
      </c>
      <c r="G120" s="120">
        <f t="shared" si="37"/>
        <v>26.390999999999998</v>
      </c>
      <c r="H120" s="120">
        <f t="shared" si="20"/>
        <v>0.12585326086956519</v>
      </c>
      <c r="I120" s="121">
        <f t="shared" si="25"/>
        <v>204</v>
      </c>
      <c r="J120" s="129">
        <f t="shared" si="38"/>
        <v>1.9741687979539641E-2</v>
      </c>
      <c r="K120" s="118">
        <f t="shared" si="39"/>
        <v>5</v>
      </c>
      <c r="L120" s="43">
        <f t="shared" si="40"/>
        <v>18.8</v>
      </c>
      <c r="M120" s="43">
        <f t="shared" si="41"/>
        <v>3.5999999999999979</v>
      </c>
      <c r="N120" s="43">
        <f t="shared" si="42"/>
        <v>1.97</v>
      </c>
      <c r="O120" s="43">
        <f t="shared" si="43"/>
        <v>0.78800000000000003</v>
      </c>
      <c r="P120" s="43">
        <f t="shared" si="31"/>
        <v>0</v>
      </c>
      <c r="Q120" s="36">
        <f t="shared" si="32"/>
        <v>12.800000000000002</v>
      </c>
    </row>
    <row r="121" spans="1:17" ht="20.100000000000001" hidden="1" customHeight="1" x14ac:dyDescent="0.2">
      <c r="A121" s="71"/>
      <c r="B121" s="119">
        <f t="shared" si="34"/>
        <v>13.200000000000003</v>
      </c>
      <c r="C121" s="120">
        <f t="shared" si="35"/>
        <v>0.4</v>
      </c>
      <c r="D121" s="120">
        <f t="shared" si="36"/>
        <v>15.600000000000003</v>
      </c>
      <c r="E121" s="121">
        <f t="shared" si="23"/>
        <v>3</v>
      </c>
      <c r="F121" s="122">
        <f>IF($E$85="chữ nhật",INTER2D($S$29:$Y$58,Q121,$L$85),ns($AC$30:$AD$58,Q121))</f>
        <v>1.4999999999999999E-2</v>
      </c>
      <c r="G121" s="120">
        <f t="shared" si="37"/>
        <v>27.178999999999998</v>
      </c>
      <c r="H121" s="120">
        <f t="shared" si="20"/>
        <v>0.12585326086956519</v>
      </c>
      <c r="I121" s="121">
        <f t="shared" si="25"/>
        <v>204</v>
      </c>
      <c r="J121" s="129">
        <f t="shared" si="38"/>
        <v>1.9741687979539641E-2</v>
      </c>
      <c r="K121" s="118">
        <f t="shared" si="39"/>
        <v>5</v>
      </c>
      <c r="L121" s="43">
        <f t="shared" si="40"/>
        <v>18.8</v>
      </c>
      <c r="M121" s="43">
        <f t="shared" si="41"/>
        <v>3.1999999999999975</v>
      </c>
      <c r="N121" s="43">
        <f t="shared" si="42"/>
        <v>1.97</v>
      </c>
      <c r="O121" s="43">
        <f t="shared" si="43"/>
        <v>0.78800000000000003</v>
      </c>
      <c r="P121" s="43">
        <f t="shared" si="31"/>
        <v>0</v>
      </c>
      <c r="Q121" s="36">
        <f t="shared" si="32"/>
        <v>13.200000000000003</v>
      </c>
    </row>
    <row r="122" spans="1:17" ht="15" hidden="1" x14ac:dyDescent="0.2">
      <c r="A122" s="71"/>
      <c r="B122" s="119">
        <f t="shared" si="34"/>
        <v>13.600000000000003</v>
      </c>
      <c r="C122" s="120">
        <f t="shared" si="35"/>
        <v>0.4</v>
      </c>
      <c r="D122" s="120">
        <f t="shared" si="36"/>
        <v>16.000000000000004</v>
      </c>
      <c r="E122" s="121">
        <f t="shared" si="23"/>
        <v>3</v>
      </c>
      <c r="F122" s="122">
        <f>IF($E$85="chữ nhật",INTER2D($S$29:$Y$58,Q122,$L$85),ns($AC$30:$AD$58,Q122))</f>
        <v>1.4999999999999999E-2</v>
      </c>
      <c r="G122" s="120">
        <f t="shared" si="37"/>
        <v>27.966999999999999</v>
      </c>
      <c r="H122" s="120">
        <f t="shared" si="20"/>
        <v>0.12585326086956519</v>
      </c>
      <c r="I122" s="121">
        <f t="shared" si="25"/>
        <v>204</v>
      </c>
      <c r="J122" s="129">
        <f t="shared" si="38"/>
        <v>1.9741687979539641E-2</v>
      </c>
      <c r="K122" s="118">
        <f t="shared" si="39"/>
        <v>5</v>
      </c>
      <c r="L122" s="43">
        <f t="shared" si="40"/>
        <v>18.8</v>
      </c>
      <c r="M122" s="43">
        <f t="shared" si="41"/>
        <v>2.7999999999999972</v>
      </c>
      <c r="N122" s="43">
        <f t="shared" si="42"/>
        <v>1.97</v>
      </c>
      <c r="O122" s="43">
        <f t="shared" si="43"/>
        <v>0.78800000000000003</v>
      </c>
      <c r="P122" s="43">
        <f t="shared" si="31"/>
        <v>0</v>
      </c>
      <c r="Q122" s="36">
        <f t="shared" si="32"/>
        <v>13.600000000000003</v>
      </c>
    </row>
    <row r="123" spans="1:17" ht="15" hidden="1" x14ac:dyDescent="0.2">
      <c r="A123" s="124"/>
      <c r="B123" s="125"/>
      <c r="C123" s="126"/>
      <c r="D123" s="126"/>
      <c r="E123" s="110"/>
      <c r="F123" s="127"/>
      <c r="G123" s="126"/>
      <c r="H123" s="126"/>
      <c r="I123" s="110"/>
      <c r="J123" s="130"/>
      <c r="K123" s="118"/>
      <c r="L123" s="43"/>
      <c r="M123" s="43"/>
      <c r="N123" s="43"/>
      <c r="O123" s="43"/>
      <c r="P123" s="43"/>
    </row>
    <row r="125" spans="1:17" ht="20.100000000000001" customHeight="1" x14ac:dyDescent="0.2">
      <c r="A125" s="43" t="s">
        <v>49</v>
      </c>
      <c r="B125" s="43"/>
      <c r="C125" s="43"/>
      <c r="D125" s="100" t="s">
        <v>280</v>
      </c>
      <c r="E125" s="32">
        <v>5</v>
      </c>
      <c r="F125" s="30" t="s">
        <v>281</v>
      </c>
      <c r="G125" s="43" t="s">
        <v>103</v>
      </c>
      <c r="H125" s="37">
        <f>INDEX(D$88:D123,MATCH(0,P$88:P123,0)-1)</f>
        <v>5.6</v>
      </c>
      <c r="I125" s="43" t="s">
        <v>8</v>
      </c>
    </row>
    <row r="126" spans="1:17" ht="20.100000000000001" customHeight="1" x14ac:dyDescent="0.2">
      <c r="B126" s="131" t="s">
        <v>282</v>
      </c>
      <c r="C126" s="131"/>
      <c r="D126" s="131"/>
      <c r="E126" s="132">
        <f>SUM(J88:J115)</f>
        <v>8.8044946214685922</v>
      </c>
      <c r="F126" s="131" t="s">
        <v>47</v>
      </c>
    </row>
    <row r="127" spans="1:17" ht="20.100000000000001" customHeight="1" x14ac:dyDescent="0.2">
      <c r="B127" s="131" t="s">
        <v>201</v>
      </c>
      <c r="C127" s="131"/>
      <c r="D127" s="131" t="s">
        <v>283</v>
      </c>
      <c r="E127" s="133">
        <v>80</v>
      </c>
      <c r="F127" s="131" t="s">
        <v>47</v>
      </c>
      <c r="G127" s="30" t="s">
        <v>202</v>
      </c>
      <c r="H127" s="81" t="str">
        <f>IF(E127&gt;E126,"Đạt","Kiểm tra lại")</f>
        <v>Đạt</v>
      </c>
    </row>
    <row r="128" spans="1:17" ht="20.100000000000001" hidden="1" customHeight="1" x14ac:dyDescent="0.2">
      <c r="B128" s="101" t="s">
        <v>104</v>
      </c>
      <c r="C128" s="43"/>
      <c r="I128" s="59"/>
    </row>
    <row r="129" spans="1:24" ht="20.100000000000001" hidden="1" customHeight="1" x14ac:dyDescent="0.2">
      <c r="B129" s="134" t="s">
        <v>105</v>
      </c>
      <c r="C129" s="43"/>
      <c r="F129" s="135">
        <f>D58</f>
        <v>9.5652173913043477</v>
      </c>
      <c r="G129" s="30" t="s">
        <v>251</v>
      </c>
      <c r="I129" s="59"/>
    </row>
    <row r="130" spans="1:24" ht="20.100000000000001" hidden="1" customHeight="1" x14ac:dyDescent="0.2">
      <c r="B130" s="134"/>
      <c r="C130" s="43"/>
      <c r="E130" s="34" t="s">
        <v>284</v>
      </c>
      <c r="F130" s="59">
        <f>F129-$I$81</f>
        <v>8.390217391304347</v>
      </c>
      <c r="G130" s="30" t="s">
        <v>251</v>
      </c>
      <c r="I130" s="59"/>
    </row>
    <row r="131" spans="1:24" ht="20.100000000000001" hidden="1" customHeight="1" x14ac:dyDescent="0.2">
      <c r="B131" s="134" t="s">
        <v>106</v>
      </c>
      <c r="C131" s="43"/>
      <c r="F131" s="34" t="s">
        <v>107</v>
      </c>
      <c r="G131" s="32">
        <v>3</v>
      </c>
      <c r="H131" s="30" t="s">
        <v>8</v>
      </c>
      <c r="I131" s="59"/>
    </row>
    <row r="132" spans="1:24" ht="20.100000000000001" hidden="1" customHeight="1" x14ac:dyDescent="0.2">
      <c r="B132" s="134"/>
      <c r="C132" s="43"/>
      <c r="F132" s="34" t="s">
        <v>108</v>
      </c>
      <c r="G132" s="32">
        <f>H49</f>
        <v>2</v>
      </c>
      <c r="H132" s="30" t="s">
        <v>8</v>
      </c>
      <c r="I132" s="59"/>
    </row>
    <row r="133" spans="1:24" ht="20.100000000000001" hidden="1" customHeight="1" x14ac:dyDescent="0.2">
      <c r="B133" s="134" t="s">
        <v>111</v>
      </c>
      <c r="C133" s="43"/>
      <c r="E133" s="34"/>
      <c r="F133" s="32"/>
      <c r="I133" s="59"/>
    </row>
    <row r="134" spans="1:24" ht="20.100000000000001" hidden="1" customHeight="1" x14ac:dyDescent="0.2">
      <c r="C134" s="134" t="s">
        <v>112</v>
      </c>
      <c r="E134" s="34"/>
      <c r="F134" s="34" t="s">
        <v>113</v>
      </c>
      <c r="G134" s="32">
        <v>6.4</v>
      </c>
      <c r="H134" s="30" t="s">
        <v>8</v>
      </c>
      <c r="I134" s="59"/>
    </row>
    <row r="135" spans="1:24" ht="20.100000000000001" hidden="1" customHeight="1" x14ac:dyDescent="0.2">
      <c r="B135" s="134" t="s">
        <v>109</v>
      </c>
      <c r="C135" s="43"/>
      <c r="E135" s="34"/>
      <c r="F135" s="32"/>
      <c r="I135" s="59"/>
    </row>
    <row r="136" spans="1:24" ht="20.100000000000001" hidden="1" customHeight="1" x14ac:dyDescent="0.2">
      <c r="B136" s="134"/>
      <c r="C136" s="43"/>
      <c r="E136" s="34"/>
      <c r="F136" s="32"/>
      <c r="I136" s="59"/>
    </row>
    <row r="137" spans="1:24" ht="20.100000000000001" hidden="1" customHeight="1" x14ac:dyDescent="0.2">
      <c r="B137" s="134"/>
      <c r="C137" s="43"/>
      <c r="E137" s="34"/>
      <c r="F137" s="32"/>
      <c r="I137" s="59"/>
    </row>
    <row r="138" spans="1:24" ht="20.100000000000001" hidden="1" customHeight="1" x14ac:dyDescent="0.2">
      <c r="B138" s="99" t="s">
        <v>285</v>
      </c>
      <c r="C138" s="43" t="s">
        <v>110</v>
      </c>
      <c r="E138" s="34"/>
      <c r="F138" s="32"/>
      <c r="I138" s="59"/>
    </row>
    <row r="139" spans="1:24" ht="20.100000000000001" hidden="1" customHeight="1" x14ac:dyDescent="0.2">
      <c r="B139" s="134"/>
      <c r="C139" s="43"/>
      <c r="I139" s="59"/>
      <c r="Q139" s="30" t="s">
        <v>115</v>
      </c>
      <c r="R139" s="30" t="s">
        <v>116</v>
      </c>
      <c r="S139" s="30">
        <f>G132+H49/2+G134</f>
        <v>9.4</v>
      </c>
      <c r="T139" s="30" t="s">
        <v>8</v>
      </c>
      <c r="U139" s="30" t="s">
        <v>117</v>
      </c>
      <c r="V139" s="30" t="s">
        <v>116</v>
      </c>
      <c r="W139" s="30">
        <f>H49/2+G134</f>
        <v>7.4</v>
      </c>
      <c r="X139" s="30" t="s">
        <v>8</v>
      </c>
    </row>
    <row r="140" spans="1:24" ht="20.100000000000001" hidden="1" customHeight="1" x14ac:dyDescent="0.2">
      <c r="E140" s="102"/>
      <c r="Q140" s="30" t="s">
        <v>93</v>
      </c>
      <c r="R140" s="30">
        <f>G131/G132</f>
        <v>1.5</v>
      </c>
    </row>
    <row r="141" spans="1:24" ht="20.100000000000001" hidden="1" customHeight="1" x14ac:dyDescent="0.2">
      <c r="A141" s="103" t="s">
        <v>40</v>
      </c>
      <c r="B141" s="104"/>
      <c r="C141" s="105" t="s">
        <v>41</v>
      </c>
      <c r="D141" s="105" t="s">
        <v>42</v>
      </c>
      <c r="E141" s="105" t="s">
        <v>11</v>
      </c>
      <c r="F141" s="106" t="s">
        <v>286</v>
      </c>
      <c r="G141" s="105" t="s">
        <v>269</v>
      </c>
      <c r="H141" s="105" t="s">
        <v>287</v>
      </c>
      <c r="I141" s="105" t="s">
        <v>271</v>
      </c>
      <c r="J141" s="105" t="s">
        <v>272</v>
      </c>
      <c r="K141" s="45" t="s">
        <v>43</v>
      </c>
      <c r="L141" s="45" t="s">
        <v>14</v>
      </c>
      <c r="M141" s="43" t="s">
        <v>44</v>
      </c>
      <c r="N141" s="45" t="s">
        <v>45</v>
      </c>
      <c r="O141" s="45" t="s">
        <v>273</v>
      </c>
      <c r="P141" s="45" t="s">
        <v>46</v>
      </c>
      <c r="Q141" s="34" t="s">
        <v>288</v>
      </c>
      <c r="R141" s="34" t="s">
        <v>289</v>
      </c>
      <c r="T141" s="34" t="s">
        <v>288</v>
      </c>
      <c r="U141" s="34" t="s">
        <v>290</v>
      </c>
    </row>
    <row r="142" spans="1:24" ht="20.100000000000001" hidden="1" customHeight="1" x14ac:dyDescent="0.2">
      <c r="A142" s="107" t="s">
        <v>274</v>
      </c>
      <c r="B142" s="108"/>
      <c r="C142" s="109" t="s">
        <v>275</v>
      </c>
      <c r="D142" s="109" t="s">
        <v>276</v>
      </c>
      <c r="E142" s="110"/>
      <c r="F142" s="111"/>
      <c r="G142" s="111" t="s">
        <v>277</v>
      </c>
      <c r="H142" s="111" t="s">
        <v>277</v>
      </c>
      <c r="I142" s="111" t="s">
        <v>278</v>
      </c>
      <c r="J142" s="111" t="s">
        <v>47</v>
      </c>
      <c r="K142" s="43"/>
      <c r="L142" s="45" t="s">
        <v>8</v>
      </c>
      <c r="M142" s="43" t="s">
        <v>48</v>
      </c>
      <c r="N142" s="45" t="s">
        <v>279</v>
      </c>
      <c r="O142" s="45" t="s">
        <v>277</v>
      </c>
      <c r="P142" s="43"/>
    </row>
    <row r="143" spans="1:24" ht="20.100000000000001" hidden="1" customHeight="1" x14ac:dyDescent="0.2">
      <c r="A143" s="71"/>
      <c r="B143" s="136">
        <v>0</v>
      </c>
      <c r="C143" s="120">
        <f t="shared" ref="C143:C146" si="44">IF(M143=0,$D$75,MIN($D$75,M143))</f>
        <v>0.4</v>
      </c>
      <c r="D143" s="120">
        <f t="shared" ref="D143:D146" si="45">$E$16+B143</f>
        <v>2.4</v>
      </c>
      <c r="E143" s="121">
        <f>INDEX($B$19:$B$22,MATCH(D143,$M$18:$M$22))</f>
        <v>2</v>
      </c>
      <c r="F143" s="122">
        <f>R143-U143</f>
        <v>0</v>
      </c>
      <c r="G143" s="120">
        <f>$I$81</f>
        <v>1.1749999999999998</v>
      </c>
      <c r="H143" s="120">
        <f>$F$130*F143/4</f>
        <v>0</v>
      </c>
      <c r="I143" s="121">
        <f>INDEX($J$19:$J$22,MATCH(D143,$M$18:$M$22))</f>
        <v>173</v>
      </c>
      <c r="J143" s="123">
        <f t="shared" ref="J143:J146" si="46">0.8/I143/10*H143*C143*1000</f>
        <v>0</v>
      </c>
      <c r="K143" s="118">
        <f>MATCH(D143,$Q$18:$Q$23)</f>
        <v>4</v>
      </c>
      <c r="L143" s="43">
        <f>INDEX($Q$19:$Q$23,K143)</f>
        <v>12.8</v>
      </c>
      <c r="M143" s="43">
        <f>L143-D143</f>
        <v>10.4</v>
      </c>
      <c r="N143" s="43">
        <f>INDEX($R$19:$R$23,K143)</f>
        <v>1.97</v>
      </c>
      <c r="O143" s="43">
        <f>N143*C143</f>
        <v>0.78800000000000003</v>
      </c>
      <c r="P143" s="43">
        <v>1</v>
      </c>
      <c r="Q143" s="30">
        <f>B143/$S$139</f>
        <v>0</v>
      </c>
      <c r="R143" s="30">
        <f>IF($E$85="chữ nhật",INTER2D($S$29:$Y$58,Q143,$R$140),ns($AC$30:$AD$58,Q143))</f>
        <v>1</v>
      </c>
      <c r="T143" s="30">
        <f>B143/$W$139</f>
        <v>0</v>
      </c>
      <c r="U143" s="30">
        <f>IF($E$85="chữ nhật",INTER2D($S$29:$Y$58,T143,$R$140),ns($AC$30:$AD$58,T143))</f>
        <v>1</v>
      </c>
    </row>
    <row r="144" spans="1:24" ht="20.100000000000001" hidden="1" customHeight="1" x14ac:dyDescent="0.2">
      <c r="A144" s="71"/>
      <c r="B144" s="119">
        <f t="shared" ref="B144:B146" si="47">B143+C143</f>
        <v>0.4</v>
      </c>
      <c r="C144" s="120">
        <f t="shared" si="44"/>
        <v>0.4</v>
      </c>
      <c r="D144" s="120">
        <f t="shared" si="45"/>
        <v>2.8</v>
      </c>
      <c r="E144" s="121">
        <f t="shared" ref="E144:E146" si="48">INDEX($B$19:$B$22,MATCH(D144,$M$18:$M$22))</f>
        <v>2</v>
      </c>
      <c r="F144" s="122">
        <f t="shared" ref="F144:F146" si="49">R144-U144</f>
        <v>7.8349626221962954E-4</v>
      </c>
      <c r="G144" s="120">
        <f t="shared" ref="G144:G146" si="50">G143+O143</f>
        <v>1.9629999999999999</v>
      </c>
      <c r="H144" s="120">
        <f>$I$82*F144/4</f>
        <v>1.6434259913242716E-3</v>
      </c>
      <c r="I144" s="121">
        <f t="shared" ref="I144:I146" si="51">INDEX($J$19:$J$22,MATCH(D144,$M$18:$M$22))</f>
        <v>173</v>
      </c>
      <c r="J144" s="123">
        <f t="shared" si="46"/>
        <v>3.0398631053396937E-4</v>
      </c>
      <c r="K144" s="118">
        <f t="shared" ref="K144:K146" si="52">MATCH(D144,$Q$18:$Q$23)</f>
        <v>4</v>
      </c>
      <c r="L144" s="43">
        <f t="shared" ref="L144:L146" si="53">INDEX($Q$19:$Q$23,K144)</f>
        <v>12.8</v>
      </c>
      <c r="M144" s="43">
        <f t="shared" ref="M144:M146" si="54">L144-D144</f>
        <v>10</v>
      </c>
      <c r="N144" s="43">
        <f t="shared" ref="N144:N146" si="55">INDEX($R$19:$R$23,K144)</f>
        <v>1.97</v>
      </c>
      <c r="O144" s="43">
        <f t="shared" ref="O144:O146" si="56">N144*C144</f>
        <v>0.78800000000000003</v>
      </c>
      <c r="P144" s="43">
        <f>IF(G143&gt;$E$125*H143,0,1)</f>
        <v>0</v>
      </c>
      <c r="Q144" s="30">
        <f t="shared" ref="Q144:Q146" si="57">B144/$S$139</f>
        <v>4.2553191489361701E-2</v>
      </c>
      <c r="R144" s="30">
        <f>IF($E$85="chữ nhật",INTER2D($S$29:$Y$58,Q144,$R$140),ns($AC$30:$AD$58,Q144))</f>
        <v>0.99710106382978725</v>
      </c>
      <c r="T144" s="30">
        <f t="shared" ref="T144:T146" si="58">B144/$W$139</f>
        <v>5.4054054054054057E-2</v>
      </c>
      <c r="U144" s="30">
        <f>IF($E$85="chữ nhật",INTER2D($S$29:$Y$58,T144,$R$140),ns($AC$30:$AD$58,T144))</f>
        <v>0.99631756756756762</v>
      </c>
    </row>
    <row r="145" spans="1:21" ht="20.100000000000001" hidden="1" customHeight="1" x14ac:dyDescent="0.2">
      <c r="A145" s="71"/>
      <c r="B145" s="119">
        <f t="shared" si="47"/>
        <v>0.8</v>
      </c>
      <c r="C145" s="120">
        <f t="shared" si="44"/>
        <v>0.4</v>
      </c>
      <c r="D145" s="120">
        <f t="shared" si="45"/>
        <v>3.2</v>
      </c>
      <c r="E145" s="121">
        <f t="shared" si="48"/>
        <v>2</v>
      </c>
      <c r="F145" s="122">
        <f t="shared" si="49"/>
        <v>1.5669925244393701E-3</v>
      </c>
      <c r="G145" s="120">
        <f t="shared" si="50"/>
        <v>2.7509999999999999</v>
      </c>
      <c r="H145" s="120">
        <f t="shared" ref="H145:H146" si="59">$I$82*F145/4</f>
        <v>3.2868519826487761E-3</v>
      </c>
      <c r="I145" s="121">
        <f t="shared" si="51"/>
        <v>173</v>
      </c>
      <c r="J145" s="123">
        <f t="shared" si="46"/>
        <v>6.0797262106798179E-4</v>
      </c>
      <c r="K145" s="118">
        <f t="shared" si="52"/>
        <v>4</v>
      </c>
      <c r="L145" s="43">
        <f t="shared" si="53"/>
        <v>12.8</v>
      </c>
      <c r="M145" s="43">
        <f t="shared" si="54"/>
        <v>9.6000000000000014</v>
      </c>
      <c r="N145" s="43">
        <f t="shared" si="55"/>
        <v>1.97</v>
      </c>
      <c r="O145" s="43">
        <f t="shared" si="56"/>
        <v>0.78800000000000003</v>
      </c>
      <c r="P145" s="43">
        <f t="shared" ref="P145:P146" si="60">IF(G144&gt;$E$125*H144,0,1)</f>
        <v>0</v>
      </c>
      <c r="Q145" s="30">
        <f t="shared" si="57"/>
        <v>8.5106382978723402E-2</v>
      </c>
      <c r="R145" s="30">
        <f>IF($E$85="chữ nhật",INTER2D($S$29:$Y$58,Q145,$R$140),ns($AC$30:$AD$58,Q145))</f>
        <v>0.9942021276595745</v>
      </c>
      <c r="T145" s="30">
        <f t="shared" si="58"/>
        <v>0.10810810810810811</v>
      </c>
      <c r="U145" s="30">
        <f>IF($E$85="chữ nhật",INTER2D($S$29:$Y$58,T145,$R$140),ns($AC$30:$AD$58,T145))</f>
        <v>0.99263513513513513</v>
      </c>
    </row>
    <row r="146" spans="1:21" ht="20.100000000000001" hidden="1" customHeight="1" x14ac:dyDescent="0.2">
      <c r="A146" s="71"/>
      <c r="B146" s="119">
        <f t="shared" si="47"/>
        <v>1.2000000000000002</v>
      </c>
      <c r="C146" s="120">
        <f t="shared" si="44"/>
        <v>0.4</v>
      </c>
      <c r="D146" s="120">
        <f t="shared" si="45"/>
        <v>3.6</v>
      </c>
      <c r="E146" s="121">
        <f t="shared" si="48"/>
        <v>2</v>
      </c>
      <c r="F146" s="122">
        <f t="shared" si="49"/>
        <v>2.3504887866589996E-3</v>
      </c>
      <c r="G146" s="120">
        <f t="shared" si="50"/>
        <v>3.5389999999999997</v>
      </c>
      <c r="H146" s="120">
        <f t="shared" si="59"/>
        <v>4.9302779739730483E-3</v>
      </c>
      <c r="I146" s="121">
        <f t="shared" si="51"/>
        <v>173</v>
      </c>
      <c r="J146" s="123">
        <f t="shared" si="46"/>
        <v>9.1195893160195133E-4</v>
      </c>
      <c r="K146" s="118">
        <f t="shared" si="52"/>
        <v>4</v>
      </c>
      <c r="L146" s="43">
        <f t="shared" si="53"/>
        <v>12.8</v>
      </c>
      <c r="M146" s="43">
        <f t="shared" si="54"/>
        <v>9.2000000000000011</v>
      </c>
      <c r="N146" s="43">
        <f t="shared" si="55"/>
        <v>1.97</v>
      </c>
      <c r="O146" s="43">
        <f t="shared" si="56"/>
        <v>0.78800000000000003</v>
      </c>
      <c r="P146" s="43">
        <f t="shared" si="60"/>
        <v>0</v>
      </c>
      <c r="Q146" s="30">
        <f t="shared" si="57"/>
        <v>0.12765957446808512</v>
      </c>
      <c r="R146" s="30">
        <f>IF($E$85="chữ nhật",INTER2D($S$29:$Y$58,Q146,$R$140),ns($AC$30:$AD$58,Q146))</f>
        <v>0.99130319148936175</v>
      </c>
      <c r="T146" s="30">
        <f t="shared" si="58"/>
        <v>0.16216216216216217</v>
      </c>
      <c r="U146" s="30">
        <f>IF($E$85="chữ nhật",INTER2D($S$29:$Y$58,T146,$R$140),ns($AC$30:$AD$58,T146))</f>
        <v>0.98895270270270275</v>
      </c>
    </row>
    <row r="147" spans="1:21" ht="20.100000000000001" hidden="1" customHeight="1" x14ac:dyDescent="0.2">
      <c r="A147" s="124"/>
      <c r="B147" s="125"/>
      <c r="C147" s="126"/>
      <c r="D147" s="126"/>
      <c r="E147" s="110"/>
      <c r="F147" s="127"/>
      <c r="G147" s="126"/>
      <c r="H147" s="126"/>
      <c r="I147" s="110"/>
      <c r="J147" s="130"/>
    </row>
    <row r="148" spans="1:21" ht="20.100000000000001" hidden="1" customHeight="1" x14ac:dyDescent="0.2"/>
    <row r="149" spans="1:21" ht="20.100000000000001" hidden="1" customHeight="1" x14ac:dyDescent="0.2">
      <c r="A149" s="43" t="s">
        <v>49</v>
      </c>
      <c r="B149" s="43"/>
      <c r="C149" s="43"/>
      <c r="D149" s="100" t="s">
        <v>280</v>
      </c>
      <c r="E149" s="32">
        <v>5</v>
      </c>
      <c r="F149" s="30" t="s">
        <v>291</v>
      </c>
      <c r="G149" s="43" t="s">
        <v>103</v>
      </c>
      <c r="H149" s="37">
        <f>INDEX($D$143:$D$147,MATCH(0,$P$143:$P$147,0)-1)</f>
        <v>2.4</v>
      </c>
      <c r="I149" s="43" t="s">
        <v>8</v>
      </c>
    </row>
    <row r="150" spans="1:21" ht="20.100000000000001" hidden="1" customHeight="1" x14ac:dyDescent="0.2">
      <c r="B150" s="131" t="s">
        <v>292</v>
      </c>
      <c r="C150" s="131"/>
      <c r="D150" s="131"/>
      <c r="E150" s="137">
        <f t="array" ref="E150">J143+SUM(J144:J147*P144:P147)</f>
        <v>0</v>
      </c>
      <c r="F150" s="131" t="s">
        <v>47</v>
      </c>
    </row>
    <row r="151" spans="1:21" ht="20.100000000000001" hidden="1" customHeight="1" x14ac:dyDescent="0.2">
      <c r="B151" s="131" t="s">
        <v>114</v>
      </c>
      <c r="C151" s="131"/>
      <c r="D151" s="131"/>
      <c r="E151" s="132"/>
      <c r="F151" s="131"/>
    </row>
    <row r="152" spans="1:21" ht="20.100000000000001" hidden="1" customHeight="1" x14ac:dyDescent="0.2">
      <c r="B152" s="131"/>
      <c r="D152" s="52" t="s">
        <v>293</v>
      </c>
      <c r="E152" s="132">
        <f>E126+2*E150</f>
        <v>8.8044946214685922</v>
      </c>
      <c r="F152" s="131" t="s">
        <v>47</v>
      </c>
    </row>
    <row r="153" spans="1:21" ht="20.100000000000001" hidden="1" customHeight="1" x14ac:dyDescent="0.2">
      <c r="B153" s="131" t="s">
        <v>118</v>
      </c>
      <c r="D153" s="52" t="s">
        <v>119</v>
      </c>
      <c r="E153" s="132">
        <f>MROUND(D58/E152*1000,50)</f>
        <v>1100</v>
      </c>
      <c r="F153" s="131" t="s">
        <v>279</v>
      </c>
      <c r="G153" s="30" t="s">
        <v>128</v>
      </c>
    </row>
    <row r="154" spans="1:21" ht="20.100000000000001" customHeight="1" x14ac:dyDescent="0.2">
      <c r="A154" s="35" t="s">
        <v>120</v>
      </c>
    </row>
    <row r="155" spans="1:21" ht="20.100000000000001" customHeight="1" x14ac:dyDescent="0.2">
      <c r="A155" s="35"/>
      <c r="B155" s="30" t="s">
        <v>160</v>
      </c>
    </row>
    <row r="156" spans="1:21" ht="20.100000000000001" customHeight="1" x14ac:dyDescent="0.2">
      <c r="A156" s="35"/>
      <c r="B156" s="79" t="s">
        <v>294</v>
      </c>
      <c r="D156" s="102">
        <v>700</v>
      </c>
      <c r="E156" s="30" t="s">
        <v>47</v>
      </c>
    </row>
    <row r="157" spans="1:21" ht="20.100000000000001" customHeight="1" x14ac:dyDescent="0.2">
      <c r="A157" s="35"/>
      <c r="B157" s="79" t="s">
        <v>295</v>
      </c>
      <c r="D157" s="102">
        <v>510</v>
      </c>
      <c r="E157" s="30" t="s">
        <v>47</v>
      </c>
    </row>
    <row r="158" spans="1:21" ht="20.100000000000001" customHeight="1" x14ac:dyDescent="0.2">
      <c r="A158" s="35"/>
      <c r="B158" s="65" t="s">
        <v>296</v>
      </c>
      <c r="D158" s="32">
        <v>500</v>
      </c>
      <c r="E158" s="30" t="s">
        <v>47</v>
      </c>
    </row>
    <row r="159" spans="1:21" ht="20.100000000000001" customHeight="1" x14ac:dyDescent="0.2">
      <c r="A159" s="35"/>
      <c r="B159" s="65" t="s">
        <v>297</v>
      </c>
      <c r="D159" s="32">
        <f>H49*1000</f>
        <v>2000</v>
      </c>
      <c r="E159" s="30" t="s">
        <v>47</v>
      </c>
    </row>
    <row r="160" spans="1:21" ht="20.100000000000001" customHeight="1" x14ac:dyDescent="0.2">
      <c r="A160" s="35"/>
      <c r="B160" s="65" t="s">
        <v>50</v>
      </c>
      <c r="D160" s="32">
        <v>50</v>
      </c>
      <c r="E160" s="30" t="s">
        <v>47</v>
      </c>
    </row>
    <row r="161" spans="1:19" ht="20.100000000000001" customHeight="1" x14ac:dyDescent="0.2">
      <c r="A161" s="35"/>
      <c r="B161" s="30" t="s">
        <v>191</v>
      </c>
      <c r="D161" s="102" t="s">
        <v>185</v>
      </c>
    </row>
    <row r="162" spans="1:19" ht="20.100000000000001" customHeight="1" x14ac:dyDescent="0.25">
      <c r="B162" s="30" t="s">
        <v>153</v>
      </c>
      <c r="L162" s="138" t="s">
        <v>193</v>
      </c>
      <c r="M162" s="139" t="s">
        <v>189</v>
      </c>
      <c r="N162" s="139" t="s">
        <v>184</v>
      </c>
      <c r="O162" s="139" t="s">
        <v>190</v>
      </c>
      <c r="P162" s="139" t="s">
        <v>185</v>
      </c>
      <c r="Q162" s="139" t="s">
        <v>186</v>
      </c>
      <c r="R162" s="139" t="s">
        <v>187</v>
      </c>
      <c r="S162" s="139" t="s">
        <v>188</v>
      </c>
    </row>
    <row r="163" spans="1:19" ht="20.100000000000001" customHeight="1" x14ac:dyDescent="0.2">
      <c r="C163" s="30" t="s">
        <v>298</v>
      </c>
      <c r="L163" s="140" t="s">
        <v>52</v>
      </c>
      <c r="M163" s="30">
        <v>90</v>
      </c>
      <c r="N163" s="30">
        <v>110</v>
      </c>
      <c r="O163" s="30">
        <v>130</v>
      </c>
      <c r="P163" s="30">
        <v>145</v>
      </c>
      <c r="Q163" s="30">
        <v>170</v>
      </c>
      <c r="R163" s="30">
        <v>215</v>
      </c>
      <c r="S163" s="30">
        <v>250</v>
      </c>
    </row>
    <row r="164" spans="1:19" ht="20.100000000000001" customHeight="1" x14ac:dyDescent="0.25">
      <c r="A164" s="30" t="s">
        <v>51</v>
      </c>
      <c r="L164" s="138" t="s">
        <v>53</v>
      </c>
      <c r="M164" s="141">
        <v>7.5</v>
      </c>
      <c r="N164" s="141">
        <v>8.8000000000000007</v>
      </c>
      <c r="O164" s="141">
        <v>10</v>
      </c>
      <c r="P164" s="141">
        <v>10.5</v>
      </c>
      <c r="Q164" s="141">
        <v>12</v>
      </c>
      <c r="R164" s="141">
        <v>13.4</v>
      </c>
      <c r="S164" s="141">
        <v>14.5</v>
      </c>
    </row>
    <row r="165" spans="1:19" ht="20.100000000000001" customHeight="1" x14ac:dyDescent="0.25">
      <c r="E165" s="34" t="s">
        <v>299</v>
      </c>
      <c r="F165" s="30">
        <f>D158-D160-10</f>
        <v>440</v>
      </c>
      <c r="G165" s="30" t="s">
        <v>47</v>
      </c>
      <c r="L165" s="138" t="s">
        <v>54</v>
      </c>
      <c r="M165" s="142">
        <v>15</v>
      </c>
      <c r="N165" s="142">
        <v>20</v>
      </c>
      <c r="O165" s="142">
        <v>22.5</v>
      </c>
      <c r="P165" s="142">
        <v>25</v>
      </c>
      <c r="Q165" s="142">
        <v>30</v>
      </c>
      <c r="R165" s="142">
        <v>40</v>
      </c>
      <c r="S165" s="142">
        <v>45</v>
      </c>
    </row>
    <row r="166" spans="1:19" ht="20.100000000000001" customHeight="1" x14ac:dyDescent="0.2">
      <c r="B166" s="30" t="s">
        <v>300</v>
      </c>
      <c r="F166" s="30">
        <f>HLOOKUP(D161,$M$162:$S$165,3)</f>
        <v>10.5</v>
      </c>
      <c r="G166" s="30" t="s">
        <v>301</v>
      </c>
    </row>
    <row r="167" spans="1:19" ht="20.100000000000001" customHeight="1" x14ac:dyDescent="0.2">
      <c r="D167" s="30" t="s">
        <v>302</v>
      </c>
      <c r="F167" s="39">
        <f>$D$55*($D$49-$D$156/1000)/2</f>
        <v>6.4293478260869561</v>
      </c>
      <c r="G167" s="30" t="s">
        <v>72</v>
      </c>
    </row>
    <row r="168" spans="1:19" ht="20.100000000000001" hidden="1" customHeight="1" x14ac:dyDescent="0.2">
      <c r="B168" s="30" t="s">
        <v>303</v>
      </c>
      <c r="C168" s="65">
        <v>1.5</v>
      </c>
      <c r="D168" s="30" t="s">
        <v>130</v>
      </c>
    </row>
    <row r="169" spans="1:19" ht="20.100000000000001" hidden="1" customHeight="1" x14ac:dyDescent="0.2">
      <c r="B169" s="30" t="s">
        <v>304</v>
      </c>
      <c r="C169" s="65">
        <v>0</v>
      </c>
      <c r="D169" s="30" t="s">
        <v>129</v>
      </c>
    </row>
    <row r="170" spans="1:19" ht="20.100000000000001" customHeight="1" x14ac:dyDescent="0.2">
      <c r="B170" s="30" t="s">
        <v>305</v>
      </c>
      <c r="C170" s="76">
        <f>0.5*D159*F166*F165/100000</f>
        <v>46.2</v>
      </c>
      <c r="D170" s="30" t="s">
        <v>72</v>
      </c>
      <c r="E170" s="30" t="str">
        <f>IF(K170,"&gt;","&lt;")</f>
        <v>&gt;</v>
      </c>
      <c r="F170" s="143" t="s">
        <v>306</v>
      </c>
      <c r="H170" s="59"/>
      <c r="K170" s="30" t="b">
        <f>C170&gt;=F167</f>
        <v>1</v>
      </c>
    </row>
    <row r="171" spans="1:19" ht="20.100000000000001" customHeight="1" x14ac:dyDescent="0.2">
      <c r="B171" s="83" t="str">
        <f>IF(K170,"Đảm bảo điều kiện chịu cắt của bản móng.")</f>
        <v>Đảm bảo điều kiện chịu cắt của bản móng.</v>
      </c>
      <c r="C171" s="59"/>
      <c r="H171" s="59"/>
    </row>
    <row r="172" spans="1:19" ht="20.100000000000001" customHeight="1" x14ac:dyDescent="0.2">
      <c r="A172" s="35" t="s">
        <v>55</v>
      </c>
    </row>
    <row r="173" spans="1:19" ht="20.100000000000001" customHeight="1" x14ac:dyDescent="0.2">
      <c r="A173" s="35"/>
      <c r="B173" s="30" t="s">
        <v>59</v>
      </c>
      <c r="D173" s="102" t="s">
        <v>151</v>
      </c>
      <c r="G173" s="1" t="s">
        <v>161</v>
      </c>
      <c r="H173" s="30" t="s">
        <v>162</v>
      </c>
      <c r="I173" s="78">
        <f>0.8/(1+(F174/2000000)/0.0035)</f>
        <v>0.4933920704845815</v>
      </c>
    </row>
    <row r="174" spans="1:19" ht="20.100000000000001" customHeight="1" x14ac:dyDescent="0.25">
      <c r="A174" s="35"/>
      <c r="B174" s="30" t="s">
        <v>307</v>
      </c>
      <c r="F174" s="30">
        <f>HLOOKUP(D173,M174:P175,2)</f>
        <v>4350</v>
      </c>
      <c r="G174" s="30" t="s">
        <v>301</v>
      </c>
      <c r="L174" s="141"/>
      <c r="M174" s="139" t="s">
        <v>60</v>
      </c>
      <c r="N174" s="139" t="s">
        <v>150</v>
      </c>
      <c r="O174" s="139" t="s">
        <v>151</v>
      </c>
      <c r="P174" s="139" t="s">
        <v>61</v>
      </c>
    </row>
    <row r="175" spans="1:19" ht="20.100000000000001" customHeight="1" x14ac:dyDescent="0.25">
      <c r="B175" s="30" t="s">
        <v>56</v>
      </c>
      <c r="L175" s="141" t="s">
        <v>62</v>
      </c>
      <c r="M175" s="34">
        <v>2100</v>
      </c>
      <c r="N175" s="34">
        <v>2600</v>
      </c>
      <c r="O175" s="34">
        <v>4350</v>
      </c>
      <c r="P175" s="34">
        <v>4500</v>
      </c>
    </row>
    <row r="176" spans="1:19" ht="20.100000000000001" customHeight="1" x14ac:dyDescent="0.2">
      <c r="A176" s="30" t="s">
        <v>198</v>
      </c>
      <c r="L176" s="30" t="s">
        <v>192</v>
      </c>
      <c r="M176" s="30">
        <v>2000000</v>
      </c>
      <c r="N176" s="30">
        <v>2000000</v>
      </c>
      <c r="O176" s="30">
        <v>2000000</v>
      </c>
      <c r="P176" s="30">
        <v>2000000</v>
      </c>
    </row>
    <row r="177" spans="1:14" ht="20.100000000000001" customHeight="1" x14ac:dyDescent="0.2">
      <c r="I177" s="39"/>
    </row>
    <row r="178" spans="1:14" ht="20.100000000000001" customHeight="1" x14ac:dyDescent="0.2">
      <c r="B178" s="30" t="s">
        <v>57</v>
      </c>
      <c r="I178" s="39">
        <f>(H49-D157/1000)^2/8*D55*1.15</f>
        <v>3.1567046874999996</v>
      </c>
      <c r="J178" s="30" t="s">
        <v>58</v>
      </c>
      <c r="K178" s="30">
        <f>(H49-D157/1000)^2/32*1.15</f>
        <v>7.9784843749999987E-2</v>
      </c>
    </row>
    <row r="179" spans="1:14" ht="20.100000000000001" customHeight="1" x14ac:dyDescent="0.2">
      <c r="H179" s="39"/>
    </row>
    <row r="180" spans="1:14" ht="30" customHeight="1" x14ac:dyDescent="0.2">
      <c r="B180" s="30" t="s">
        <v>63</v>
      </c>
      <c r="I180" s="39">
        <f>I178/0.9/F165*1000/F174/10*10000</f>
        <v>1.832523329559967</v>
      </c>
      <c r="J180" s="30" t="s">
        <v>308</v>
      </c>
    </row>
    <row r="181" spans="1:14" ht="30" customHeight="1" x14ac:dyDescent="0.2">
      <c r="B181" s="30" t="s">
        <v>194</v>
      </c>
      <c r="D181" s="144">
        <v>12</v>
      </c>
      <c r="E181" s="145">
        <v>100</v>
      </c>
      <c r="F181" s="34" t="s">
        <v>309</v>
      </c>
      <c r="G181" s="39">
        <f>PI()*(D181/10)^2/4*(1000/E181)</f>
        <v>11.309733552923255</v>
      </c>
      <c r="H181" s="30" t="s">
        <v>308</v>
      </c>
      <c r="I181" s="39" t="s">
        <v>195</v>
      </c>
      <c r="J181" s="146" t="str">
        <f>IF(G181&gt;I180,"Đạt","Chọn lại")</f>
        <v>Đạt</v>
      </c>
      <c r="M181" s="147"/>
    </row>
    <row r="182" spans="1:14" ht="21" customHeight="1" x14ac:dyDescent="0.2">
      <c r="D182" s="144"/>
      <c r="E182" s="145"/>
      <c r="F182" s="34"/>
      <c r="G182" s="39"/>
      <c r="I182" s="39"/>
      <c r="J182" s="146"/>
      <c r="M182" s="147"/>
    </row>
    <row r="183" spans="1:14" ht="18" customHeight="1" x14ac:dyDescent="0.2">
      <c r="B183" s="30" t="s">
        <v>196</v>
      </c>
      <c r="D183" s="144"/>
      <c r="E183" s="145"/>
      <c r="F183" s="34"/>
      <c r="G183" s="39"/>
      <c r="I183" s="39">
        <f>((D49-D156/1000)/2)^2*1.15*D55/2</f>
        <v>2.4029687499999999</v>
      </c>
      <c r="J183" s="30" t="s">
        <v>58</v>
      </c>
      <c r="M183" s="147"/>
    </row>
    <row r="184" spans="1:14" ht="17.25" customHeight="1" x14ac:dyDescent="0.2">
      <c r="D184" s="144"/>
      <c r="E184" s="145"/>
      <c r="F184" s="34"/>
      <c r="G184" s="39"/>
      <c r="I184" s="39"/>
      <c r="J184" s="146"/>
      <c r="M184" s="147"/>
    </row>
    <row r="185" spans="1:14" ht="30" customHeight="1" x14ac:dyDescent="0.2">
      <c r="B185" s="30" t="s">
        <v>197</v>
      </c>
      <c r="D185" s="144"/>
      <c r="E185" s="145"/>
      <c r="F185" s="34"/>
      <c r="G185" s="39"/>
      <c r="I185" s="39">
        <f>(I183*10^7)/0.9/F165/(F174/10)/100</f>
        <v>1.3949661848368742</v>
      </c>
      <c r="J185" s="30" t="s">
        <v>308</v>
      </c>
      <c r="M185" s="147"/>
    </row>
    <row r="186" spans="1:14" ht="30" customHeight="1" x14ac:dyDescent="0.2">
      <c r="B186" s="30" t="s">
        <v>194</v>
      </c>
      <c r="D186" s="144">
        <v>12</v>
      </c>
      <c r="E186" s="145">
        <v>100</v>
      </c>
      <c r="F186" s="34" t="s">
        <v>309</v>
      </c>
      <c r="G186" s="39">
        <f>PI()*(D186/10)^2/4*(1000/E186)</f>
        <v>11.309733552923255</v>
      </c>
      <c r="H186" s="30" t="s">
        <v>308</v>
      </c>
      <c r="I186" s="39" t="s">
        <v>195</v>
      </c>
      <c r="J186" s="146" t="str">
        <f>IF(G186&gt;I185,"Đạt","Chọn lại")</f>
        <v>Đạt</v>
      </c>
      <c r="M186" s="147"/>
    </row>
    <row r="187" spans="1:14" ht="20.100000000000001" customHeight="1" x14ac:dyDescent="0.2">
      <c r="A187" s="35" t="s">
        <v>64</v>
      </c>
    </row>
    <row r="188" spans="1:14" ht="20.100000000000001" customHeight="1" x14ac:dyDescent="0.2">
      <c r="B188" s="30" t="s">
        <v>65</v>
      </c>
      <c r="D188" s="67">
        <v>2</v>
      </c>
      <c r="E188" s="30" t="s">
        <v>66</v>
      </c>
      <c r="G188" s="148">
        <f>INDEX(M19:M22,K188-1)-E16</f>
        <v>-0.49999999999999978</v>
      </c>
      <c r="H188" s="30" t="s">
        <v>67</v>
      </c>
      <c r="K188" s="30">
        <f>MATCH(D188,B19:B22)</f>
        <v>3</v>
      </c>
    </row>
    <row r="189" spans="1:14" ht="20.100000000000001" customHeight="1" x14ac:dyDescent="0.2">
      <c r="B189" s="30" t="s">
        <v>310</v>
      </c>
      <c r="F189" s="149" t="e">
        <f>IF($E$85="chữ nhật",Noisuy($L$85,N189,$S$29:$Y$58),ns($AC$30:$AD$58,N189))</f>
        <v>#VALUE!</v>
      </c>
      <c r="N189" s="30">
        <f>2*G188/$H$49</f>
        <v>-0.49999999999999978</v>
      </c>
    </row>
    <row r="190" spans="1:14" ht="20.100000000000001" customHeight="1" x14ac:dyDescent="0.2">
      <c r="B190" s="30" t="s">
        <v>311</v>
      </c>
      <c r="F190" s="43"/>
      <c r="G190" s="39" t="e">
        <f>F189*I82</f>
        <v>#VALUE!</v>
      </c>
      <c r="H190" s="30" t="s">
        <v>251</v>
      </c>
    </row>
    <row r="191" spans="1:14" ht="20.100000000000001" customHeight="1" x14ac:dyDescent="0.2">
      <c r="B191" s="30" t="s">
        <v>312</v>
      </c>
      <c r="G191" s="150">
        <f>$U$20</f>
        <v>3.6100000000000003</v>
      </c>
      <c r="H191" s="30" t="s">
        <v>251</v>
      </c>
    </row>
    <row r="192" spans="1:14" ht="20.100000000000001" customHeight="1" x14ac:dyDescent="0.2">
      <c r="B192" s="30" t="s">
        <v>68</v>
      </c>
      <c r="F192" s="30">
        <f>D188</f>
        <v>2</v>
      </c>
      <c r="G192" s="30" t="s">
        <v>69</v>
      </c>
    </row>
    <row r="193" spans="1:11" ht="20.100000000000001" customHeight="1" x14ac:dyDescent="0.2">
      <c r="C193" s="30" t="s">
        <v>313</v>
      </c>
    </row>
    <row r="194" spans="1:11" ht="20.100000000000001" customHeight="1" x14ac:dyDescent="0.2">
      <c r="B194" s="30" t="s">
        <v>314</v>
      </c>
      <c r="H194" s="39" t="e">
        <f>SQRT(D195+H195^2)-H195</f>
        <v>#VALUE!</v>
      </c>
      <c r="I194" s="30" t="s">
        <v>8</v>
      </c>
    </row>
    <row r="195" spans="1:11" ht="20.100000000000001" customHeight="1" x14ac:dyDescent="0.2">
      <c r="C195" s="34" t="s">
        <v>315</v>
      </c>
      <c r="D195" s="39" t="e">
        <f>D58/G190</f>
        <v>#VALUE!</v>
      </c>
      <c r="G195" s="34" t="s">
        <v>70</v>
      </c>
      <c r="H195" s="30">
        <f>(D49-H49)/2</f>
        <v>0</v>
      </c>
      <c r="I195" s="30" t="s">
        <v>8</v>
      </c>
    </row>
    <row r="196" spans="1:11" ht="20.100000000000001" customHeight="1" x14ac:dyDescent="0.2">
      <c r="B196" s="34" t="s">
        <v>245</v>
      </c>
      <c r="C196" s="32">
        <v>0.12</v>
      </c>
      <c r="D196" s="30" t="s">
        <v>246</v>
      </c>
      <c r="E196" s="30">
        <f>C196*100</f>
        <v>12</v>
      </c>
      <c r="F196" s="30" t="s">
        <v>247</v>
      </c>
      <c r="H196" s="34" t="s">
        <v>316</v>
      </c>
      <c r="I196" s="39">
        <f>INDEX(I19:I22,K188)</f>
        <v>26</v>
      </c>
      <c r="J196" s="74" t="s">
        <v>18</v>
      </c>
    </row>
    <row r="197" spans="1:11" ht="20.100000000000001" customHeight="1" x14ac:dyDescent="0.2">
      <c r="B197" s="34" t="s">
        <v>19</v>
      </c>
      <c r="C197" s="78">
        <f>0.7853975/(COS(3.14159*I196/180)/SIN(3.14159*I196/180)+3.14159*I196/180-1.570795)</f>
        <v>0.84153093002834489</v>
      </c>
      <c r="D197" s="75" t="s">
        <v>20</v>
      </c>
      <c r="E197" s="78">
        <f>1+(3.14159/((COS(3.14159*I196/180))/(SIN(3.14159*(I196+0.0001)/180))+(3.14159*I196/180-1.570795)))</f>
        <v>4.3661501823540068</v>
      </c>
      <c r="F197" s="75" t="s">
        <v>21</v>
      </c>
      <c r="G197" s="78">
        <f>3.14159*COS(3.14159*I196/180)/SIN(3.14159*(I196+0.00001)/180)/((COS(3.14159*I196/180))/(SIN(3.14159*(I196)/180))+(3.14159*I196/180-1.570795))</f>
        <v>6.9015806388763794</v>
      </c>
    </row>
    <row r="198" spans="1:11" ht="20.100000000000001" customHeight="1" x14ac:dyDescent="0.2">
      <c r="B198" s="34" t="s">
        <v>317</v>
      </c>
      <c r="C198" s="30">
        <f>INDEX(G19:G22,K188)*10</f>
        <v>19.7</v>
      </c>
      <c r="D198" s="30" t="s">
        <v>241</v>
      </c>
      <c r="E198" s="78"/>
      <c r="F198" s="34" t="s">
        <v>318</v>
      </c>
      <c r="G198" s="38">
        <f t="array" ref="G198">SUM($R$19:$R$23*$T$19:$T$23,G21*F21,G22*(G188-F21))/SUM($T$19:$T$23,G188)*10</f>
        <v>18.999999999999979</v>
      </c>
      <c r="H198" s="30" t="s">
        <v>241</v>
      </c>
    </row>
    <row r="199" spans="1:11" ht="20.100000000000001" customHeight="1" x14ac:dyDescent="0.2">
      <c r="A199" s="34" t="s">
        <v>33</v>
      </c>
      <c r="B199" s="30" t="s">
        <v>319</v>
      </c>
      <c r="C199" s="76" t="e">
        <f>G29*I31/E33*(C197*H194*C198+E197*(E16+G188)*G198+G197*F38-G34*F39)/10</f>
        <v>#VALUE!</v>
      </c>
      <c r="D199" s="30" t="s">
        <v>251</v>
      </c>
      <c r="E199" s="81" t="e">
        <f>IF(K199,"&gt;","&lt;")</f>
        <v>#VALUE!</v>
      </c>
      <c r="F199" s="30" t="s">
        <v>320</v>
      </c>
      <c r="G199" s="59" t="e">
        <f>G190+G191</f>
        <v>#VALUE!</v>
      </c>
      <c r="H199" s="30" t="s">
        <v>251</v>
      </c>
      <c r="K199" s="30" t="e">
        <f>C199&gt;=G199</f>
        <v>#VALUE!</v>
      </c>
    </row>
    <row r="200" spans="1:11" ht="20.100000000000001" customHeight="1" x14ac:dyDescent="0.2">
      <c r="B200" s="83" t="e">
        <f>IF(K199, "Đảm bảo yêu cầu")</f>
        <v>#VALUE!</v>
      </c>
    </row>
    <row r="201" spans="1:11" ht="20.100000000000001" customHeight="1" x14ac:dyDescent="0.2">
      <c r="A201" s="36"/>
      <c r="B201" s="36"/>
      <c r="C201" s="36"/>
      <c r="D201" s="151"/>
      <c r="E201" s="152"/>
      <c r="F201" s="36"/>
      <c r="G201" s="36"/>
      <c r="H201" s="153"/>
      <c r="I201" s="36"/>
      <c r="J201" s="36"/>
    </row>
    <row r="202" spans="1:11" ht="20.100000000000001" customHeight="1" x14ac:dyDescent="0.2">
      <c r="A202" s="58" t="s">
        <v>122</v>
      </c>
      <c r="B202" s="154"/>
      <c r="C202" s="155"/>
      <c r="D202" s="36"/>
      <c r="E202" s="36"/>
      <c r="F202" s="36"/>
      <c r="G202" s="36"/>
      <c r="H202" s="36"/>
      <c r="I202" s="36"/>
      <c r="J202" s="36"/>
    </row>
    <row r="203" spans="1:11" ht="20.100000000000001" customHeight="1" x14ac:dyDescent="0.2">
      <c r="A203" s="36"/>
      <c r="B203" s="36" t="s">
        <v>123</v>
      </c>
      <c r="C203" s="36"/>
      <c r="D203" s="36"/>
      <c r="E203" s="36"/>
      <c r="F203" s="36"/>
      <c r="G203" s="36"/>
      <c r="H203" s="36"/>
      <c r="I203" s="36"/>
      <c r="J203" s="36"/>
    </row>
    <row r="204" spans="1:11" ht="20.100000000000001" customHeight="1" x14ac:dyDescent="0.2">
      <c r="A204" s="36" t="s">
        <v>321</v>
      </c>
      <c r="B204" s="36"/>
      <c r="C204" s="36"/>
      <c r="D204" s="36"/>
      <c r="E204" s="36"/>
      <c r="F204" s="36"/>
      <c r="G204" s="36"/>
      <c r="H204" s="36"/>
      <c r="I204" s="36"/>
      <c r="J204" s="36"/>
    </row>
    <row r="205" spans="1:11" ht="20.100000000000001" customHeight="1" x14ac:dyDescent="0.2">
      <c r="A205" s="36"/>
      <c r="B205" s="36"/>
      <c r="C205" s="36"/>
      <c r="D205" s="36"/>
      <c r="E205" s="36"/>
      <c r="F205" s="36"/>
      <c r="G205" s="39"/>
      <c r="H205" s="36"/>
      <c r="I205" s="36"/>
      <c r="J205" s="36"/>
    </row>
    <row r="206" spans="1:11" ht="20.100000000000001" customHeight="1" x14ac:dyDescent="0.2">
      <c r="A206" s="36"/>
      <c r="B206" s="36"/>
      <c r="C206" s="36"/>
      <c r="D206" s="36"/>
      <c r="E206" s="36"/>
      <c r="F206" s="36"/>
      <c r="G206" s="36"/>
      <c r="H206" s="36"/>
      <c r="I206" s="36"/>
      <c r="J206" s="36"/>
    </row>
    <row r="207" spans="1:11" ht="20.100000000000001" customHeight="1" x14ac:dyDescent="0.2">
      <c r="A207" s="36"/>
      <c r="B207" s="156" t="s">
        <v>322</v>
      </c>
      <c r="C207" s="36" t="s">
        <v>124</v>
      </c>
      <c r="D207" s="36"/>
      <c r="E207" s="36"/>
      <c r="F207" s="36"/>
      <c r="G207" s="36"/>
      <c r="H207" s="36"/>
      <c r="I207" s="36"/>
      <c r="J207" s="36"/>
    </row>
    <row r="208" spans="1:11" ht="20.100000000000001" customHeight="1" x14ac:dyDescent="0.2">
      <c r="A208" s="36"/>
      <c r="B208" s="36"/>
      <c r="C208" s="36" t="s">
        <v>323</v>
      </c>
      <c r="D208" s="64"/>
      <c r="E208" s="39">
        <f>F216+F213*$H$49</f>
        <v>46.904559584011267</v>
      </c>
      <c r="F208" s="36" t="s">
        <v>5</v>
      </c>
      <c r="G208" s="36"/>
      <c r="H208" s="36"/>
      <c r="I208" s="36"/>
      <c r="J208" s="36"/>
    </row>
    <row r="209" spans="1:11" ht="20.100000000000001" customHeight="1" x14ac:dyDescent="0.2">
      <c r="A209" s="34"/>
      <c r="B209" s="36"/>
      <c r="C209" s="36" t="s">
        <v>324</v>
      </c>
      <c r="D209" s="36"/>
      <c r="E209" s="39">
        <f>C7+F211*$H$49</f>
        <v>4.926011704306168</v>
      </c>
      <c r="F209" s="36" t="s">
        <v>5</v>
      </c>
      <c r="G209" s="157"/>
      <c r="H209" s="36"/>
      <c r="I209" s="36"/>
      <c r="J209" s="36"/>
    </row>
    <row r="210" spans="1:11" ht="20.100000000000001" customHeight="1" x14ac:dyDescent="0.2">
      <c r="B210" s="158" t="s">
        <v>325</v>
      </c>
      <c r="C210" s="30" t="s">
        <v>125</v>
      </c>
    </row>
    <row r="211" spans="1:11" ht="20.100000000000001" customHeight="1" x14ac:dyDescent="0.2">
      <c r="F211" s="39">
        <f>(TAN(RADIANS(45-I40/2)))^2*$D$36*$E$16^2/2/10</f>
        <v>2.1530058521530839</v>
      </c>
      <c r="G211" s="30" t="s">
        <v>72</v>
      </c>
    </row>
    <row r="213" spans="1:11" ht="20.100000000000001" customHeight="1" x14ac:dyDescent="0.2">
      <c r="F213" s="39">
        <f>(TAN(RADIANS(45+I40/2)))^2*$D$36*$E$16^2/2/10</f>
        <v>14.121743315093502</v>
      </c>
      <c r="G213" s="30" t="s">
        <v>72</v>
      </c>
    </row>
    <row r="215" spans="1:11" ht="20.100000000000001" customHeight="1" x14ac:dyDescent="0.2">
      <c r="B215" s="158" t="s">
        <v>326</v>
      </c>
      <c r="C215" s="30" t="s">
        <v>126</v>
      </c>
    </row>
    <row r="216" spans="1:11" ht="20.100000000000001" customHeight="1" x14ac:dyDescent="0.2">
      <c r="C216" s="30" t="s">
        <v>327</v>
      </c>
      <c r="F216" s="39">
        <f>(D58*TAN(RADIANS(I40))+F38/10)*H49*D49</f>
        <v>18.661072953824263</v>
      </c>
      <c r="G216" s="30" t="s">
        <v>5</v>
      </c>
    </row>
    <row r="217" spans="1:11" ht="20.100000000000001" customHeight="1" x14ac:dyDescent="0.2">
      <c r="D217" s="30" t="s">
        <v>127</v>
      </c>
      <c r="F217" s="85">
        <f>E208/E209</f>
        <v>9.5218124518479605</v>
      </c>
      <c r="G217" s="81" t="str">
        <f>IF(K217,"&gt;","&lt;")</f>
        <v>&gt;</v>
      </c>
      <c r="H217" s="65">
        <v>1.2</v>
      </c>
      <c r="I217" s="157" t="str">
        <f>"→"&amp;IF(K217,"An toàn.")</f>
        <v>→An toàn.</v>
      </c>
      <c r="K217" s="30" t="b">
        <f>F217&gt;=H217</f>
        <v>1</v>
      </c>
    </row>
  </sheetData>
  <dataValidations disablePrompts="1" count="3">
    <dataValidation type="list" allowBlank="1" showInputMessage="1" showErrorMessage="1" sqref="E85 E140">
      <formula1>"băng,chữ nhật,tròn"</formula1>
    </dataValidation>
    <dataValidation type="list" allowBlank="1" showInputMessage="1" showErrorMessage="1" sqref="D173">
      <formula1>$M$174:$P$174</formula1>
    </dataValidation>
    <dataValidation type="list" allowBlank="1" showInputMessage="1" showErrorMessage="1" sqref="D161">
      <formula1>$M$162:$S$162</formula1>
    </dataValidation>
  </dataValidations>
  <pageMargins left="0.70866141732283505" right="0.31496062992126" top="1" bottom="0.9" header="0" footer="0.118110236220472"/>
  <pageSetup paperSize="9" scale="77" orientation="portrait" r:id="rId1"/>
  <rowBreaks count="2" manualBreakCount="2">
    <brk id="84" max="9" man="1"/>
    <brk id="171" max="9" man="1"/>
  </row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'Joint Reactions'!$O:$O</xm:f>
          </x14:formula1>
          <xm:sqref>E2</xm:sqref>
        </x14:dataValidation>
        <x14:dataValidation type="list" allowBlank="1" showInputMessage="1" showErrorMessage="1">
          <x14:formula1>
            <xm:f>'Joint Reactions'!$J$2:$K$2</xm:f>
          </x14:formula1>
          <xm:sqref>K2:K3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5555"/>
  <sheetViews>
    <sheetView workbookViewId="0">
      <selection activeCell="B10" sqref="B10"/>
    </sheetView>
  </sheetViews>
  <sheetFormatPr defaultRowHeight="14.25" x14ac:dyDescent="0.2"/>
  <cols>
    <col min="5" max="5" width="11.625" bestFit="1" customWidth="1"/>
    <col min="6" max="6" width="14.875" bestFit="1" customWidth="1"/>
    <col min="15" max="15" width="13.125" bestFit="1" customWidth="1"/>
    <col min="16" max="16" width="9.375" bestFit="1" customWidth="1"/>
    <col min="17" max="17" width="9.625" bestFit="1" customWidth="1"/>
    <col min="18" max="18" width="9.25" bestFit="1" customWidth="1"/>
    <col min="19" max="19" width="9.625" bestFit="1" customWidth="1"/>
    <col min="20" max="20" width="9.25" bestFit="1" customWidth="1"/>
    <col min="21" max="21" width="3.875" bestFit="1" customWidth="1"/>
    <col min="22" max="22" width="5.875" bestFit="1" customWidth="1"/>
    <col min="23" max="23" width="3.875" bestFit="1" customWidth="1"/>
    <col min="24" max="28" width="5.875" bestFit="1" customWidth="1"/>
    <col min="29" max="29" width="3.875" bestFit="1" customWidth="1"/>
    <col min="30" max="47" width="5.875" bestFit="1" customWidth="1"/>
    <col min="48" max="49" width="3.875" bestFit="1" customWidth="1"/>
    <col min="50" max="71" width="5.875" bestFit="1" customWidth="1"/>
    <col min="72" max="72" width="3.875" bestFit="1" customWidth="1"/>
    <col min="73" max="75" width="5.875" bestFit="1" customWidth="1"/>
    <col min="76" max="76" width="3.875" bestFit="1" customWidth="1"/>
    <col min="77" max="77" width="5.875" bestFit="1" customWidth="1"/>
    <col min="78" max="78" width="3.875" bestFit="1" customWidth="1"/>
    <col min="79" max="81" width="5.875" bestFit="1" customWidth="1"/>
    <col min="82" max="82" width="3.875" bestFit="1" customWidth="1"/>
    <col min="83" max="96" width="5.875" bestFit="1" customWidth="1"/>
    <col min="97" max="97" width="3.875" bestFit="1" customWidth="1"/>
    <col min="98" max="98" width="5.875" bestFit="1" customWidth="1"/>
    <col min="99" max="99" width="3.875" bestFit="1" customWidth="1"/>
    <col min="100" max="102" width="5.875" bestFit="1" customWidth="1"/>
    <col min="103" max="103" width="3.875" bestFit="1" customWidth="1"/>
    <col min="104" max="113" width="5.875" bestFit="1" customWidth="1"/>
    <col min="114" max="115" width="3.875" bestFit="1" customWidth="1"/>
    <col min="116" max="117" width="5.875" bestFit="1" customWidth="1"/>
    <col min="118" max="118" width="3.25" bestFit="1" customWidth="1"/>
    <col min="119" max="119" width="6.875" bestFit="1" customWidth="1"/>
    <col min="120" max="120" width="11.375" bestFit="1" customWidth="1"/>
  </cols>
  <sheetData>
    <row r="1" spans="1:20" ht="15" x14ac:dyDescent="0.25">
      <c r="C1" s="3" t="s">
        <v>165</v>
      </c>
      <c r="D1" s="4"/>
      <c r="E1" s="4"/>
      <c r="F1" s="4"/>
      <c r="G1" s="4"/>
      <c r="H1" s="4"/>
      <c r="I1" s="4"/>
      <c r="J1" s="4"/>
      <c r="K1" s="4"/>
      <c r="L1" s="4"/>
    </row>
    <row r="2" spans="1:20" ht="15" x14ac:dyDescent="0.25">
      <c r="C2" s="5" t="s">
        <v>136</v>
      </c>
      <c r="D2" s="5" t="s">
        <v>166</v>
      </c>
      <c r="E2" s="5" t="s">
        <v>167</v>
      </c>
      <c r="F2" s="5" t="s">
        <v>168</v>
      </c>
      <c r="G2" s="5" t="s">
        <v>137</v>
      </c>
      <c r="H2" s="5" t="s">
        <v>138</v>
      </c>
      <c r="I2" s="5" t="s">
        <v>139</v>
      </c>
      <c r="J2" s="5" t="s">
        <v>140</v>
      </c>
      <c r="K2" s="5" t="s">
        <v>141</v>
      </c>
      <c r="L2" s="6" t="s">
        <v>142</v>
      </c>
    </row>
    <row r="3" spans="1:20" ht="15" x14ac:dyDescent="0.25">
      <c r="C3" s="7"/>
      <c r="D3" s="7"/>
      <c r="E3" s="7"/>
      <c r="F3" s="7"/>
      <c r="G3" s="7" t="s">
        <v>169</v>
      </c>
      <c r="H3" s="7" t="s">
        <v>169</v>
      </c>
      <c r="I3" s="7" t="s">
        <v>169</v>
      </c>
      <c r="J3" s="7" t="s">
        <v>170</v>
      </c>
      <c r="K3" s="7" t="s">
        <v>170</v>
      </c>
      <c r="L3" s="8" t="s">
        <v>170</v>
      </c>
    </row>
    <row r="4" spans="1:20" x14ac:dyDescent="0.2">
      <c r="A4" t="str">
        <f>D4&amp;F4</f>
        <v>13COMB1</v>
      </c>
      <c r="B4" t="str">
        <f>D4&amp;I4</f>
        <v>13159.7</v>
      </c>
      <c r="C4" s="12" t="s">
        <v>171</v>
      </c>
      <c r="D4" s="12">
        <v>13</v>
      </c>
      <c r="E4" s="12">
        <v>118</v>
      </c>
      <c r="F4" s="12" t="s">
        <v>143</v>
      </c>
      <c r="G4" s="12">
        <v>0</v>
      </c>
      <c r="H4" s="12">
        <v>0</v>
      </c>
      <c r="I4" s="12">
        <v>159.69999999999999</v>
      </c>
      <c r="J4" s="12">
        <v>-0.8</v>
      </c>
      <c r="K4" s="12">
        <v>1.3</v>
      </c>
      <c r="L4" s="12">
        <v>0</v>
      </c>
    </row>
    <row r="5" spans="1:20" x14ac:dyDescent="0.2">
      <c r="A5" t="str">
        <f t="shared" ref="A5:A59" si="0">D5&amp;F5</f>
        <v>13COMB2</v>
      </c>
      <c r="B5" t="str">
        <f t="shared" ref="B5:B59" si="1">D5&amp;I5</f>
        <v>13151.5</v>
      </c>
      <c r="C5" s="12" t="s">
        <v>171</v>
      </c>
      <c r="D5" s="12">
        <v>13</v>
      </c>
      <c r="E5" s="12">
        <v>118</v>
      </c>
      <c r="F5" s="12" t="s">
        <v>144</v>
      </c>
      <c r="G5" s="12">
        <v>0</v>
      </c>
      <c r="H5" s="12">
        <v>0</v>
      </c>
      <c r="I5" s="12">
        <v>151.5</v>
      </c>
      <c r="J5" s="12">
        <v>-1.3</v>
      </c>
      <c r="K5" s="12">
        <v>-2.7</v>
      </c>
      <c r="L5" s="12">
        <v>0</v>
      </c>
    </row>
    <row r="6" spans="1:20" x14ac:dyDescent="0.2">
      <c r="A6" t="str">
        <f t="shared" si="0"/>
        <v>13COMB3</v>
      </c>
      <c r="B6" t="str">
        <f t="shared" si="1"/>
        <v>13165.2</v>
      </c>
      <c r="C6" s="12" t="s">
        <v>171</v>
      </c>
      <c r="D6" s="12">
        <v>13</v>
      </c>
      <c r="E6" s="12">
        <v>118</v>
      </c>
      <c r="F6" s="12" t="s">
        <v>145</v>
      </c>
      <c r="G6" s="12">
        <v>6.7</v>
      </c>
      <c r="H6" s="12">
        <v>0</v>
      </c>
      <c r="I6" s="12">
        <v>165.2</v>
      </c>
      <c r="J6" s="12">
        <v>-0.4</v>
      </c>
      <c r="K6" s="12">
        <v>5.3</v>
      </c>
      <c r="L6" s="12">
        <v>0</v>
      </c>
      <c r="O6" s="9" t="s">
        <v>176</v>
      </c>
      <c r="P6" t="s">
        <v>179</v>
      </c>
      <c r="Q6" t="s">
        <v>180</v>
      </c>
      <c r="R6" t="s">
        <v>182</v>
      </c>
      <c r="S6" t="s">
        <v>181</v>
      </c>
      <c r="T6" t="s">
        <v>183</v>
      </c>
    </row>
    <row r="7" spans="1:20" x14ac:dyDescent="0.2">
      <c r="A7" t="str">
        <f t="shared" si="0"/>
        <v>13COMB4</v>
      </c>
      <c r="B7" t="str">
        <f t="shared" si="1"/>
        <v>13151.6</v>
      </c>
      <c r="C7" s="12" t="s">
        <v>171</v>
      </c>
      <c r="D7" s="12">
        <v>13</v>
      </c>
      <c r="E7" s="12">
        <v>118</v>
      </c>
      <c r="F7" s="12" t="s">
        <v>146</v>
      </c>
      <c r="G7" s="12">
        <v>0</v>
      </c>
      <c r="H7" s="12">
        <v>0</v>
      </c>
      <c r="I7" s="12">
        <v>151.6</v>
      </c>
      <c r="J7" s="12">
        <v>2.6</v>
      </c>
      <c r="K7" s="12">
        <v>1</v>
      </c>
      <c r="L7" s="12">
        <v>0</v>
      </c>
      <c r="O7" s="10">
        <v>13</v>
      </c>
      <c r="P7" s="11">
        <v>165.6</v>
      </c>
      <c r="Q7" s="11">
        <v>7.1</v>
      </c>
      <c r="R7" s="11">
        <v>0</v>
      </c>
      <c r="S7" s="11">
        <v>5.0999999999999996</v>
      </c>
      <c r="T7" s="11">
        <v>0</v>
      </c>
    </row>
    <row r="8" spans="1:20" x14ac:dyDescent="0.2">
      <c r="A8" t="str">
        <f t="shared" si="0"/>
        <v>13COMB5</v>
      </c>
      <c r="B8" t="str">
        <f t="shared" si="1"/>
        <v>13165.6</v>
      </c>
      <c r="C8" s="12" t="s">
        <v>171</v>
      </c>
      <c r="D8" s="12">
        <v>13</v>
      </c>
      <c r="E8" s="12">
        <v>118</v>
      </c>
      <c r="F8" s="12" t="s">
        <v>147</v>
      </c>
      <c r="G8" s="12">
        <v>0</v>
      </c>
      <c r="H8" s="12">
        <v>0</v>
      </c>
      <c r="I8" s="12">
        <v>165.6</v>
      </c>
      <c r="J8" s="12">
        <v>-4.3</v>
      </c>
      <c r="K8" s="12">
        <v>1.5</v>
      </c>
      <c r="L8" s="12">
        <v>0</v>
      </c>
      <c r="O8" s="10" t="s">
        <v>177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</row>
    <row r="9" spans="1:20" x14ac:dyDescent="0.2">
      <c r="A9" t="str">
        <f t="shared" si="0"/>
        <v>13COMB6</v>
      </c>
      <c r="B9" t="str">
        <f t="shared" si="1"/>
        <v>13140.2</v>
      </c>
      <c r="C9" s="12" t="s">
        <v>171</v>
      </c>
      <c r="D9" s="12">
        <v>13</v>
      </c>
      <c r="E9" s="12">
        <v>118</v>
      </c>
      <c r="F9" s="12" t="s">
        <v>172</v>
      </c>
      <c r="G9" s="12">
        <v>0</v>
      </c>
      <c r="H9" s="12">
        <v>0</v>
      </c>
      <c r="I9" s="12">
        <v>140.19999999999999</v>
      </c>
      <c r="J9" s="12">
        <v>-1.3</v>
      </c>
      <c r="K9" s="12">
        <v>-3.2</v>
      </c>
      <c r="L9" s="12">
        <v>0</v>
      </c>
      <c r="O9" s="10">
        <v>18</v>
      </c>
      <c r="P9" s="11">
        <v>171.8</v>
      </c>
      <c r="Q9" s="11">
        <v>0</v>
      </c>
      <c r="R9" s="11">
        <v>-8</v>
      </c>
      <c r="S9" s="11">
        <v>5.4</v>
      </c>
      <c r="T9" s="11">
        <v>0</v>
      </c>
    </row>
    <row r="10" spans="1:20" x14ac:dyDescent="0.2">
      <c r="A10" t="str">
        <f t="shared" si="0"/>
        <v>13COMB7</v>
      </c>
      <c r="B10" t="str">
        <f t="shared" si="1"/>
        <v>13155.4</v>
      </c>
      <c r="C10" s="12" t="s">
        <v>171</v>
      </c>
      <c r="D10" s="12">
        <v>13</v>
      </c>
      <c r="E10" s="12">
        <v>118</v>
      </c>
      <c r="F10" s="12" t="s">
        <v>173</v>
      </c>
      <c r="G10" s="12">
        <v>7.1</v>
      </c>
      <c r="H10" s="12">
        <v>0</v>
      </c>
      <c r="I10" s="12">
        <v>155.4</v>
      </c>
      <c r="J10" s="12">
        <v>-0.3</v>
      </c>
      <c r="K10" s="12">
        <v>5.7</v>
      </c>
      <c r="L10" s="12">
        <v>0</v>
      </c>
      <c r="O10" s="10">
        <v>56</v>
      </c>
      <c r="P10" s="11">
        <v>219.2</v>
      </c>
      <c r="Q10" s="11">
        <v>6.6</v>
      </c>
      <c r="R10" s="11">
        <v>0</v>
      </c>
      <c r="S10" s="11">
        <v>7.2</v>
      </c>
      <c r="T10" s="11">
        <v>0</v>
      </c>
    </row>
    <row r="11" spans="1:20" x14ac:dyDescent="0.2">
      <c r="A11" t="str">
        <f t="shared" si="0"/>
        <v>13COMB8</v>
      </c>
      <c r="B11" t="str">
        <f t="shared" si="1"/>
        <v>13140.3</v>
      </c>
      <c r="C11" s="12" t="s">
        <v>171</v>
      </c>
      <c r="D11" s="12">
        <v>13</v>
      </c>
      <c r="E11" s="12">
        <v>118</v>
      </c>
      <c r="F11" s="12" t="s">
        <v>174</v>
      </c>
      <c r="G11" s="12">
        <v>0</v>
      </c>
      <c r="H11" s="12">
        <v>0</v>
      </c>
      <c r="I11" s="12">
        <v>140.30000000000001</v>
      </c>
      <c r="J11" s="12">
        <v>3</v>
      </c>
      <c r="K11" s="12">
        <v>1</v>
      </c>
      <c r="L11" s="12">
        <v>0</v>
      </c>
      <c r="O11" s="10">
        <v>61</v>
      </c>
      <c r="P11" s="11">
        <v>397.4</v>
      </c>
      <c r="Q11" s="11">
        <v>0</v>
      </c>
      <c r="R11" s="11">
        <v>-5.7</v>
      </c>
      <c r="S11" s="11">
        <v>7</v>
      </c>
      <c r="T11" s="11">
        <v>0</v>
      </c>
    </row>
    <row r="12" spans="1:20" x14ac:dyDescent="0.2">
      <c r="A12" t="str">
        <f t="shared" si="0"/>
        <v>13COMB9</v>
      </c>
      <c r="B12" t="str">
        <f t="shared" si="1"/>
        <v>13155.8</v>
      </c>
      <c r="C12" s="12" t="s">
        <v>171</v>
      </c>
      <c r="D12" s="12">
        <v>13</v>
      </c>
      <c r="E12" s="12">
        <v>118</v>
      </c>
      <c r="F12" s="12" t="s">
        <v>175</v>
      </c>
      <c r="G12" s="12">
        <v>0</v>
      </c>
      <c r="H12" s="12">
        <v>5.0999999999999996</v>
      </c>
      <c r="I12" s="12">
        <v>155.80000000000001</v>
      </c>
      <c r="J12" s="12">
        <v>-4.7</v>
      </c>
      <c r="K12" s="12">
        <v>1.6</v>
      </c>
      <c r="L12" s="12">
        <v>0</v>
      </c>
      <c r="O12" s="10">
        <v>67</v>
      </c>
      <c r="P12" s="11">
        <v>437.2</v>
      </c>
      <c r="Q12" s="11">
        <v>8.6</v>
      </c>
      <c r="R12" s="11">
        <v>-8.8000000000000007</v>
      </c>
      <c r="S12" s="11">
        <v>53.7</v>
      </c>
      <c r="T12" s="11">
        <v>13.1</v>
      </c>
    </row>
    <row r="13" spans="1:20" x14ac:dyDescent="0.2">
      <c r="A13" t="str">
        <f t="shared" si="0"/>
        <v>18COMB1</v>
      </c>
      <c r="B13" t="str">
        <f t="shared" si="1"/>
        <v>18165.3</v>
      </c>
      <c r="C13" s="12" t="s">
        <v>171</v>
      </c>
      <c r="D13" s="12">
        <v>18</v>
      </c>
      <c r="E13" s="12">
        <v>119</v>
      </c>
      <c r="F13" s="12" t="s">
        <v>143</v>
      </c>
      <c r="G13" s="12">
        <v>0</v>
      </c>
      <c r="H13" s="12">
        <v>0</v>
      </c>
      <c r="I13" s="12">
        <v>165.3</v>
      </c>
      <c r="J13" s="12">
        <v>-0.7</v>
      </c>
      <c r="K13" s="12">
        <v>-2.1</v>
      </c>
      <c r="L13" s="12">
        <v>0</v>
      </c>
      <c r="O13" s="10">
        <v>72</v>
      </c>
      <c r="P13" s="11">
        <v>272.8</v>
      </c>
      <c r="Q13" s="11">
        <v>0</v>
      </c>
      <c r="R13" s="11">
        <v>-6</v>
      </c>
      <c r="S13" s="11">
        <v>13.7</v>
      </c>
      <c r="T13" s="11">
        <v>0</v>
      </c>
    </row>
    <row r="14" spans="1:20" x14ac:dyDescent="0.2">
      <c r="A14" t="str">
        <f t="shared" si="0"/>
        <v>18COMB2</v>
      </c>
      <c r="B14" t="str">
        <f t="shared" si="1"/>
        <v>18171.8</v>
      </c>
      <c r="C14" s="12" t="s">
        <v>171</v>
      </c>
      <c r="D14" s="12">
        <v>18</v>
      </c>
      <c r="E14" s="12">
        <v>119</v>
      </c>
      <c r="F14" s="12" t="s">
        <v>144</v>
      </c>
      <c r="G14" s="12">
        <v>-7.6</v>
      </c>
      <c r="H14" s="12">
        <v>0</v>
      </c>
      <c r="I14" s="12">
        <v>171.8</v>
      </c>
      <c r="J14" s="12">
        <v>-0.8</v>
      </c>
      <c r="K14" s="12">
        <v>-6.2</v>
      </c>
      <c r="L14" s="12">
        <v>0</v>
      </c>
      <c r="O14" s="10">
        <v>119</v>
      </c>
      <c r="P14" s="11">
        <v>192</v>
      </c>
      <c r="Q14" s="11">
        <v>7.3</v>
      </c>
      <c r="R14" s="11">
        <v>0</v>
      </c>
      <c r="S14" s="11">
        <v>0</v>
      </c>
      <c r="T14" s="11">
        <v>-7.3</v>
      </c>
    </row>
    <row r="15" spans="1:20" x14ac:dyDescent="0.2">
      <c r="A15" t="str">
        <f t="shared" si="0"/>
        <v>18COMB3</v>
      </c>
      <c r="B15" t="str">
        <f t="shared" si="1"/>
        <v>18156</v>
      </c>
      <c r="C15" s="12" t="s">
        <v>171</v>
      </c>
      <c r="D15" s="12">
        <v>18</v>
      </c>
      <c r="E15" s="12">
        <v>119</v>
      </c>
      <c r="F15" s="12" t="s">
        <v>145</v>
      </c>
      <c r="G15" s="12">
        <v>0</v>
      </c>
      <c r="H15" s="12">
        <v>0</v>
      </c>
      <c r="I15" s="12">
        <v>156</v>
      </c>
      <c r="J15" s="12">
        <v>-0.5</v>
      </c>
      <c r="K15" s="12">
        <v>2</v>
      </c>
      <c r="L15" s="12">
        <v>0</v>
      </c>
      <c r="O15" s="10">
        <v>124</v>
      </c>
      <c r="P15" s="11">
        <v>316.2</v>
      </c>
      <c r="Q15" s="11">
        <v>0</v>
      </c>
      <c r="R15" s="11">
        <v>-6.3</v>
      </c>
      <c r="S15" s="11">
        <v>0</v>
      </c>
      <c r="T15" s="11">
        <v>-6.7</v>
      </c>
    </row>
    <row r="16" spans="1:20" x14ac:dyDescent="0.2">
      <c r="A16" t="str">
        <f t="shared" si="0"/>
        <v>18COMB4</v>
      </c>
      <c r="B16" t="str">
        <f t="shared" si="1"/>
        <v>18157.7</v>
      </c>
      <c r="C16" s="12" t="s">
        <v>171</v>
      </c>
      <c r="D16" s="12">
        <v>18</v>
      </c>
      <c r="E16" s="12">
        <v>119</v>
      </c>
      <c r="F16" s="12" t="s">
        <v>146</v>
      </c>
      <c r="G16" s="12">
        <v>0</v>
      </c>
      <c r="H16" s="12">
        <v>0</v>
      </c>
      <c r="I16" s="12">
        <v>157.69999999999999</v>
      </c>
      <c r="J16" s="12">
        <v>3.1</v>
      </c>
      <c r="K16" s="12">
        <v>-2.4</v>
      </c>
      <c r="L16" s="12">
        <v>0</v>
      </c>
      <c r="O16" s="10">
        <v>153</v>
      </c>
      <c r="P16" s="11">
        <v>123.5</v>
      </c>
      <c r="Q16" s="11">
        <v>0</v>
      </c>
      <c r="R16" s="11">
        <v>0</v>
      </c>
      <c r="S16" s="11">
        <v>0</v>
      </c>
      <c r="T16" s="11">
        <v>-6.4</v>
      </c>
    </row>
    <row r="17" spans="1:20" x14ac:dyDescent="0.2">
      <c r="A17" t="str">
        <f t="shared" si="0"/>
        <v>18COMB5</v>
      </c>
      <c r="B17" t="str">
        <f t="shared" si="1"/>
        <v>18170.5</v>
      </c>
      <c r="C17" s="12" t="s">
        <v>171</v>
      </c>
      <c r="D17" s="12">
        <v>18</v>
      </c>
      <c r="E17" s="12">
        <v>119</v>
      </c>
      <c r="F17" s="12" t="s">
        <v>147</v>
      </c>
      <c r="G17" s="12">
        <v>0</v>
      </c>
      <c r="H17" s="12">
        <v>0</v>
      </c>
      <c r="I17" s="12">
        <v>170.5</v>
      </c>
      <c r="J17" s="12">
        <v>-4.4000000000000004</v>
      </c>
      <c r="K17" s="12">
        <v>-1.8</v>
      </c>
      <c r="L17" s="12">
        <v>0</v>
      </c>
      <c r="O17" s="10">
        <v>155</v>
      </c>
      <c r="P17" s="11">
        <v>234.4</v>
      </c>
      <c r="Q17" s="11">
        <v>5.3</v>
      </c>
      <c r="R17" s="11">
        <v>0</v>
      </c>
      <c r="S17" s="11">
        <v>0</v>
      </c>
      <c r="T17" s="11">
        <v>0</v>
      </c>
    </row>
    <row r="18" spans="1:20" x14ac:dyDescent="0.2">
      <c r="A18" t="str">
        <f t="shared" si="0"/>
        <v>18COMB6</v>
      </c>
      <c r="B18" t="str">
        <f t="shared" si="1"/>
        <v>18161.8</v>
      </c>
      <c r="C18" s="12" t="s">
        <v>171</v>
      </c>
      <c r="D18" s="12">
        <v>18</v>
      </c>
      <c r="E18" s="12">
        <v>119</v>
      </c>
      <c r="F18" s="12" t="s">
        <v>172</v>
      </c>
      <c r="G18" s="12">
        <v>-8</v>
      </c>
      <c r="H18" s="12">
        <v>0</v>
      </c>
      <c r="I18" s="12">
        <v>161.80000000000001</v>
      </c>
      <c r="J18" s="12">
        <v>-0.8</v>
      </c>
      <c r="K18" s="12">
        <v>-6.6</v>
      </c>
      <c r="L18" s="12">
        <v>0</v>
      </c>
      <c r="O18" s="10">
        <v>160</v>
      </c>
      <c r="P18" s="11">
        <v>447</v>
      </c>
      <c r="Q18" s="11">
        <v>6.6</v>
      </c>
      <c r="R18" s="11">
        <v>-8.6999999999999993</v>
      </c>
      <c r="S18" s="11">
        <v>-12</v>
      </c>
      <c r="T18" s="11">
        <v>-52.4</v>
      </c>
    </row>
    <row r="19" spans="1:20" x14ac:dyDescent="0.2">
      <c r="A19" t="str">
        <f t="shared" si="0"/>
        <v>18COMB7</v>
      </c>
      <c r="B19" t="str">
        <f t="shared" si="1"/>
        <v>18144.3</v>
      </c>
      <c r="C19" s="12" t="s">
        <v>171</v>
      </c>
      <c r="D19" s="12">
        <v>18</v>
      </c>
      <c r="E19" s="12">
        <v>119</v>
      </c>
      <c r="F19" s="12" t="s">
        <v>173</v>
      </c>
      <c r="G19" s="12">
        <v>0</v>
      </c>
      <c r="H19" s="12">
        <v>0</v>
      </c>
      <c r="I19" s="12">
        <v>144.30000000000001</v>
      </c>
      <c r="J19" s="12">
        <v>-0.5</v>
      </c>
      <c r="K19" s="12">
        <v>2.4</v>
      </c>
      <c r="L19" s="12">
        <v>0</v>
      </c>
      <c r="O19" s="10">
        <v>165</v>
      </c>
      <c r="P19" s="11">
        <v>281.89999999999998</v>
      </c>
      <c r="Q19" s="11">
        <v>0</v>
      </c>
      <c r="R19" s="11">
        <v>0</v>
      </c>
      <c r="S19" s="11">
        <v>0</v>
      </c>
      <c r="T19" s="11">
        <v>-14.3</v>
      </c>
    </row>
    <row r="20" spans="1:20" x14ac:dyDescent="0.2">
      <c r="A20" t="str">
        <f t="shared" si="0"/>
        <v>18COMB8</v>
      </c>
      <c r="B20" t="str">
        <f t="shared" si="1"/>
        <v>18146.2</v>
      </c>
      <c r="C20" s="12" t="s">
        <v>171</v>
      </c>
      <c r="D20" s="12">
        <v>18</v>
      </c>
      <c r="E20" s="12">
        <v>119</v>
      </c>
      <c r="F20" s="12" t="s">
        <v>174</v>
      </c>
      <c r="G20" s="12">
        <v>0</v>
      </c>
      <c r="H20" s="12">
        <v>0</v>
      </c>
      <c r="I20" s="12">
        <v>146.19999999999999</v>
      </c>
      <c r="J20" s="12">
        <v>3.5</v>
      </c>
      <c r="K20" s="12">
        <v>-2.4</v>
      </c>
      <c r="L20" s="12">
        <v>0</v>
      </c>
      <c r="O20" s="10" t="s">
        <v>178</v>
      </c>
      <c r="P20" s="11">
        <v>447</v>
      </c>
      <c r="Q20" s="11">
        <v>8.6</v>
      </c>
      <c r="R20" s="11">
        <v>-8.8000000000000007</v>
      </c>
      <c r="S20" s="11">
        <v>53.7</v>
      </c>
      <c r="T20" s="11">
        <v>-52.4</v>
      </c>
    </row>
    <row r="21" spans="1:20" x14ac:dyDescent="0.2">
      <c r="A21" t="str">
        <f t="shared" si="0"/>
        <v>18COMB9</v>
      </c>
      <c r="B21" t="str">
        <f t="shared" si="1"/>
        <v>18160.4</v>
      </c>
      <c r="C21" s="12" t="s">
        <v>171</v>
      </c>
      <c r="D21" s="12">
        <v>18</v>
      </c>
      <c r="E21" s="12">
        <v>119</v>
      </c>
      <c r="F21" s="12" t="s">
        <v>175</v>
      </c>
      <c r="G21" s="12">
        <v>0</v>
      </c>
      <c r="H21" s="12">
        <v>5.4</v>
      </c>
      <c r="I21" s="12">
        <v>160.4</v>
      </c>
      <c r="J21" s="12">
        <v>-4.8</v>
      </c>
      <c r="K21" s="12">
        <v>-1.8</v>
      </c>
      <c r="L21" s="12">
        <v>0</v>
      </c>
    </row>
    <row r="22" spans="1:20" x14ac:dyDescent="0.2">
      <c r="A22" t="str">
        <f t="shared" si="0"/>
        <v>56COMB1</v>
      </c>
      <c r="B22" t="str">
        <f t="shared" si="1"/>
        <v>56214.5</v>
      </c>
      <c r="C22" s="12" t="s">
        <v>171</v>
      </c>
      <c r="D22" s="12">
        <v>56</v>
      </c>
      <c r="E22" s="12">
        <v>111</v>
      </c>
      <c r="F22" s="12" t="s">
        <v>143</v>
      </c>
      <c r="G22" s="12">
        <v>0</v>
      </c>
      <c r="H22" s="12">
        <v>0</v>
      </c>
      <c r="I22" s="12">
        <v>214.5</v>
      </c>
      <c r="J22" s="12">
        <v>-1.7</v>
      </c>
      <c r="K22" s="12">
        <v>1.3</v>
      </c>
      <c r="L22" s="12">
        <v>0</v>
      </c>
    </row>
    <row r="23" spans="1:20" x14ac:dyDescent="0.2">
      <c r="A23" t="str">
        <f t="shared" si="0"/>
        <v>56COMB2</v>
      </c>
      <c r="B23" t="str">
        <f t="shared" si="1"/>
        <v>56208.2</v>
      </c>
      <c r="C23" s="12" t="s">
        <v>171</v>
      </c>
      <c r="D23" s="12">
        <v>56</v>
      </c>
      <c r="E23" s="12">
        <v>111</v>
      </c>
      <c r="F23" s="12" t="s">
        <v>144</v>
      </c>
      <c r="G23" s="12">
        <v>0</v>
      </c>
      <c r="H23" s="12">
        <v>0</v>
      </c>
      <c r="I23" s="12">
        <v>208.2</v>
      </c>
      <c r="J23" s="12">
        <v>-2.2000000000000002</v>
      </c>
      <c r="K23" s="12">
        <v>-2.4</v>
      </c>
      <c r="L23" s="12">
        <v>0</v>
      </c>
    </row>
    <row r="24" spans="1:20" x14ac:dyDescent="0.2">
      <c r="A24" t="str">
        <f t="shared" si="0"/>
        <v>56COMB3</v>
      </c>
      <c r="B24" t="str">
        <f t="shared" si="1"/>
        <v>56219.2</v>
      </c>
      <c r="C24" s="12" t="s">
        <v>171</v>
      </c>
      <c r="D24" s="12">
        <v>56</v>
      </c>
      <c r="E24" s="12">
        <v>111</v>
      </c>
      <c r="F24" s="12" t="s">
        <v>145</v>
      </c>
      <c r="G24" s="12">
        <v>6.2</v>
      </c>
      <c r="H24" s="12">
        <v>0</v>
      </c>
      <c r="I24" s="12">
        <v>219.2</v>
      </c>
      <c r="J24" s="12">
        <v>-1.2</v>
      </c>
      <c r="K24" s="12">
        <v>5</v>
      </c>
      <c r="L24" s="12">
        <v>0</v>
      </c>
    </row>
    <row r="25" spans="1:20" x14ac:dyDescent="0.2">
      <c r="A25" t="str">
        <f t="shared" si="0"/>
        <v>56COMB4</v>
      </c>
      <c r="B25" t="str">
        <f t="shared" si="1"/>
        <v>56214.4</v>
      </c>
      <c r="C25" s="12" t="s">
        <v>171</v>
      </c>
      <c r="D25" s="12">
        <v>56</v>
      </c>
      <c r="E25" s="12">
        <v>111</v>
      </c>
      <c r="F25" s="12" t="s">
        <v>146</v>
      </c>
      <c r="G25" s="12">
        <v>0</v>
      </c>
      <c r="H25" s="12">
        <v>0</v>
      </c>
      <c r="I25" s="12">
        <v>214.4</v>
      </c>
      <c r="J25" s="12">
        <v>2.1</v>
      </c>
      <c r="K25" s="12">
        <v>1.2</v>
      </c>
      <c r="L25" s="12">
        <v>0</v>
      </c>
    </row>
    <row r="26" spans="1:20" x14ac:dyDescent="0.2">
      <c r="A26" t="str">
        <f t="shared" si="0"/>
        <v>56COMB5</v>
      </c>
      <c r="B26" t="str">
        <f t="shared" si="1"/>
        <v>56212.4</v>
      </c>
      <c r="C26" s="12" t="s">
        <v>171</v>
      </c>
      <c r="D26" s="12">
        <v>56</v>
      </c>
      <c r="E26" s="12">
        <v>111</v>
      </c>
      <c r="F26" s="12" t="s">
        <v>147</v>
      </c>
      <c r="G26" s="12">
        <v>0</v>
      </c>
      <c r="H26" s="12">
        <v>6.7</v>
      </c>
      <c r="I26" s="12">
        <v>212.4</v>
      </c>
      <c r="J26" s="12">
        <v>-5.5</v>
      </c>
      <c r="K26" s="12">
        <v>1.4</v>
      </c>
      <c r="L26" s="12">
        <v>0</v>
      </c>
    </row>
    <row r="27" spans="1:20" x14ac:dyDescent="0.2">
      <c r="A27" t="str">
        <f t="shared" si="0"/>
        <v>56COMB6</v>
      </c>
      <c r="B27" t="str">
        <f t="shared" si="1"/>
        <v>56198.1</v>
      </c>
      <c r="C27" s="12" t="s">
        <v>171</v>
      </c>
      <c r="D27" s="12">
        <v>56</v>
      </c>
      <c r="E27" s="12">
        <v>111</v>
      </c>
      <c r="F27" s="12" t="s">
        <v>172</v>
      </c>
      <c r="G27" s="12">
        <v>0</v>
      </c>
      <c r="H27" s="12">
        <v>0</v>
      </c>
      <c r="I27" s="12">
        <v>198.1</v>
      </c>
      <c r="J27" s="12">
        <v>-2.2000000000000002</v>
      </c>
      <c r="K27" s="12">
        <v>-2.8</v>
      </c>
      <c r="L27" s="12">
        <v>0</v>
      </c>
    </row>
    <row r="28" spans="1:20" x14ac:dyDescent="0.2">
      <c r="A28" t="str">
        <f t="shared" si="0"/>
        <v>56COMB7</v>
      </c>
      <c r="B28" t="str">
        <f t="shared" si="1"/>
        <v>56210.2</v>
      </c>
      <c r="C28" s="12" t="s">
        <v>171</v>
      </c>
      <c r="D28" s="12">
        <v>56</v>
      </c>
      <c r="E28" s="12">
        <v>111</v>
      </c>
      <c r="F28" s="12" t="s">
        <v>173</v>
      </c>
      <c r="G28" s="12">
        <v>6.6</v>
      </c>
      <c r="H28" s="12">
        <v>0</v>
      </c>
      <c r="I28" s="12">
        <v>210.2</v>
      </c>
      <c r="J28" s="12">
        <v>-1.1000000000000001</v>
      </c>
      <c r="K28" s="12">
        <v>5.4</v>
      </c>
      <c r="L28" s="12">
        <v>0</v>
      </c>
    </row>
    <row r="29" spans="1:20" x14ac:dyDescent="0.2">
      <c r="A29" t="str">
        <f t="shared" si="0"/>
        <v>56COMB8</v>
      </c>
      <c r="B29" t="str">
        <f t="shared" si="1"/>
        <v>56204.9</v>
      </c>
      <c r="C29" s="12" t="s">
        <v>171</v>
      </c>
      <c r="D29" s="12">
        <v>56</v>
      </c>
      <c r="E29" s="12">
        <v>111</v>
      </c>
      <c r="F29" s="12" t="s">
        <v>174</v>
      </c>
      <c r="G29" s="12">
        <v>0</v>
      </c>
      <c r="H29" s="12">
        <v>0</v>
      </c>
      <c r="I29" s="12">
        <v>204.9</v>
      </c>
      <c r="J29" s="12">
        <v>2.5</v>
      </c>
      <c r="K29" s="12">
        <v>1.1000000000000001</v>
      </c>
      <c r="L29" s="12">
        <v>0</v>
      </c>
    </row>
    <row r="30" spans="1:20" x14ac:dyDescent="0.2">
      <c r="A30" t="str">
        <f t="shared" si="0"/>
        <v>56COMB9</v>
      </c>
      <c r="B30" t="str">
        <f t="shared" si="1"/>
        <v>56202.7</v>
      </c>
      <c r="C30" s="12" t="s">
        <v>171</v>
      </c>
      <c r="D30" s="12">
        <v>56</v>
      </c>
      <c r="E30" s="12">
        <v>111</v>
      </c>
      <c r="F30" s="12" t="s">
        <v>175</v>
      </c>
      <c r="G30" s="12">
        <v>0</v>
      </c>
      <c r="H30" s="12">
        <v>7.2</v>
      </c>
      <c r="I30" s="12">
        <v>202.7</v>
      </c>
      <c r="J30" s="12">
        <v>-5.9</v>
      </c>
      <c r="K30" s="12">
        <v>1.4</v>
      </c>
      <c r="L30" s="12">
        <v>0</v>
      </c>
    </row>
    <row r="31" spans="1:20" x14ac:dyDescent="0.2">
      <c r="A31" t="str">
        <f t="shared" si="0"/>
        <v>61COMB1</v>
      </c>
      <c r="B31" t="str">
        <f t="shared" si="1"/>
        <v>61397.4</v>
      </c>
      <c r="C31" s="12" t="s">
        <v>171</v>
      </c>
      <c r="D31" s="12">
        <v>61</v>
      </c>
      <c r="E31" s="12">
        <v>116</v>
      </c>
      <c r="F31" s="12" t="s">
        <v>143</v>
      </c>
      <c r="G31" s="12">
        <v>0</v>
      </c>
      <c r="H31" s="12">
        <v>0</v>
      </c>
      <c r="I31" s="12">
        <v>397.4</v>
      </c>
      <c r="J31" s="12">
        <v>-1.3</v>
      </c>
      <c r="K31" s="12">
        <v>-0.6</v>
      </c>
      <c r="L31" s="12">
        <v>0</v>
      </c>
    </row>
    <row r="32" spans="1:20" x14ac:dyDescent="0.2">
      <c r="A32" t="str">
        <f t="shared" si="0"/>
        <v>61COMB2</v>
      </c>
      <c r="B32" t="str">
        <f t="shared" si="1"/>
        <v>61396.1</v>
      </c>
      <c r="C32" s="12" t="s">
        <v>171</v>
      </c>
      <c r="D32" s="12">
        <v>61</v>
      </c>
      <c r="E32" s="12">
        <v>116</v>
      </c>
      <c r="F32" s="12" t="s">
        <v>144</v>
      </c>
      <c r="G32" s="12">
        <v>-5.3</v>
      </c>
      <c r="H32" s="12">
        <v>0</v>
      </c>
      <c r="I32" s="12">
        <v>396.1</v>
      </c>
      <c r="J32" s="12">
        <v>-1.5</v>
      </c>
      <c r="K32" s="12">
        <v>-4.5999999999999996</v>
      </c>
      <c r="L32" s="12">
        <v>0</v>
      </c>
    </row>
    <row r="33" spans="1:12" x14ac:dyDescent="0.2">
      <c r="A33" t="str">
        <f t="shared" si="0"/>
        <v>61COMB3</v>
      </c>
      <c r="B33" t="str">
        <f t="shared" si="1"/>
        <v>61394</v>
      </c>
      <c r="C33" s="12" t="s">
        <v>171</v>
      </c>
      <c r="D33" s="12">
        <v>61</v>
      </c>
      <c r="E33" s="12">
        <v>116</v>
      </c>
      <c r="F33" s="12" t="s">
        <v>145</v>
      </c>
      <c r="G33" s="12">
        <v>0</v>
      </c>
      <c r="H33" s="12">
        <v>0</v>
      </c>
      <c r="I33" s="12">
        <v>394</v>
      </c>
      <c r="J33" s="12">
        <v>-1.2</v>
      </c>
      <c r="K33" s="12">
        <v>3.4</v>
      </c>
      <c r="L33" s="12">
        <v>0</v>
      </c>
    </row>
    <row r="34" spans="1:12" x14ac:dyDescent="0.2">
      <c r="A34" t="str">
        <f t="shared" si="0"/>
        <v>61COMB4</v>
      </c>
      <c r="B34" t="str">
        <f t="shared" si="1"/>
        <v>61396.9</v>
      </c>
      <c r="C34" s="12" t="s">
        <v>171</v>
      </c>
      <c r="D34" s="12">
        <v>61</v>
      </c>
      <c r="E34" s="12">
        <v>116</v>
      </c>
      <c r="F34" s="12" t="s">
        <v>146</v>
      </c>
      <c r="G34" s="12">
        <v>0</v>
      </c>
      <c r="H34" s="12">
        <v>0</v>
      </c>
      <c r="I34" s="12">
        <v>396.9</v>
      </c>
      <c r="J34" s="12">
        <v>2.6</v>
      </c>
      <c r="K34" s="12">
        <v>-0.7</v>
      </c>
      <c r="L34" s="12">
        <v>0</v>
      </c>
    </row>
    <row r="35" spans="1:12" x14ac:dyDescent="0.2">
      <c r="A35" t="str">
        <f t="shared" si="0"/>
        <v>61COMB5</v>
      </c>
      <c r="B35" t="str">
        <f t="shared" si="1"/>
        <v>61392.6</v>
      </c>
      <c r="C35" s="12" t="s">
        <v>171</v>
      </c>
      <c r="D35" s="12">
        <v>61</v>
      </c>
      <c r="E35" s="12">
        <v>116</v>
      </c>
      <c r="F35" s="12" t="s">
        <v>147</v>
      </c>
      <c r="G35" s="12">
        <v>0</v>
      </c>
      <c r="H35" s="12">
        <v>6.5</v>
      </c>
      <c r="I35" s="12">
        <v>392.6</v>
      </c>
      <c r="J35" s="12">
        <v>-5.3</v>
      </c>
      <c r="K35" s="12">
        <v>-0.5</v>
      </c>
      <c r="L35" s="12">
        <v>0</v>
      </c>
    </row>
    <row r="36" spans="1:12" x14ac:dyDescent="0.2">
      <c r="A36" t="str">
        <f t="shared" si="0"/>
        <v>61COMB6</v>
      </c>
      <c r="B36" t="str">
        <f t="shared" si="1"/>
        <v>61373.7</v>
      </c>
      <c r="C36" s="12" t="s">
        <v>171</v>
      </c>
      <c r="D36" s="12">
        <v>61</v>
      </c>
      <c r="E36" s="12">
        <v>116</v>
      </c>
      <c r="F36" s="12" t="s">
        <v>172</v>
      </c>
      <c r="G36" s="12">
        <v>-5.7</v>
      </c>
      <c r="H36" s="12">
        <v>0</v>
      </c>
      <c r="I36" s="12">
        <v>373.7</v>
      </c>
      <c r="J36" s="12">
        <v>-1.5</v>
      </c>
      <c r="K36" s="12">
        <v>-5.0999999999999996</v>
      </c>
      <c r="L36" s="12">
        <v>0</v>
      </c>
    </row>
    <row r="37" spans="1:12" x14ac:dyDescent="0.2">
      <c r="A37" t="str">
        <f t="shared" si="0"/>
        <v>61COMB7</v>
      </c>
      <c r="B37" t="str">
        <f t="shared" si="1"/>
        <v>61371.3</v>
      </c>
      <c r="C37" s="12" t="s">
        <v>171</v>
      </c>
      <c r="D37" s="12">
        <v>61</v>
      </c>
      <c r="E37" s="12">
        <v>116</v>
      </c>
      <c r="F37" s="12" t="s">
        <v>173</v>
      </c>
      <c r="G37" s="12">
        <v>0</v>
      </c>
      <c r="H37" s="12">
        <v>0</v>
      </c>
      <c r="I37" s="12">
        <v>371.3</v>
      </c>
      <c r="J37" s="12">
        <v>-1.2</v>
      </c>
      <c r="K37" s="12">
        <v>3.9</v>
      </c>
      <c r="L37" s="12">
        <v>0</v>
      </c>
    </row>
    <row r="38" spans="1:12" x14ac:dyDescent="0.2">
      <c r="A38" t="str">
        <f t="shared" si="0"/>
        <v>61COMB8</v>
      </c>
      <c r="B38" t="str">
        <f t="shared" si="1"/>
        <v>61374.5</v>
      </c>
      <c r="C38" s="12" t="s">
        <v>171</v>
      </c>
      <c r="D38" s="12">
        <v>61</v>
      </c>
      <c r="E38" s="12">
        <v>116</v>
      </c>
      <c r="F38" s="12" t="s">
        <v>174</v>
      </c>
      <c r="G38" s="12">
        <v>0</v>
      </c>
      <c r="H38" s="12">
        <v>0</v>
      </c>
      <c r="I38" s="12">
        <v>374.5</v>
      </c>
      <c r="J38" s="12">
        <v>3</v>
      </c>
      <c r="K38" s="12">
        <v>-0.7</v>
      </c>
      <c r="L38" s="12">
        <v>0</v>
      </c>
    </row>
    <row r="39" spans="1:12" x14ac:dyDescent="0.2">
      <c r="A39" t="str">
        <f t="shared" si="0"/>
        <v>61COMB9</v>
      </c>
      <c r="B39" t="str">
        <f t="shared" si="1"/>
        <v>61369.7</v>
      </c>
      <c r="C39" s="12" t="s">
        <v>171</v>
      </c>
      <c r="D39" s="12">
        <v>61</v>
      </c>
      <c r="E39" s="12">
        <v>116</v>
      </c>
      <c r="F39" s="12" t="s">
        <v>175</v>
      </c>
      <c r="G39" s="12">
        <v>0</v>
      </c>
      <c r="H39" s="12">
        <v>7</v>
      </c>
      <c r="I39" s="12">
        <v>369.7</v>
      </c>
      <c r="J39" s="12">
        <v>-5.7</v>
      </c>
      <c r="K39" s="12">
        <v>-0.5</v>
      </c>
      <c r="L39" s="12">
        <v>0</v>
      </c>
    </row>
    <row r="40" spans="1:12" ht="15" x14ac:dyDescent="0.25">
      <c r="A40" t="str">
        <f t="shared" si="0"/>
        <v>67COMB1</v>
      </c>
      <c r="B40" t="str">
        <f t="shared" si="1"/>
        <v>67414.5</v>
      </c>
      <c r="C40" s="2" t="s">
        <v>171</v>
      </c>
      <c r="D40" s="2">
        <v>67</v>
      </c>
      <c r="E40" s="2">
        <v>125</v>
      </c>
      <c r="F40" s="2" t="s">
        <v>143</v>
      </c>
      <c r="G40" s="2">
        <v>0</v>
      </c>
      <c r="H40" s="2">
        <v>32.9</v>
      </c>
      <c r="I40" s="2">
        <v>414.5</v>
      </c>
      <c r="J40" s="2">
        <v>-17.7</v>
      </c>
      <c r="K40" s="2">
        <v>-0.3</v>
      </c>
      <c r="L40" s="2">
        <v>0</v>
      </c>
    </row>
    <row r="41" spans="1:12" ht="15" x14ac:dyDescent="0.25">
      <c r="A41" t="str">
        <f t="shared" si="0"/>
        <v>67COMB2</v>
      </c>
      <c r="B41" t="str">
        <f t="shared" si="1"/>
        <v>67407.2</v>
      </c>
      <c r="C41" s="2" t="s">
        <v>171</v>
      </c>
      <c r="D41" s="2">
        <v>67</v>
      </c>
      <c r="E41" s="2">
        <v>125</v>
      </c>
      <c r="F41" s="2" t="s">
        <v>144</v>
      </c>
      <c r="G41" s="2">
        <v>-7.9</v>
      </c>
      <c r="H41" s="2">
        <v>32.200000000000003</v>
      </c>
      <c r="I41" s="2">
        <v>407.2</v>
      </c>
      <c r="J41" s="2">
        <v>-16.7</v>
      </c>
      <c r="K41" s="2">
        <v>-7.7</v>
      </c>
      <c r="L41" s="2">
        <v>-0.1</v>
      </c>
    </row>
    <row r="42" spans="1:12" ht="15" x14ac:dyDescent="0.25">
      <c r="A42" t="str">
        <f t="shared" si="0"/>
        <v>67COMB3</v>
      </c>
      <c r="B42" t="str">
        <f t="shared" si="1"/>
        <v>67417.1</v>
      </c>
      <c r="C42" s="2" t="s">
        <v>171</v>
      </c>
      <c r="D42" s="2">
        <v>67</v>
      </c>
      <c r="E42" s="2">
        <v>125</v>
      </c>
      <c r="F42" s="2" t="s">
        <v>145</v>
      </c>
      <c r="G42" s="2">
        <v>7.7</v>
      </c>
      <c r="H42" s="2">
        <v>33.700000000000003</v>
      </c>
      <c r="I42" s="2">
        <v>417.1</v>
      </c>
      <c r="J42" s="2">
        <v>-18.7</v>
      </c>
      <c r="K42" s="2">
        <v>7.2</v>
      </c>
      <c r="L42" s="2">
        <v>0.1</v>
      </c>
    </row>
    <row r="43" spans="1:12" ht="15" x14ac:dyDescent="0.25">
      <c r="A43" t="str">
        <f t="shared" si="0"/>
        <v>67COMB4</v>
      </c>
      <c r="B43" t="str">
        <f t="shared" si="1"/>
        <v>67387.5</v>
      </c>
      <c r="C43" s="2" t="s">
        <v>171</v>
      </c>
      <c r="D43" s="2">
        <v>67</v>
      </c>
      <c r="E43" s="2">
        <v>125</v>
      </c>
      <c r="F43" s="2" t="s">
        <v>146</v>
      </c>
      <c r="G43" s="2">
        <v>0</v>
      </c>
      <c r="H43" s="2">
        <v>14.7</v>
      </c>
      <c r="I43" s="2">
        <v>387.5</v>
      </c>
      <c r="J43" s="2">
        <v>6.4</v>
      </c>
      <c r="K43" s="2">
        <v>-0.4</v>
      </c>
      <c r="L43" s="2">
        <v>0</v>
      </c>
    </row>
    <row r="44" spans="1:12" ht="15" x14ac:dyDescent="0.25">
      <c r="A44" t="str">
        <f t="shared" si="0"/>
        <v>67COMB5</v>
      </c>
      <c r="B44" t="str">
        <f t="shared" si="1"/>
        <v>67437.2</v>
      </c>
      <c r="C44" s="2" t="s">
        <v>171</v>
      </c>
      <c r="D44" s="2">
        <v>67</v>
      </c>
      <c r="E44" s="2">
        <v>125</v>
      </c>
      <c r="F44" s="2" t="s">
        <v>147</v>
      </c>
      <c r="G44" s="2">
        <v>0</v>
      </c>
      <c r="H44" s="2">
        <v>51.3</v>
      </c>
      <c r="I44" s="2">
        <v>437.2</v>
      </c>
      <c r="J44" s="2">
        <v>-41.8</v>
      </c>
      <c r="K44" s="2">
        <v>-0.1</v>
      </c>
      <c r="L44" s="2">
        <v>0</v>
      </c>
    </row>
    <row r="45" spans="1:12" ht="15" x14ac:dyDescent="0.25">
      <c r="A45" t="str">
        <f t="shared" si="0"/>
        <v>67COMB6</v>
      </c>
      <c r="B45" t="str">
        <f t="shared" si="1"/>
        <v>67385.2</v>
      </c>
      <c r="C45" s="2" t="s">
        <v>171</v>
      </c>
      <c r="D45" s="2">
        <v>67</v>
      </c>
      <c r="E45" s="2">
        <v>125</v>
      </c>
      <c r="F45" s="2" t="s">
        <v>172</v>
      </c>
      <c r="G45" s="2">
        <v>-8.8000000000000007</v>
      </c>
      <c r="H45" s="2">
        <v>32.5</v>
      </c>
      <c r="I45" s="2">
        <v>385.2</v>
      </c>
      <c r="J45" s="2">
        <v>-16.8</v>
      </c>
      <c r="K45" s="2">
        <v>-8.5</v>
      </c>
      <c r="L45" s="2">
        <v>-0.1</v>
      </c>
    </row>
    <row r="46" spans="1:12" ht="15" x14ac:dyDescent="0.25">
      <c r="A46" t="str">
        <f t="shared" si="0"/>
        <v>67COMB7</v>
      </c>
      <c r="B46" t="str">
        <f t="shared" si="1"/>
        <v>67396.2</v>
      </c>
      <c r="C46" s="2" t="s">
        <v>171</v>
      </c>
      <c r="D46" s="2">
        <v>67</v>
      </c>
      <c r="E46" s="2">
        <v>125</v>
      </c>
      <c r="F46" s="2" t="s">
        <v>173</v>
      </c>
      <c r="G46" s="2">
        <v>8.6</v>
      </c>
      <c r="H46" s="2">
        <v>34.200000000000003</v>
      </c>
      <c r="I46" s="2">
        <v>396.2</v>
      </c>
      <c r="J46" s="2">
        <v>-19.100000000000001</v>
      </c>
      <c r="K46" s="2">
        <v>8</v>
      </c>
      <c r="L46" s="2">
        <v>0.1</v>
      </c>
    </row>
    <row r="47" spans="1:12" ht="15" x14ac:dyDescent="0.25">
      <c r="A47" t="str">
        <f t="shared" si="0"/>
        <v>67COMB8</v>
      </c>
      <c r="B47" t="str">
        <f t="shared" si="1"/>
        <v>67363.3</v>
      </c>
      <c r="C47" s="2" t="s">
        <v>171</v>
      </c>
      <c r="D47" s="2">
        <v>67</v>
      </c>
      <c r="E47" s="2">
        <v>125</v>
      </c>
      <c r="F47" s="2" t="s">
        <v>174</v>
      </c>
      <c r="G47" s="2">
        <v>0</v>
      </c>
      <c r="H47" s="2">
        <v>13.1</v>
      </c>
      <c r="I47" s="2">
        <v>363.3</v>
      </c>
      <c r="J47" s="2">
        <v>8.9</v>
      </c>
      <c r="K47" s="2">
        <v>-0.4</v>
      </c>
      <c r="L47" s="2">
        <v>-0.1</v>
      </c>
    </row>
    <row r="48" spans="1:12" ht="15" x14ac:dyDescent="0.25">
      <c r="A48" t="str">
        <f t="shared" si="0"/>
        <v>67COMB9</v>
      </c>
      <c r="B48" t="str">
        <f t="shared" si="1"/>
        <v>67418.6</v>
      </c>
      <c r="C48" s="2" t="s">
        <v>171</v>
      </c>
      <c r="D48" s="2">
        <v>67</v>
      </c>
      <c r="E48" s="2">
        <v>125</v>
      </c>
      <c r="F48" s="2" t="s">
        <v>175</v>
      </c>
      <c r="G48" s="2">
        <v>0</v>
      </c>
      <c r="H48" s="2">
        <v>53.7</v>
      </c>
      <c r="I48" s="2">
        <v>418.6</v>
      </c>
      <c r="J48" s="2">
        <v>-44.7</v>
      </c>
      <c r="K48" s="2">
        <v>0</v>
      </c>
      <c r="L48" s="2">
        <v>0</v>
      </c>
    </row>
    <row r="49" spans="1:12" ht="15" x14ac:dyDescent="0.25">
      <c r="A49" t="str">
        <f t="shared" si="0"/>
        <v>72COMB1</v>
      </c>
      <c r="B49" t="str">
        <f t="shared" si="1"/>
        <v>72266.2</v>
      </c>
      <c r="C49" s="2" t="s">
        <v>171</v>
      </c>
      <c r="D49" s="2">
        <v>72</v>
      </c>
      <c r="E49" s="2">
        <v>131</v>
      </c>
      <c r="F49" s="2" t="s">
        <v>143</v>
      </c>
      <c r="G49" s="2">
        <v>0</v>
      </c>
      <c r="H49" s="2">
        <v>8.8000000000000007</v>
      </c>
      <c r="I49" s="2">
        <v>266.2</v>
      </c>
      <c r="J49" s="2">
        <v>-5.2</v>
      </c>
      <c r="K49" s="2">
        <v>-0.9</v>
      </c>
      <c r="L49" s="2">
        <v>0</v>
      </c>
    </row>
    <row r="50" spans="1:12" ht="15" x14ac:dyDescent="0.25">
      <c r="A50" t="str">
        <f t="shared" si="0"/>
        <v>72COMB2</v>
      </c>
      <c r="B50" t="str">
        <f t="shared" si="1"/>
        <v>72272.8</v>
      </c>
      <c r="C50" s="2" t="s">
        <v>171</v>
      </c>
      <c r="D50" s="2">
        <v>72</v>
      </c>
      <c r="E50" s="2">
        <v>131</v>
      </c>
      <c r="F50" s="2" t="s">
        <v>144</v>
      </c>
      <c r="G50" s="2">
        <v>-5.5</v>
      </c>
      <c r="H50" s="2">
        <v>8.5</v>
      </c>
      <c r="I50" s="2">
        <v>272.8</v>
      </c>
      <c r="J50" s="2">
        <v>-4.8</v>
      </c>
      <c r="K50" s="2">
        <v>-4.8</v>
      </c>
      <c r="L50" s="2">
        <v>0</v>
      </c>
    </row>
    <row r="51" spans="1:12" ht="15" x14ac:dyDescent="0.25">
      <c r="A51" t="str">
        <f t="shared" si="0"/>
        <v>72COMB3</v>
      </c>
      <c r="B51" t="str">
        <f t="shared" si="1"/>
        <v>72256</v>
      </c>
      <c r="C51" s="2" t="s">
        <v>171</v>
      </c>
      <c r="D51" s="2">
        <v>72</v>
      </c>
      <c r="E51" s="2">
        <v>131</v>
      </c>
      <c r="F51" s="2" t="s">
        <v>145</v>
      </c>
      <c r="G51" s="2">
        <v>0</v>
      </c>
      <c r="H51" s="2">
        <v>9.1999999999999993</v>
      </c>
      <c r="I51" s="2">
        <v>256</v>
      </c>
      <c r="J51" s="2">
        <v>-5.5</v>
      </c>
      <c r="K51" s="2">
        <v>2.9</v>
      </c>
      <c r="L51" s="2">
        <v>0</v>
      </c>
    </row>
    <row r="52" spans="1:12" ht="15" x14ac:dyDescent="0.25">
      <c r="A52" t="str">
        <f t="shared" si="0"/>
        <v>72COMB4</v>
      </c>
      <c r="B52" t="str">
        <f t="shared" si="1"/>
        <v>72259.6</v>
      </c>
      <c r="C52" s="2" t="s">
        <v>171</v>
      </c>
      <c r="D52" s="2">
        <v>72</v>
      </c>
      <c r="E52" s="2">
        <v>131</v>
      </c>
      <c r="F52" s="2" t="s">
        <v>146</v>
      </c>
      <c r="G52" s="2">
        <v>0</v>
      </c>
      <c r="H52" s="2">
        <v>0</v>
      </c>
      <c r="I52" s="2">
        <v>259.60000000000002</v>
      </c>
      <c r="J52" s="2">
        <v>-0.9</v>
      </c>
      <c r="K52" s="2">
        <v>-1</v>
      </c>
      <c r="L52" s="2">
        <v>0</v>
      </c>
    </row>
    <row r="53" spans="1:12" ht="15" x14ac:dyDescent="0.25">
      <c r="A53" t="str">
        <f t="shared" si="0"/>
        <v>72COMB5</v>
      </c>
      <c r="B53" t="str">
        <f t="shared" si="1"/>
        <v>72269</v>
      </c>
      <c r="C53" s="2" t="s">
        <v>171</v>
      </c>
      <c r="D53" s="2">
        <v>72</v>
      </c>
      <c r="E53" s="2">
        <v>131</v>
      </c>
      <c r="F53" s="2" t="s">
        <v>147</v>
      </c>
      <c r="G53" s="2">
        <v>0</v>
      </c>
      <c r="H53" s="2">
        <v>13.2</v>
      </c>
      <c r="I53" s="2">
        <v>269</v>
      </c>
      <c r="J53" s="2">
        <v>-9.4</v>
      </c>
      <c r="K53" s="2">
        <v>-0.8</v>
      </c>
      <c r="L53" s="2">
        <v>0</v>
      </c>
    </row>
    <row r="54" spans="1:12" ht="15" x14ac:dyDescent="0.25">
      <c r="A54" t="str">
        <f t="shared" si="0"/>
        <v>72COMB6</v>
      </c>
      <c r="B54" t="str">
        <f t="shared" si="1"/>
        <v>72257.5</v>
      </c>
      <c r="C54" s="2" t="s">
        <v>171</v>
      </c>
      <c r="D54" s="2">
        <v>72</v>
      </c>
      <c r="E54" s="2">
        <v>131</v>
      </c>
      <c r="F54" s="2" t="s">
        <v>172</v>
      </c>
      <c r="G54" s="2">
        <v>-6</v>
      </c>
      <c r="H54" s="2">
        <v>8.4</v>
      </c>
      <c r="I54" s="2">
        <v>257.5</v>
      </c>
      <c r="J54" s="2">
        <v>-4.7</v>
      </c>
      <c r="K54" s="2">
        <v>-5.2</v>
      </c>
      <c r="L54" s="2">
        <v>0</v>
      </c>
    </row>
    <row r="55" spans="1:12" ht="15" x14ac:dyDescent="0.25">
      <c r="A55" t="str">
        <f t="shared" si="0"/>
        <v>72COMB7</v>
      </c>
      <c r="B55" t="str">
        <f t="shared" si="1"/>
        <v>72238.8</v>
      </c>
      <c r="C55" s="2" t="s">
        <v>171</v>
      </c>
      <c r="D55" s="2">
        <v>72</v>
      </c>
      <c r="E55" s="2">
        <v>131</v>
      </c>
      <c r="F55" s="2" t="s">
        <v>173</v>
      </c>
      <c r="G55" s="2">
        <v>0</v>
      </c>
      <c r="H55" s="2">
        <v>9.3000000000000007</v>
      </c>
      <c r="I55" s="2">
        <v>238.8</v>
      </c>
      <c r="J55" s="2">
        <v>-5.6</v>
      </c>
      <c r="K55" s="2">
        <v>3.3</v>
      </c>
      <c r="L55" s="2">
        <v>0</v>
      </c>
    </row>
    <row r="56" spans="1:12" ht="15" x14ac:dyDescent="0.25">
      <c r="A56" t="str">
        <f t="shared" si="0"/>
        <v>72COMB8</v>
      </c>
      <c r="B56" t="str">
        <f t="shared" si="1"/>
        <v>72242.8</v>
      </c>
      <c r="C56" s="2" t="s">
        <v>171</v>
      </c>
      <c r="D56" s="2">
        <v>72</v>
      </c>
      <c r="E56" s="2">
        <v>131</v>
      </c>
      <c r="F56" s="2" t="s">
        <v>174</v>
      </c>
      <c r="G56" s="2">
        <v>0</v>
      </c>
      <c r="H56" s="2">
        <v>0</v>
      </c>
      <c r="I56" s="2">
        <v>242.8</v>
      </c>
      <c r="J56" s="2">
        <v>-0.4</v>
      </c>
      <c r="K56" s="2">
        <v>-1</v>
      </c>
      <c r="L56" s="2">
        <v>0</v>
      </c>
    </row>
    <row r="57" spans="1:12" ht="15" x14ac:dyDescent="0.25">
      <c r="A57" t="str">
        <f t="shared" si="0"/>
        <v>72COMB9</v>
      </c>
      <c r="B57" t="str">
        <f t="shared" si="1"/>
        <v>72253.2</v>
      </c>
      <c r="C57" s="2" t="s">
        <v>171</v>
      </c>
      <c r="D57" s="2">
        <v>72</v>
      </c>
      <c r="E57" s="2">
        <v>131</v>
      </c>
      <c r="F57" s="2" t="s">
        <v>175</v>
      </c>
      <c r="G57" s="2">
        <v>0</v>
      </c>
      <c r="H57" s="2">
        <v>13.7</v>
      </c>
      <c r="I57" s="2">
        <v>253.2</v>
      </c>
      <c r="J57" s="2">
        <v>-9.9</v>
      </c>
      <c r="K57" s="2">
        <v>-0.8</v>
      </c>
      <c r="L57" s="2">
        <v>0</v>
      </c>
    </row>
    <row r="58" spans="1:12" ht="15" x14ac:dyDescent="0.25">
      <c r="A58" t="str">
        <f t="shared" si="0"/>
        <v>119COMB1</v>
      </c>
      <c r="B58" t="str">
        <f t="shared" si="1"/>
        <v>119185.4</v>
      </c>
      <c r="C58" s="2" t="s">
        <v>171</v>
      </c>
      <c r="D58" s="2">
        <v>119</v>
      </c>
      <c r="E58" s="2">
        <v>262</v>
      </c>
      <c r="F58" s="2" t="s">
        <v>143</v>
      </c>
      <c r="G58" s="2">
        <v>0</v>
      </c>
      <c r="H58" s="2">
        <v>0</v>
      </c>
      <c r="I58" s="2">
        <v>185.4</v>
      </c>
      <c r="J58" s="2">
        <v>1.7</v>
      </c>
      <c r="K58" s="2">
        <v>1.9</v>
      </c>
      <c r="L58" s="2">
        <v>0</v>
      </c>
    </row>
    <row r="59" spans="1:12" ht="15" x14ac:dyDescent="0.25">
      <c r="A59" t="str">
        <f t="shared" si="0"/>
        <v>119COMB2</v>
      </c>
      <c r="B59" t="str">
        <f t="shared" si="1"/>
        <v>119176.4</v>
      </c>
      <c r="C59" s="2" t="s">
        <v>171</v>
      </c>
      <c r="D59" s="2">
        <v>119</v>
      </c>
      <c r="E59" s="2">
        <v>262</v>
      </c>
      <c r="F59" s="2" t="s">
        <v>144</v>
      </c>
      <c r="G59" s="2">
        <v>0</v>
      </c>
      <c r="H59" s="2">
        <v>0</v>
      </c>
      <c r="I59" s="2">
        <v>176.4</v>
      </c>
      <c r="J59" s="2">
        <v>1.3</v>
      </c>
      <c r="K59" s="2">
        <v>-1.6</v>
      </c>
      <c r="L59" s="2">
        <v>0</v>
      </c>
    </row>
    <row r="60" spans="1:12" ht="15" x14ac:dyDescent="0.25">
      <c r="B60" t="str">
        <f t="shared" ref="B60:B68" si="2">D60&amp;I60</f>
        <v>119192</v>
      </c>
      <c r="C60" s="2" t="s">
        <v>171</v>
      </c>
      <c r="D60" s="2">
        <v>119</v>
      </c>
      <c r="E60" s="2">
        <v>262</v>
      </c>
      <c r="F60" s="2" t="s">
        <v>145</v>
      </c>
      <c r="G60" s="2">
        <v>6.8</v>
      </c>
      <c r="H60" s="2">
        <v>0</v>
      </c>
      <c r="I60" s="2">
        <v>192</v>
      </c>
      <c r="J60" s="2">
        <v>2.2000000000000002</v>
      </c>
      <c r="K60" s="2">
        <v>5.3</v>
      </c>
      <c r="L60" s="2">
        <v>0</v>
      </c>
    </row>
    <row r="61" spans="1:12" ht="15" x14ac:dyDescent="0.25">
      <c r="B61" t="str">
        <f t="shared" si="2"/>
        <v>119184.7</v>
      </c>
      <c r="C61" s="2" t="s">
        <v>171</v>
      </c>
      <c r="D61" s="2">
        <v>119</v>
      </c>
      <c r="E61" s="2">
        <v>262</v>
      </c>
      <c r="F61" s="2" t="s">
        <v>146</v>
      </c>
      <c r="G61" s="2">
        <v>0</v>
      </c>
      <c r="H61" s="2">
        <v>-6.9</v>
      </c>
      <c r="I61" s="2">
        <v>184.7</v>
      </c>
      <c r="J61" s="2">
        <v>5.2</v>
      </c>
      <c r="K61" s="2">
        <v>1.8</v>
      </c>
      <c r="L61" s="2">
        <v>0</v>
      </c>
    </row>
    <row r="62" spans="1:12" ht="15" x14ac:dyDescent="0.25">
      <c r="B62" t="str">
        <f t="shared" si="2"/>
        <v>119183.4</v>
      </c>
      <c r="C62" s="2" t="s">
        <v>171</v>
      </c>
      <c r="D62" s="2">
        <v>119</v>
      </c>
      <c r="E62" s="2">
        <v>262</v>
      </c>
      <c r="F62" s="2" t="s">
        <v>147</v>
      </c>
      <c r="G62" s="2">
        <v>0</v>
      </c>
      <c r="H62" s="2">
        <v>0</v>
      </c>
      <c r="I62" s="2">
        <v>183.4</v>
      </c>
      <c r="J62" s="2">
        <v>-1.7</v>
      </c>
      <c r="K62" s="2">
        <v>1.9</v>
      </c>
      <c r="L62" s="2">
        <v>0</v>
      </c>
    </row>
    <row r="63" spans="1:12" ht="15" x14ac:dyDescent="0.25">
      <c r="B63" t="str">
        <f t="shared" si="2"/>
        <v>119164.1</v>
      </c>
      <c r="C63" s="2" t="s">
        <v>171</v>
      </c>
      <c r="D63" s="2">
        <v>119</v>
      </c>
      <c r="E63" s="2">
        <v>262</v>
      </c>
      <c r="F63" s="2" t="s">
        <v>172</v>
      </c>
      <c r="G63" s="2">
        <v>0</v>
      </c>
      <c r="H63" s="2">
        <v>0</v>
      </c>
      <c r="I63" s="2">
        <v>164.1</v>
      </c>
      <c r="J63" s="2">
        <v>1.3</v>
      </c>
      <c r="K63" s="2">
        <v>-1.9</v>
      </c>
      <c r="L63" s="2">
        <v>0</v>
      </c>
    </row>
    <row r="64" spans="1:12" ht="15" x14ac:dyDescent="0.25">
      <c r="B64" t="str">
        <f t="shared" si="2"/>
        <v>119181.4</v>
      </c>
      <c r="C64" s="2" t="s">
        <v>171</v>
      </c>
      <c r="D64" s="2">
        <v>119</v>
      </c>
      <c r="E64" s="2">
        <v>262</v>
      </c>
      <c r="F64" s="2" t="s">
        <v>173</v>
      </c>
      <c r="G64" s="2">
        <v>7.3</v>
      </c>
      <c r="H64" s="2">
        <v>0</v>
      </c>
      <c r="I64" s="2">
        <v>181.4</v>
      </c>
      <c r="J64" s="2">
        <v>2.2000000000000002</v>
      </c>
      <c r="K64" s="2">
        <v>5.7</v>
      </c>
      <c r="L64" s="2">
        <v>0</v>
      </c>
    </row>
    <row r="65" spans="2:12" ht="15" x14ac:dyDescent="0.25">
      <c r="B65" t="str">
        <f t="shared" si="2"/>
        <v>119173.3</v>
      </c>
      <c r="C65" s="2" t="s">
        <v>171</v>
      </c>
      <c r="D65" s="2">
        <v>119</v>
      </c>
      <c r="E65" s="2">
        <v>262</v>
      </c>
      <c r="F65" s="2" t="s">
        <v>174</v>
      </c>
      <c r="G65" s="2">
        <v>0</v>
      </c>
      <c r="H65" s="2">
        <v>-7.3</v>
      </c>
      <c r="I65" s="2">
        <v>173.3</v>
      </c>
      <c r="J65" s="2">
        <v>5.6</v>
      </c>
      <c r="K65" s="2">
        <v>1.8</v>
      </c>
      <c r="L65" s="2">
        <v>0</v>
      </c>
    </row>
    <row r="66" spans="2:12" ht="15" x14ac:dyDescent="0.25">
      <c r="B66" t="str">
        <f t="shared" si="2"/>
        <v>119171.8</v>
      </c>
      <c r="C66" s="2" t="s">
        <v>171</v>
      </c>
      <c r="D66" s="2">
        <v>119</v>
      </c>
      <c r="E66" s="2">
        <v>262</v>
      </c>
      <c r="F66" s="2" t="s">
        <v>175</v>
      </c>
      <c r="G66" s="2">
        <v>0</v>
      </c>
      <c r="H66" s="2">
        <v>0</v>
      </c>
      <c r="I66" s="2">
        <v>171.8</v>
      </c>
      <c r="J66" s="2">
        <v>-2.1</v>
      </c>
      <c r="K66" s="2">
        <v>2</v>
      </c>
      <c r="L66" s="2">
        <v>0</v>
      </c>
    </row>
    <row r="67" spans="2:12" ht="15" x14ac:dyDescent="0.25">
      <c r="B67" t="str">
        <f t="shared" si="2"/>
        <v>124307</v>
      </c>
      <c r="C67" s="2" t="s">
        <v>171</v>
      </c>
      <c r="D67" s="2">
        <v>124</v>
      </c>
      <c r="E67" s="2">
        <v>133</v>
      </c>
      <c r="F67" s="2" t="s">
        <v>143</v>
      </c>
      <c r="G67" s="2">
        <v>0</v>
      </c>
      <c r="H67" s="2">
        <v>0</v>
      </c>
      <c r="I67" s="2">
        <v>307</v>
      </c>
      <c r="J67" s="2">
        <v>1.1000000000000001</v>
      </c>
      <c r="K67" s="2">
        <v>-1.3</v>
      </c>
      <c r="L67" s="2">
        <v>0</v>
      </c>
    </row>
    <row r="68" spans="2:12" ht="15" x14ac:dyDescent="0.25">
      <c r="B68" t="str">
        <f t="shared" si="2"/>
        <v>124310.7</v>
      </c>
      <c r="C68" s="2" t="s">
        <v>171</v>
      </c>
      <c r="D68" s="2">
        <v>124</v>
      </c>
      <c r="E68" s="2">
        <v>133</v>
      </c>
      <c r="F68" s="2" t="s">
        <v>144</v>
      </c>
      <c r="G68" s="2">
        <v>-5.9</v>
      </c>
      <c r="H68" s="2">
        <v>0</v>
      </c>
      <c r="I68" s="2">
        <v>310.7</v>
      </c>
      <c r="J68" s="2">
        <v>0.9</v>
      </c>
      <c r="K68" s="2">
        <v>-4.9000000000000004</v>
      </c>
      <c r="L68" s="2">
        <v>0</v>
      </c>
    </row>
    <row r="69" spans="2:12" ht="15" x14ac:dyDescent="0.25">
      <c r="B69" t="str">
        <f t="shared" ref="B69:B132" si="3">D69&amp;I69</f>
        <v>124299.5</v>
      </c>
      <c r="C69" s="2" t="s">
        <v>171</v>
      </c>
      <c r="D69" s="2">
        <v>124</v>
      </c>
      <c r="E69" s="2">
        <v>133</v>
      </c>
      <c r="F69" s="2" t="s">
        <v>145</v>
      </c>
      <c r="G69" s="2">
        <v>0</v>
      </c>
      <c r="H69" s="2">
        <v>0</v>
      </c>
      <c r="I69" s="2">
        <v>299.5</v>
      </c>
      <c r="J69" s="2">
        <v>1.2</v>
      </c>
      <c r="K69" s="2">
        <v>2.2000000000000002</v>
      </c>
      <c r="L69" s="2">
        <v>0</v>
      </c>
    </row>
    <row r="70" spans="2:12" ht="15" x14ac:dyDescent="0.25">
      <c r="B70" t="str">
        <f t="shared" si="3"/>
        <v>124293.9</v>
      </c>
      <c r="C70" s="2" t="s">
        <v>171</v>
      </c>
      <c r="D70" s="2">
        <v>124</v>
      </c>
      <c r="E70" s="2">
        <v>133</v>
      </c>
      <c r="F70" s="2" t="s">
        <v>146</v>
      </c>
      <c r="G70" s="2">
        <v>0</v>
      </c>
      <c r="H70" s="2">
        <v>-6.2</v>
      </c>
      <c r="I70" s="2">
        <v>293.89999999999998</v>
      </c>
      <c r="J70" s="2">
        <v>5.0999999999999996</v>
      </c>
      <c r="K70" s="2">
        <v>-1.1000000000000001</v>
      </c>
      <c r="L70" s="2">
        <v>0</v>
      </c>
    </row>
    <row r="71" spans="2:12" ht="15" x14ac:dyDescent="0.25">
      <c r="B71" t="str">
        <f t="shared" si="3"/>
        <v>124316.2</v>
      </c>
      <c r="C71" s="2" t="s">
        <v>171</v>
      </c>
      <c r="D71" s="2">
        <v>124</v>
      </c>
      <c r="E71" s="2">
        <v>133</v>
      </c>
      <c r="F71" s="2" t="s">
        <v>147</v>
      </c>
      <c r="G71" s="2">
        <v>0</v>
      </c>
      <c r="H71" s="2">
        <v>0</v>
      </c>
      <c r="I71" s="2">
        <v>316.2</v>
      </c>
      <c r="J71" s="2">
        <v>-2.9</v>
      </c>
      <c r="K71" s="2">
        <v>-1.5</v>
      </c>
      <c r="L71" s="2">
        <v>0</v>
      </c>
    </row>
    <row r="72" spans="2:12" ht="15" x14ac:dyDescent="0.25">
      <c r="B72" t="str">
        <f t="shared" si="3"/>
        <v>124295.4</v>
      </c>
      <c r="C72" s="2" t="s">
        <v>171</v>
      </c>
      <c r="D72" s="2">
        <v>124</v>
      </c>
      <c r="E72" s="2">
        <v>133</v>
      </c>
      <c r="F72" s="2" t="s">
        <v>172</v>
      </c>
      <c r="G72" s="2">
        <v>-6.3</v>
      </c>
      <c r="H72" s="2">
        <v>0</v>
      </c>
      <c r="I72" s="2">
        <v>295.39999999999998</v>
      </c>
      <c r="J72" s="2">
        <v>0.9</v>
      </c>
      <c r="K72" s="2">
        <v>-5.3</v>
      </c>
      <c r="L72" s="2">
        <v>0</v>
      </c>
    </row>
    <row r="73" spans="2:12" ht="15" x14ac:dyDescent="0.25">
      <c r="B73" t="str">
        <f t="shared" si="3"/>
        <v>124283</v>
      </c>
      <c r="C73" s="2" t="s">
        <v>171</v>
      </c>
      <c r="D73" s="2">
        <v>124</v>
      </c>
      <c r="E73" s="2">
        <v>133</v>
      </c>
      <c r="F73" s="2" t="s">
        <v>173</v>
      </c>
      <c r="G73" s="2">
        <v>0</v>
      </c>
      <c r="H73" s="2">
        <v>0</v>
      </c>
      <c r="I73" s="2">
        <v>283</v>
      </c>
      <c r="J73" s="2">
        <v>1.3</v>
      </c>
      <c r="K73" s="2">
        <v>2.6</v>
      </c>
      <c r="L73" s="2">
        <v>0</v>
      </c>
    </row>
    <row r="74" spans="2:12" ht="15" x14ac:dyDescent="0.25">
      <c r="B74" t="str">
        <f t="shared" si="3"/>
        <v>124276.7</v>
      </c>
      <c r="C74" s="2" t="s">
        <v>171</v>
      </c>
      <c r="D74" s="2">
        <v>124</v>
      </c>
      <c r="E74" s="2">
        <v>133</v>
      </c>
      <c r="F74" s="2" t="s">
        <v>174</v>
      </c>
      <c r="G74" s="2">
        <v>0</v>
      </c>
      <c r="H74" s="2">
        <v>-6.7</v>
      </c>
      <c r="I74" s="2">
        <v>276.7</v>
      </c>
      <c r="J74" s="2">
        <v>5.5</v>
      </c>
      <c r="K74" s="2">
        <v>-1.1000000000000001</v>
      </c>
      <c r="L74" s="2">
        <v>0</v>
      </c>
    </row>
    <row r="75" spans="2:12" ht="15" x14ac:dyDescent="0.25">
      <c r="B75" t="str">
        <f t="shared" si="3"/>
        <v>124301.5</v>
      </c>
      <c r="C75" s="2" t="s">
        <v>171</v>
      </c>
      <c r="D75" s="2">
        <v>124</v>
      </c>
      <c r="E75" s="2">
        <v>133</v>
      </c>
      <c r="F75" s="2" t="s">
        <v>175</v>
      </c>
      <c r="G75" s="2">
        <v>0</v>
      </c>
      <c r="H75" s="2">
        <v>0</v>
      </c>
      <c r="I75" s="2">
        <v>301.5</v>
      </c>
      <c r="J75" s="2">
        <v>-3.4</v>
      </c>
      <c r="K75" s="2">
        <v>-1.6</v>
      </c>
      <c r="L75" s="2">
        <v>0</v>
      </c>
    </row>
    <row r="76" spans="2:12" ht="15" x14ac:dyDescent="0.25">
      <c r="B76" t="str">
        <f t="shared" si="3"/>
        <v>153115.3</v>
      </c>
      <c r="C76" s="2" t="s">
        <v>171</v>
      </c>
      <c r="D76" s="2">
        <v>153</v>
      </c>
      <c r="E76" s="2">
        <v>172</v>
      </c>
      <c r="F76" s="2" t="s">
        <v>143</v>
      </c>
      <c r="G76" s="2">
        <v>0</v>
      </c>
      <c r="H76" s="2">
        <v>0</v>
      </c>
      <c r="I76" s="2">
        <v>115.3</v>
      </c>
      <c r="J76" s="2">
        <v>1.2</v>
      </c>
      <c r="K76" s="2">
        <v>0.4</v>
      </c>
      <c r="L76" s="2">
        <v>0</v>
      </c>
    </row>
    <row r="77" spans="2:12" ht="15" x14ac:dyDescent="0.25">
      <c r="B77" t="str">
        <f t="shared" si="3"/>
        <v>153106.4</v>
      </c>
      <c r="C77" s="2" t="s">
        <v>171</v>
      </c>
      <c r="D77" s="2">
        <v>153</v>
      </c>
      <c r="E77" s="2">
        <v>172</v>
      </c>
      <c r="F77" s="2" t="s">
        <v>144</v>
      </c>
      <c r="G77" s="2">
        <v>0</v>
      </c>
      <c r="H77" s="2">
        <v>0</v>
      </c>
      <c r="I77" s="2">
        <v>106.4</v>
      </c>
      <c r="J77" s="2">
        <v>1</v>
      </c>
      <c r="K77" s="2">
        <v>-3.1</v>
      </c>
      <c r="L77" s="2">
        <v>0</v>
      </c>
    </row>
    <row r="78" spans="2:12" ht="15" x14ac:dyDescent="0.25">
      <c r="B78" t="str">
        <f t="shared" si="3"/>
        <v>153121.8</v>
      </c>
      <c r="C78" s="2" t="s">
        <v>171</v>
      </c>
      <c r="D78" s="2">
        <v>153</v>
      </c>
      <c r="E78" s="2">
        <v>172</v>
      </c>
      <c r="F78" s="2" t="s">
        <v>145</v>
      </c>
      <c r="G78" s="2">
        <v>0</v>
      </c>
      <c r="H78" s="2">
        <v>0</v>
      </c>
      <c r="I78" s="2">
        <v>121.8</v>
      </c>
      <c r="J78" s="2">
        <v>1.5</v>
      </c>
      <c r="K78" s="2">
        <v>3.8</v>
      </c>
      <c r="L78" s="2">
        <v>0</v>
      </c>
    </row>
    <row r="79" spans="2:12" ht="15" x14ac:dyDescent="0.25">
      <c r="B79" t="str">
        <f t="shared" si="3"/>
        <v>153123.5</v>
      </c>
      <c r="C79" s="2" t="s">
        <v>171</v>
      </c>
      <c r="D79" s="2">
        <v>153</v>
      </c>
      <c r="E79" s="2">
        <v>172</v>
      </c>
      <c r="F79" s="2" t="s">
        <v>146</v>
      </c>
      <c r="G79" s="2">
        <v>0</v>
      </c>
      <c r="H79" s="2">
        <v>-6</v>
      </c>
      <c r="I79" s="2">
        <v>123.5</v>
      </c>
      <c r="J79" s="2">
        <v>4.8</v>
      </c>
      <c r="K79" s="2">
        <v>0.5</v>
      </c>
      <c r="L79" s="2">
        <v>0</v>
      </c>
    </row>
    <row r="80" spans="2:12" ht="15" x14ac:dyDescent="0.25">
      <c r="B80" t="str">
        <f t="shared" si="3"/>
        <v>153105.5</v>
      </c>
      <c r="C80" s="2" t="s">
        <v>171</v>
      </c>
      <c r="D80" s="2">
        <v>153</v>
      </c>
      <c r="E80" s="2">
        <v>172</v>
      </c>
      <c r="F80" s="2" t="s">
        <v>147</v>
      </c>
      <c r="G80" s="2">
        <v>0</v>
      </c>
      <c r="H80" s="2">
        <v>0</v>
      </c>
      <c r="I80" s="2">
        <v>105.5</v>
      </c>
      <c r="J80" s="2">
        <v>-2.2999999999999998</v>
      </c>
      <c r="K80" s="2">
        <v>0.2</v>
      </c>
      <c r="L80" s="2">
        <v>0</v>
      </c>
    </row>
    <row r="81" spans="2:12" ht="15" x14ac:dyDescent="0.25">
      <c r="B81" t="str">
        <f t="shared" si="3"/>
        <v>15397.2</v>
      </c>
      <c r="C81" s="2" t="s">
        <v>171</v>
      </c>
      <c r="D81" s="2">
        <v>153</v>
      </c>
      <c r="E81" s="2">
        <v>172</v>
      </c>
      <c r="F81" s="2" t="s">
        <v>172</v>
      </c>
      <c r="G81" s="2">
        <v>0</v>
      </c>
      <c r="H81" s="2">
        <v>0</v>
      </c>
      <c r="I81" s="2">
        <v>97.2</v>
      </c>
      <c r="J81" s="2">
        <v>0.9</v>
      </c>
      <c r="K81" s="2">
        <v>-3.5</v>
      </c>
      <c r="L81" s="2">
        <v>0</v>
      </c>
    </row>
    <row r="82" spans="2:12" ht="15" x14ac:dyDescent="0.25">
      <c r="B82" t="str">
        <f t="shared" si="3"/>
        <v>153114.3</v>
      </c>
      <c r="C82" s="2" t="s">
        <v>171</v>
      </c>
      <c r="D82" s="2">
        <v>153</v>
      </c>
      <c r="E82" s="2">
        <v>172</v>
      </c>
      <c r="F82" s="2" t="s">
        <v>173</v>
      </c>
      <c r="G82" s="2">
        <v>0</v>
      </c>
      <c r="H82" s="2">
        <v>0</v>
      </c>
      <c r="I82" s="2">
        <v>114.3</v>
      </c>
      <c r="J82" s="2">
        <v>1.5</v>
      </c>
      <c r="K82" s="2">
        <v>4.2</v>
      </c>
      <c r="L82" s="2">
        <v>0</v>
      </c>
    </row>
    <row r="83" spans="2:12" ht="15" x14ac:dyDescent="0.25">
      <c r="B83" t="str">
        <f t="shared" si="3"/>
        <v>153116.1</v>
      </c>
      <c r="C83" s="2" t="s">
        <v>171</v>
      </c>
      <c r="D83" s="2">
        <v>153</v>
      </c>
      <c r="E83" s="2">
        <v>172</v>
      </c>
      <c r="F83" s="2" t="s">
        <v>174</v>
      </c>
      <c r="G83" s="2">
        <v>0</v>
      </c>
      <c r="H83" s="2">
        <v>-6.4</v>
      </c>
      <c r="I83" s="2">
        <v>116.1</v>
      </c>
      <c r="J83" s="2">
        <v>5.0999999999999996</v>
      </c>
      <c r="K83" s="2">
        <v>0.6</v>
      </c>
      <c r="L83" s="2">
        <v>0</v>
      </c>
    </row>
    <row r="84" spans="2:12" ht="15" x14ac:dyDescent="0.25">
      <c r="B84" t="str">
        <f t="shared" si="3"/>
        <v>15396.1</v>
      </c>
      <c r="C84" s="2" t="s">
        <v>171</v>
      </c>
      <c r="D84" s="2">
        <v>153</v>
      </c>
      <c r="E84" s="2">
        <v>172</v>
      </c>
      <c r="F84" s="2" t="s">
        <v>175</v>
      </c>
      <c r="G84" s="2">
        <v>0</v>
      </c>
      <c r="H84" s="2">
        <v>0</v>
      </c>
      <c r="I84" s="2">
        <v>96.1</v>
      </c>
      <c r="J84" s="2">
        <v>-2.7</v>
      </c>
      <c r="K84" s="2">
        <v>0.2</v>
      </c>
      <c r="L84" s="2">
        <v>0</v>
      </c>
    </row>
    <row r="85" spans="2:12" ht="15" x14ac:dyDescent="0.25">
      <c r="B85" t="str">
        <f t="shared" si="3"/>
        <v>155224.7</v>
      </c>
      <c r="C85" s="2" t="s">
        <v>171</v>
      </c>
      <c r="D85" s="2">
        <v>155</v>
      </c>
      <c r="E85" s="2">
        <v>122</v>
      </c>
      <c r="F85" s="2" t="s">
        <v>143</v>
      </c>
      <c r="G85" s="2">
        <v>0</v>
      </c>
      <c r="H85" s="2">
        <v>0</v>
      </c>
      <c r="I85" s="2">
        <v>224.7</v>
      </c>
      <c r="J85" s="2">
        <v>0.1</v>
      </c>
      <c r="K85" s="2">
        <v>0.6</v>
      </c>
      <c r="L85" s="2">
        <v>0</v>
      </c>
    </row>
    <row r="86" spans="2:12" ht="15" x14ac:dyDescent="0.25">
      <c r="B86" t="str">
        <f t="shared" si="3"/>
        <v>155225.8</v>
      </c>
      <c r="C86" s="2" t="s">
        <v>171</v>
      </c>
      <c r="D86" s="2">
        <v>155</v>
      </c>
      <c r="E86" s="2">
        <v>122</v>
      </c>
      <c r="F86" s="2" t="s">
        <v>144</v>
      </c>
      <c r="G86" s="2">
        <v>0</v>
      </c>
      <c r="H86" s="2">
        <v>0</v>
      </c>
      <c r="I86" s="2">
        <v>225.8</v>
      </c>
      <c r="J86" s="2">
        <v>-0.1</v>
      </c>
      <c r="K86" s="2">
        <v>-3</v>
      </c>
      <c r="L86" s="2">
        <v>0</v>
      </c>
    </row>
    <row r="87" spans="2:12" ht="15" x14ac:dyDescent="0.25">
      <c r="B87" t="str">
        <f t="shared" si="3"/>
        <v>155220.3</v>
      </c>
      <c r="C87" s="2" t="s">
        <v>171</v>
      </c>
      <c r="D87" s="2">
        <v>155</v>
      </c>
      <c r="E87" s="2">
        <v>122</v>
      </c>
      <c r="F87" s="2" t="s">
        <v>145</v>
      </c>
      <c r="G87" s="2">
        <v>0</v>
      </c>
      <c r="H87" s="2">
        <v>0</v>
      </c>
      <c r="I87" s="2">
        <v>220.3</v>
      </c>
      <c r="J87" s="2">
        <v>0.2</v>
      </c>
      <c r="K87" s="2">
        <v>4.0999999999999996</v>
      </c>
      <c r="L87" s="2">
        <v>0</v>
      </c>
    </row>
    <row r="88" spans="2:12" ht="15" x14ac:dyDescent="0.25">
      <c r="B88" t="str">
        <f t="shared" si="3"/>
        <v>155234.4</v>
      </c>
      <c r="C88" s="2" t="s">
        <v>171</v>
      </c>
      <c r="D88" s="2">
        <v>155</v>
      </c>
      <c r="E88" s="2">
        <v>122</v>
      </c>
      <c r="F88" s="2" t="s">
        <v>146</v>
      </c>
      <c r="G88" s="2">
        <v>0</v>
      </c>
      <c r="H88" s="2">
        <v>0</v>
      </c>
      <c r="I88" s="2">
        <v>234.4</v>
      </c>
      <c r="J88" s="2">
        <v>3.8</v>
      </c>
      <c r="K88" s="2">
        <v>0.8</v>
      </c>
      <c r="L88" s="2">
        <v>0</v>
      </c>
    </row>
    <row r="89" spans="2:12" ht="15" x14ac:dyDescent="0.25">
      <c r="B89" t="str">
        <f t="shared" si="3"/>
        <v>155211.6</v>
      </c>
      <c r="C89" s="2" t="s">
        <v>171</v>
      </c>
      <c r="D89" s="2">
        <v>155</v>
      </c>
      <c r="E89" s="2">
        <v>122</v>
      </c>
      <c r="F89" s="2" t="s">
        <v>147</v>
      </c>
      <c r="G89" s="2">
        <v>0</v>
      </c>
      <c r="H89" s="2">
        <v>0</v>
      </c>
      <c r="I89" s="2">
        <v>211.6</v>
      </c>
      <c r="J89" s="2">
        <v>-3.7</v>
      </c>
      <c r="K89" s="2">
        <v>0.4</v>
      </c>
      <c r="L89" s="2">
        <v>0</v>
      </c>
    </row>
    <row r="90" spans="2:12" ht="15" x14ac:dyDescent="0.25">
      <c r="B90" t="str">
        <f t="shared" si="3"/>
        <v>155211.6</v>
      </c>
      <c r="C90" s="2" t="s">
        <v>171</v>
      </c>
      <c r="D90" s="2">
        <v>155</v>
      </c>
      <c r="E90" s="2">
        <v>122</v>
      </c>
      <c r="F90" s="2" t="s">
        <v>172</v>
      </c>
      <c r="G90" s="2">
        <v>0</v>
      </c>
      <c r="H90" s="2">
        <v>0</v>
      </c>
      <c r="I90" s="2">
        <v>211.6</v>
      </c>
      <c r="J90" s="2">
        <v>-0.1</v>
      </c>
      <c r="K90" s="2">
        <v>-3.4</v>
      </c>
      <c r="L90" s="2">
        <v>0</v>
      </c>
    </row>
    <row r="91" spans="2:12" ht="15" x14ac:dyDescent="0.25">
      <c r="B91" t="str">
        <f t="shared" si="3"/>
        <v>155205.5</v>
      </c>
      <c r="C91" s="2" t="s">
        <v>171</v>
      </c>
      <c r="D91" s="2">
        <v>155</v>
      </c>
      <c r="E91" s="2">
        <v>122</v>
      </c>
      <c r="F91" s="2" t="s">
        <v>173</v>
      </c>
      <c r="G91" s="2">
        <v>5.3</v>
      </c>
      <c r="H91" s="2">
        <v>0</v>
      </c>
      <c r="I91" s="2">
        <v>205.5</v>
      </c>
      <c r="J91" s="2">
        <v>0.3</v>
      </c>
      <c r="K91" s="2">
        <v>4.5999999999999996</v>
      </c>
      <c r="L91" s="2">
        <v>0</v>
      </c>
    </row>
    <row r="92" spans="2:12" ht="15" x14ac:dyDescent="0.25">
      <c r="B92" t="str">
        <f t="shared" si="3"/>
        <v>155221.2</v>
      </c>
      <c r="C92" s="2" t="s">
        <v>171</v>
      </c>
      <c r="D92" s="2">
        <v>155</v>
      </c>
      <c r="E92" s="2">
        <v>122</v>
      </c>
      <c r="F92" s="2" t="s">
        <v>174</v>
      </c>
      <c r="G92" s="2">
        <v>0</v>
      </c>
      <c r="H92" s="2">
        <v>0</v>
      </c>
      <c r="I92" s="2">
        <v>221.2</v>
      </c>
      <c r="J92" s="2">
        <v>4.2</v>
      </c>
      <c r="K92" s="2">
        <v>0.8</v>
      </c>
      <c r="L92" s="2">
        <v>0</v>
      </c>
    </row>
    <row r="93" spans="2:12" ht="15" x14ac:dyDescent="0.25">
      <c r="B93" t="str">
        <f t="shared" si="3"/>
        <v>155195.9</v>
      </c>
      <c r="C93" s="2" t="s">
        <v>171</v>
      </c>
      <c r="D93" s="2">
        <v>155</v>
      </c>
      <c r="E93" s="2">
        <v>122</v>
      </c>
      <c r="F93" s="2" t="s">
        <v>175</v>
      </c>
      <c r="G93" s="2">
        <v>0</v>
      </c>
      <c r="H93" s="2">
        <v>0</v>
      </c>
      <c r="I93" s="2">
        <v>195.9</v>
      </c>
      <c r="J93" s="2">
        <v>-4.0999999999999996</v>
      </c>
      <c r="K93" s="2">
        <v>0.4</v>
      </c>
      <c r="L93" s="2">
        <v>0</v>
      </c>
    </row>
    <row r="94" spans="2:12" ht="15" x14ac:dyDescent="0.25">
      <c r="B94" t="str">
        <f t="shared" si="3"/>
        <v>160423.6</v>
      </c>
      <c r="C94" s="2" t="s">
        <v>171</v>
      </c>
      <c r="D94" s="2">
        <v>160</v>
      </c>
      <c r="E94" s="2">
        <v>123</v>
      </c>
      <c r="F94" s="2" t="s">
        <v>143</v>
      </c>
      <c r="G94" s="2">
        <v>0</v>
      </c>
      <c r="H94" s="2">
        <v>-31.7</v>
      </c>
      <c r="I94" s="2">
        <v>423.6</v>
      </c>
      <c r="J94" s="2">
        <v>18.100000000000001</v>
      </c>
      <c r="K94" s="2">
        <v>-0.6</v>
      </c>
      <c r="L94" s="2">
        <v>0</v>
      </c>
    </row>
    <row r="95" spans="2:12" ht="15" x14ac:dyDescent="0.25">
      <c r="B95" t="str">
        <f t="shared" si="3"/>
        <v>160419.2</v>
      </c>
      <c r="C95" s="2" t="s">
        <v>171</v>
      </c>
      <c r="D95" s="2">
        <v>160</v>
      </c>
      <c r="E95" s="2">
        <v>123</v>
      </c>
      <c r="F95" s="2" t="s">
        <v>144</v>
      </c>
      <c r="G95" s="2">
        <v>-7.9</v>
      </c>
      <c r="H95" s="2">
        <v>-32.5</v>
      </c>
      <c r="I95" s="2">
        <v>419.2</v>
      </c>
      <c r="J95" s="2">
        <v>19.100000000000001</v>
      </c>
      <c r="K95" s="2">
        <v>-7.2</v>
      </c>
      <c r="L95" s="2">
        <v>-0.1</v>
      </c>
    </row>
    <row r="96" spans="2:12" ht="15" x14ac:dyDescent="0.25">
      <c r="B96" t="str">
        <f t="shared" si="3"/>
        <v>160423.3</v>
      </c>
      <c r="C96" s="2" t="s">
        <v>171</v>
      </c>
      <c r="D96" s="2">
        <v>160</v>
      </c>
      <c r="E96" s="2">
        <v>123</v>
      </c>
      <c r="F96" s="2" t="s">
        <v>145</v>
      </c>
      <c r="G96" s="2">
        <v>5.8</v>
      </c>
      <c r="H96" s="2">
        <v>-31</v>
      </c>
      <c r="I96" s="2">
        <v>423.3</v>
      </c>
      <c r="J96" s="2">
        <v>17.100000000000001</v>
      </c>
      <c r="K96" s="2">
        <v>6</v>
      </c>
      <c r="L96" s="2">
        <v>0</v>
      </c>
    </row>
    <row r="97" spans="2:12" ht="15" x14ac:dyDescent="0.25">
      <c r="B97" t="str">
        <f t="shared" si="3"/>
        <v>160447</v>
      </c>
      <c r="C97" s="2" t="s">
        <v>171</v>
      </c>
      <c r="D97" s="2">
        <v>160</v>
      </c>
      <c r="E97" s="2">
        <v>123</v>
      </c>
      <c r="F97" s="2" t="s">
        <v>146</v>
      </c>
      <c r="G97" s="2">
        <v>0</v>
      </c>
      <c r="H97" s="2">
        <v>-49.9</v>
      </c>
      <c r="I97" s="2">
        <v>447</v>
      </c>
      <c r="J97" s="2">
        <v>42.2</v>
      </c>
      <c r="K97" s="2">
        <v>-0.3</v>
      </c>
      <c r="L97" s="2">
        <v>0</v>
      </c>
    </row>
    <row r="98" spans="2:12" ht="15" x14ac:dyDescent="0.25">
      <c r="B98" t="str">
        <f t="shared" si="3"/>
        <v>160396</v>
      </c>
      <c r="C98" s="2" t="s">
        <v>171</v>
      </c>
      <c r="D98" s="2">
        <v>160</v>
      </c>
      <c r="E98" s="2">
        <v>123</v>
      </c>
      <c r="F98" s="2" t="s">
        <v>147</v>
      </c>
      <c r="G98" s="2">
        <v>0</v>
      </c>
      <c r="H98" s="2">
        <v>-13.6</v>
      </c>
      <c r="I98" s="2">
        <v>396</v>
      </c>
      <c r="J98" s="2">
        <v>-5.9</v>
      </c>
      <c r="K98" s="2">
        <v>-1</v>
      </c>
      <c r="L98" s="2">
        <v>0</v>
      </c>
    </row>
    <row r="99" spans="2:12" ht="15" x14ac:dyDescent="0.25">
      <c r="B99" t="str">
        <f t="shared" si="3"/>
        <v>160398.2</v>
      </c>
      <c r="C99" s="2" t="s">
        <v>171</v>
      </c>
      <c r="D99" s="2">
        <v>160</v>
      </c>
      <c r="E99" s="2">
        <v>123</v>
      </c>
      <c r="F99" s="2" t="s">
        <v>172</v>
      </c>
      <c r="G99" s="2">
        <v>-8.6999999999999993</v>
      </c>
      <c r="H99" s="2">
        <v>-32.9</v>
      </c>
      <c r="I99" s="2">
        <v>398.2</v>
      </c>
      <c r="J99" s="2">
        <v>19.5</v>
      </c>
      <c r="K99" s="2">
        <v>-7.9</v>
      </c>
      <c r="L99" s="2">
        <v>-0.1</v>
      </c>
    </row>
    <row r="100" spans="2:12" ht="15" x14ac:dyDescent="0.25">
      <c r="B100" t="str">
        <f t="shared" si="3"/>
        <v>160402.8</v>
      </c>
      <c r="C100" s="2" t="s">
        <v>171</v>
      </c>
      <c r="D100" s="2">
        <v>160</v>
      </c>
      <c r="E100" s="2">
        <v>123</v>
      </c>
      <c r="F100" s="2" t="s">
        <v>173</v>
      </c>
      <c r="G100" s="2">
        <v>6.6</v>
      </c>
      <c r="H100" s="2">
        <v>-31.3</v>
      </c>
      <c r="I100" s="2">
        <v>402.8</v>
      </c>
      <c r="J100" s="2">
        <v>17.2</v>
      </c>
      <c r="K100" s="2">
        <v>6.7</v>
      </c>
      <c r="L100" s="2">
        <v>0</v>
      </c>
    </row>
    <row r="101" spans="2:12" ht="15" x14ac:dyDescent="0.25">
      <c r="B101" t="str">
        <f t="shared" si="3"/>
        <v>160429.1</v>
      </c>
      <c r="C101" s="2" t="s">
        <v>171</v>
      </c>
      <c r="D101" s="2">
        <v>160</v>
      </c>
      <c r="E101" s="2">
        <v>123</v>
      </c>
      <c r="F101" s="2" t="s">
        <v>174</v>
      </c>
      <c r="G101" s="2">
        <v>0</v>
      </c>
      <c r="H101" s="2">
        <v>-52.4</v>
      </c>
      <c r="I101" s="2">
        <v>429.1</v>
      </c>
      <c r="J101" s="2">
        <v>45.1</v>
      </c>
      <c r="K101" s="2">
        <v>-0.2</v>
      </c>
      <c r="L101" s="2">
        <v>-0.1</v>
      </c>
    </row>
    <row r="102" spans="2:12" ht="15" x14ac:dyDescent="0.25">
      <c r="B102" t="str">
        <f t="shared" si="3"/>
        <v>160372.5</v>
      </c>
      <c r="C102" s="2" t="s">
        <v>171</v>
      </c>
      <c r="D102" s="2">
        <v>160</v>
      </c>
      <c r="E102" s="2">
        <v>123</v>
      </c>
      <c r="F102" s="2" t="s">
        <v>175</v>
      </c>
      <c r="G102" s="2">
        <v>0</v>
      </c>
      <c r="H102" s="2">
        <v>-12</v>
      </c>
      <c r="I102" s="2">
        <v>372.5</v>
      </c>
      <c r="J102" s="2">
        <v>-8.4</v>
      </c>
      <c r="K102" s="2">
        <v>-1</v>
      </c>
      <c r="L102" s="2">
        <v>0</v>
      </c>
    </row>
    <row r="103" spans="2:12" ht="15" x14ac:dyDescent="0.25">
      <c r="B103" t="str">
        <f t="shared" si="3"/>
        <v>165274.7</v>
      </c>
      <c r="C103" s="2" t="s">
        <v>171</v>
      </c>
      <c r="D103" s="2">
        <v>165</v>
      </c>
      <c r="E103" s="2">
        <v>144</v>
      </c>
      <c r="F103" s="2" t="s">
        <v>143</v>
      </c>
      <c r="G103" s="2">
        <v>0</v>
      </c>
      <c r="H103" s="2">
        <v>-9.4</v>
      </c>
      <c r="I103" s="2">
        <v>274.7</v>
      </c>
      <c r="J103" s="2">
        <v>5.6</v>
      </c>
      <c r="K103" s="2">
        <v>-0.5</v>
      </c>
      <c r="L103" s="2">
        <v>0</v>
      </c>
    </row>
    <row r="104" spans="2:12" ht="15" x14ac:dyDescent="0.25">
      <c r="B104" t="str">
        <f t="shared" si="3"/>
        <v>165281.9</v>
      </c>
      <c r="C104" s="2" t="s">
        <v>171</v>
      </c>
      <c r="D104" s="2">
        <v>165</v>
      </c>
      <c r="E104" s="2">
        <v>144</v>
      </c>
      <c r="F104" s="2" t="s">
        <v>144</v>
      </c>
      <c r="G104" s="2">
        <v>0</v>
      </c>
      <c r="H104" s="2">
        <v>-9.9</v>
      </c>
      <c r="I104" s="2">
        <v>281.89999999999998</v>
      </c>
      <c r="J104" s="2">
        <v>6</v>
      </c>
      <c r="K104" s="2">
        <v>-4</v>
      </c>
      <c r="L104" s="2">
        <v>0</v>
      </c>
    </row>
    <row r="105" spans="2:12" ht="15" x14ac:dyDescent="0.25">
      <c r="B105" t="str">
        <f t="shared" si="3"/>
        <v>165263.8</v>
      </c>
      <c r="C105" s="2" t="s">
        <v>171</v>
      </c>
      <c r="D105" s="2">
        <v>165</v>
      </c>
      <c r="E105" s="2">
        <v>144</v>
      </c>
      <c r="F105" s="2" t="s">
        <v>145</v>
      </c>
      <c r="G105" s="2">
        <v>0</v>
      </c>
      <c r="H105" s="2">
        <v>-8.9</v>
      </c>
      <c r="I105" s="2">
        <v>263.8</v>
      </c>
      <c r="J105" s="2">
        <v>5.0999999999999996</v>
      </c>
      <c r="K105" s="2">
        <v>2.9</v>
      </c>
      <c r="L105" s="2">
        <v>0</v>
      </c>
    </row>
    <row r="106" spans="2:12" ht="15" x14ac:dyDescent="0.25">
      <c r="B106" t="str">
        <f t="shared" si="3"/>
        <v>165277.1</v>
      </c>
      <c r="C106" s="2" t="s">
        <v>171</v>
      </c>
      <c r="D106" s="2">
        <v>165</v>
      </c>
      <c r="E106" s="2">
        <v>144</v>
      </c>
      <c r="F106" s="2" t="s">
        <v>146</v>
      </c>
      <c r="G106" s="2">
        <v>0</v>
      </c>
      <c r="H106" s="2">
        <v>-13.7</v>
      </c>
      <c r="I106" s="2">
        <v>277.10000000000002</v>
      </c>
      <c r="J106" s="2">
        <v>9.8000000000000007</v>
      </c>
      <c r="K106" s="2">
        <v>-0.4</v>
      </c>
      <c r="L106" s="2">
        <v>0</v>
      </c>
    </row>
    <row r="107" spans="2:12" ht="15" x14ac:dyDescent="0.25">
      <c r="B107" t="str">
        <f t="shared" si="3"/>
        <v>165268.3</v>
      </c>
      <c r="C107" s="2" t="s">
        <v>171</v>
      </c>
      <c r="D107" s="2">
        <v>165</v>
      </c>
      <c r="E107" s="2">
        <v>144</v>
      </c>
      <c r="F107" s="2" t="s">
        <v>147</v>
      </c>
      <c r="G107" s="2">
        <v>0</v>
      </c>
      <c r="H107" s="2">
        <v>-5</v>
      </c>
      <c r="I107" s="2">
        <v>268.3</v>
      </c>
      <c r="J107" s="2">
        <v>1.3</v>
      </c>
      <c r="K107" s="2">
        <v>-0.7</v>
      </c>
      <c r="L107" s="2">
        <v>0</v>
      </c>
    </row>
    <row r="108" spans="2:12" ht="15" x14ac:dyDescent="0.25">
      <c r="B108" t="str">
        <f t="shared" si="3"/>
        <v>165266.1</v>
      </c>
      <c r="C108" s="2" t="s">
        <v>171</v>
      </c>
      <c r="D108" s="2">
        <v>165</v>
      </c>
      <c r="E108" s="2">
        <v>144</v>
      </c>
      <c r="F108" s="2" t="s">
        <v>172</v>
      </c>
      <c r="G108" s="2">
        <v>0</v>
      </c>
      <c r="H108" s="2">
        <v>-10</v>
      </c>
      <c r="I108" s="2">
        <v>266.10000000000002</v>
      </c>
      <c r="J108" s="2">
        <v>6.1</v>
      </c>
      <c r="K108" s="2">
        <v>-4.3</v>
      </c>
      <c r="L108" s="2">
        <v>0</v>
      </c>
    </row>
    <row r="109" spans="2:12" ht="15" x14ac:dyDescent="0.25">
      <c r="B109" t="str">
        <f t="shared" si="3"/>
        <v>165246</v>
      </c>
      <c r="C109" s="2" t="s">
        <v>171</v>
      </c>
      <c r="D109" s="2">
        <v>165</v>
      </c>
      <c r="E109" s="2">
        <v>144</v>
      </c>
      <c r="F109" s="2" t="s">
        <v>173</v>
      </c>
      <c r="G109" s="2">
        <v>0</v>
      </c>
      <c r="H109" s="2">
        <v>-8.9</v>
      </c>
      <c r="I109" s="2">
        <v>246</v>
      </c>
      <c r="J109" s="2">
        <v>5.0999999999999996</v>
      </c>
      <c r="K109" s="2">
        <v>3.3</v>
      </c>
      <c r="L109" s="2">
        <v>0</v>
      </c>
    </row>
    <row r="110" spans="2:12" ht="15" x14ac:dyDescent="0.25">
      <c r="B110" t="str">
        <f t="shared" si="3"/>
        <v>165260.7</v>
      </c>
      <c r="C110" s="2" t="s">
        <v>171</v>
      </c>
      <c r="D110" s="2">
        <v>165</v>
      </c>
      <c r="E110" s="2">
        <v>144</v>
      </c>
      <c r="F110" s="2" t="s">
        <v>174</v>
      </c>
      <c r="G110" s="2">
        <v>0</v>
      </c>
      <c r="H110" s="2">
        <v>-14.3</v>
      </c>
      <c r="I110" s="2">
        <v>260.7</v>
      </c>
      <c r="J110" s="2">
        <v>10.3</v>
      </c>
      <c r="K110" s="2">
        <v>-0.3</v>
      </c>
      <c r="L110" s="2">
        <v>0</v>
      </c>
    </row>
    <row r="111" spans="2:12" ht="15" x14ac:dyDescent="0.25">
      <c r="B111" t="str">
        <f t="shared" si="3"/>
        <v>165251</v>
      </c>
      <c r="C111" s="2" t="s">
        <v>171</v>
      </c>
      <c r="D111" s="2">
        <v>165</v>
      </c>
      <c r="E111" s="2">
        <v>144</v>
      </c>
      <c r="F111" s="2" t="s">
        <v>175</v>
      </c>
      <c r="G111" s="2">
        <v>0</v>
      </c>
      <c r="H111" s="2">
        <v>0</v>
      </c>
      <c r="I111" s="2">
        <v>251</v>
      </c>
      <c r="J111" s="2">
        <v>0.9</v>
      </c>
      <c r="K111" s="2">
        <v>-0.7</v>
      </c>
      <c r="L111" s="2">
        <v>0</v>
      </c>
    </row>
    <row r="112" spans="2:12" x14ac:dyDescent="0.2">
      <c r="B112" t="str">
        <f t="shared" si="3"/>
        <v/>
      </c>
    </row>
    <row r="113" spans="2:2" x14ac:dyDescent="0.2">
      <c r="B113" t="str">
        <f t="shared" si="3"/>
        <v/>
      </c>
    </row>
    <row r="114" spans="2:2" x14ac:dyDescent="0.2">
      <c r="B114" t="str">
        <f t="shared" si="3"/>
        <v/>
      </c>
    </row>
    <row r="115" spans="2:2" x14ac:dyDescent="0.2">
      <c r="B115" t="str">
        <f t="shared" si="3"/>
        <v/>
      </c>
    </row>
    <row r="116" spans="2:2" x14ac:dyDescent="0.2">
      <c r="B116" t="str">
        <f t="shared" si="3"/>
        <v/>
      </c>
    </row>
    <row r="117" spans="2:2" x14ac:dyDescent="0.2">
      <c r="B117" t="str">
        <f t="shared" si="3"/>
        <v/>
      </c>
    </row>
    <row r="118" spans="2:2" x14ac:dyDescent="0.2">
      <c r="B118" t="str">
        <f t="shared" si="3"/>
        <v/>
      </c>
    </row>
    <row r="119" spans="2:2" x14ac:dyDescent="0.2">
      <c r="B119" t="str">
        <f t="shared" si="3"/>
        <v/>
      </c>
    </row>
    <row r="120" spans="2:2" x14ac:dyDescent="0.2">
      <c r="B120" t="str">
        <f t="shared" si="3"/>
        <v/>
      </c>
    </row>
    <row r="121" spans="2:2" x14ac:dyDescent="0.2">
      <c r="B121" t="str">
        <f t="shared" si="3"/>
        <v/>
      </c>
    </row>
    <row r="122" spans="2:2" x14ac:dyDescent="0.2">
      <c r="B122" t="str">
        <f t="shared" si="3"/>
        <v/>
      </c>
    </row>
    <row r="123" spans="2:2" x14ac:dyDescent="0.2">
      <c r="B123" t="str">
        <f t="shared" si="3"/>
        <v/>
      </c>
    </row>
    <row r="124" spans="2:2" x14ac:dyDescent="0.2">
      <c r="B124" t="str">
        <f t="shared" si="3"/>
        <v/>
      </c>
    </row>
    <row r="125" spans="2:2" x14ac:dyDescent="0.2">
      <c r="B125" t="str">
        <f t="shared" si="3"/>
        <v/>
      </c>
    </row>
    <row r="126" spans="2:2" x14ac:dyDescent="0.2">
      <c r="B126" t="str">
        <f t="shared" si="3"/>
        <v/>
      </c>
    </row>
    <row r="127" spans="2:2" x14ac:dyDescent="0.2">
      <c r="B127" t="str">
        <f t="shared" si="3"/>
        <v/>
      </c>
    </row>
    <row r="128" spans="2:2" x14ac:dyDescent="0.2">
      <c r="B128" t="str">
        <f t="shared" si="3"/>
        <v/>
      </c>
    </row>
    <row r="129" spans="2:2" x14ac:dyDescent="0.2">
      <c r="B129" t="str">
        <f t="shared" si="3"/>
        <v/>
      </c>
    </row>
    <row r="130" spans="2:2" x14ac:dyDescent="0.2">
      <c r="B130" t="str">
        <f t="shared" si="3"/>
        <v/>
      </c>
    </row>
    <row r="131" spans="2:2" x14ac:dyDescent="0.2">
      <c r="B131" t="str">
        <f t="shared" si="3"/>
        <v/>
      </c>
    </row>
    <row r="132" spans="2:2" x14ac:dyDescent="0.2">
      <c r="B132" t="str">
        <f t="shared" si="3"/>
        <v/>
      </c>
    </row>
    <row r="133" spans="2:2" x14ac:dyDescent="0.2">
      <c r="B133" t="str">
        <f t="shared" ref="B133:B196" si="4">D133&amp;I133</f>
        <v/>
      </c>
    </row>
    <row r="134" spans="2:2" x14ac:dyDescent="0.2">
      <c r="B134" t="str">
        <f t="shared" si="4"/>
        <v/>
      </c>
    </row>
    <row r="135" spans="2:2" x14ac:dyDescent="0.2">
      <c r="B135" t="str">
        <f t="shared" si="4"/>
        <v/>
      </c>
    </row>
    <row r="136" spans="2:2" x14ac:dyDescent="0.2">
      <c r="B136" t="str">
        <f t="shared" si="4"/>
        <v/>
      </c>
    </row>
    <row r="137" spans="2:2" x14ac:dyDescent="0.2">
      <c r="B137" t="str">
        <f t="shared" si="4"/>
        <v/>
      </c>
    </row>
    <row r="138" spans="2:2" x14ac:dyDescent="0.2">
      <c r="B138" t="str">
        <f t="shared" si="4"/>
        <v/>
      </c>
    </row>
    <row r="139" spans="2:2" x14ac:dyDescent="0.2">
      <c r="B139" t="str">
        <f t="shared" si="4"/>
        <v/>
      </c>
    </row>
    <row r="140" spans="2:2" x14ac:dyDescent="0.2">
      <c r="B140" t="str">
        <f t="shared" si="4"/>
        <v/>
      </c>
    </row>
    <row r="141" spans="2:2" x14ac:dyDescent="0.2">
      <c r="B141" t="str">
        <f t="shared" si="4"/>
        <v/>
      </c>
    </row>
    <row r="142" spans="2:2" x14ac:dyDescent="0.2">
      <c r="B142" t="str">
        <f t="shared" si="4"/>
        <v/>
      </c>
    </row>
    <row r="143" spans="2:2" x14ac:dyDescent="0.2">
      <c r="B143" t="str">
        <f t="shared" si="4"/>
        <v/>
      </c>
    </row>
    <row r="144" spans="2:2" x14ac:dyDescent="0.2">
      <c r="B144" t="str">
        <f t="shared" si="4"/>
        <v/>
      </c>
    </row>
    <row r="145" spans="2:2" x14ac:dyDescent="0.2">
      <c r="B145" t="str">
        <f t="shared" si="4"/>
        <v/>
      </c>
    </row>
    <row r="146" spans="2:2" x14ac:dyDescent="0.2">
      <c r="B146" t="str">
        <f t="shared" si="4"/>
        <v/>
      </c>
    </row>
    <row r="147" spans="2:2" x14ac:dyDescent="0.2">
      <c r="B147" t="str">
        <f t="shared" si="4"/>
        <v/>
      </c>
    </row>
    <row r="148" spans="2:2" x14ac:dyDescent="0.2">
      <c r="B148" t="str">
        <f t="shared" si="4"/>
        <v/>
      </c>
    </row>
    <row r="149" spans="2:2" x14ac:dyDescent="0.2">
      <c r="B149" t="str">
        <f t="shared" si="4"/>
        <v/>
      </c>
    </row>
    <row r="150" spans="2:2" x14ac:dyDescent="0.2">
      <c r="B150" t="str">
        <f t="shared" si="4"/>
        <v/>
      </c>
    </row>
    <row r="151" spans="2:2" x14ac:dyDescent="0.2">
      <c r="B151" t="str">
        <f t="shared" si="4"/>
        <v/>
      </c>
    </row>
    <row r="152" spans="2:2" x14ac:dyDescent="0.2">
      <c r="B152" t="str">
        <f t="shared" si="4"/>
        <v/>
      </c>
    </row>
    <row r="153" spans="2:2" x14ac:dyDescent="0.2">
      <c r="B153" t="str">
        <f t="shared" si="4"/>
        <v/>
      </c>
    </row>
    <row r="154" spans="2:2" x14ac:dyDescent="0.2">
      <c r="B154" t="str">
        <f t="shared" si="4"/>
        <v/>
      </c>
    </row>
    <row r="155" spans="2:2" x14ac:dyDescent="0.2">
      <c r="B155" t="str">
        <f t="shared" si="4"/>
        <v/>
      </c>
    </row>
    <row r="156" spans="2:2" x14ac:dyDescent="0.2">
      <c r="B156" t="str">
        <f t="shared" si="4"/>
        <v/>
      </c>
    </row>
    <row r="157" spans="2:2" x14ac:dyDescent="0.2">
      <c r="B157" t="str">
        <f t="shared" si="4"/>
        <v/>
      </c>
    </row>
    <row r="158" spans="2:2" x14ac:dyDescent="0.2">
      <c r="B158" t="str">
        <f t="shared" si="4"/>
        <v/>
      </c>
    </row>
    <row r="159" spans="2:2" x14ac:dyDescent="0.2">
      <c r="B159" t="str">
        <f t="shared" si="4"/>
        <v/>
      </c>
    </row>
    <row r="160" spans="2:2" x14ac:dyDescent="0.2">
      <c r="B160" t="str">
        <f t="shared" si="4"/>
        <v/>
      </c>
    </row>
    <row r="161" spans="2:2" x14ac:dyDescent="0.2">
      <c r="B161" t="str">
        <f t="shared" si="4"/>
        <v/>
      </c>
    </row>
    <row r="162" spans="2:2" x14ac:dyDescent="0.2">
      <c r="B162" t="str">
        <f t="shared" si="4"/>
        <v/>
      </c>
    </row>
    <row r="163" spans="2:2" x14ac:dyDescent="0.2">
      <c r="B163" t="str">
        <f t="shared" si="4"/>
        <v/>
      </c>
    </row>
    <row r="164" spans="2:2" x14ac:dyDescent="0.2">
      <c r="B164" t="str">
        <f t="shared" si="4"/>
        <v/>
      </c>
    </row>
    <row r="165" spans="2:2" x14ac:dyDescent="0.2">
      <c r="B165" t="str">
        <f t="shared" si="4"/>
        <v/>
      </c>
    </row>
    <row r="166" spans="2:2" x14ac:dyDescent="0.2">
      <c r="B166" t="str">
        <f t="shared" si="4"/>
        <v/>
      </c>
    </row>
    <row r="167" spans="2:2" x14ac:dyDescent="0.2">
      <c r="B167" t="str">
        <f t="shared" si="4"/>
        <v/>
      </c>
    </row>
    <row r="168" spans="2:2" x14ac:dyDescent="0.2">
      <c r="B168" t="str">
        <f t="shared" si="4"/>
        <v/>
      </c>
    </row>
    <row r="169" spans="2:2" x14ac:dyDescent="0.2">
      <c r="B169" t="str">
        <f t="shared" si="4"/>
        <v/>
      </c>
    </row>
    <row r="170" spans="2:2" x14ac:dyDescent="0.2">
      <c r="B170" t="str">
        <f t="shared" si="4"/>
        <v/>
      </c>
    </row>
    <row r="171" spans="2:2" x14ac:dyDescent="0.2">
      <c r="B171" t="str">
        <f t="shared" si="4"/>
        <v/>
      </c>
    </row>
    <row r="172" spans="2:2" x14ac:dyDescent="0.2">
      <c r="B172" t="str">
        <f t="shared" si="4"/>
        <v/>
      </c>
    </row>
    <row r="173" spans="2:2" x14ac:dyDescent="0.2">
      <c r="B173" t="str">
        <f t="shared" si="4"/>
        <v/>
      </c>
    </row>
    <row r="174" spans="2:2" x14ac:dyDescent="0.2">
      <c r="B174" t="str">
        <f t="shared" si="4"/>
        <v/>
      </c>
    </row>
    <row r="175" spans="2:2" x14ac:dyDescent="0.2">
      <c r="B175" t="str">
        <f t="shared" si="4"/>
        <v/>
      </c>
    </row>
    <row r="176" spans="2:2" x14ac:dyDescent="0.2">
      <c r="B176" t="str">
        <f t="shared" si="4"/>
        <v/>
      </c>
    </row>
    <row r="177" spans="2:2" x14ac:dyDescent="0.2">
      <c r="B177" t="str">
        <f t="shared" si="4"/>
        <v/>
      </c>
    </row>
    <row r="178" spans="2:2" x14ac:dyDescent="0.2">
      <c r="B178" t="str">
        <f t="shared" si="4"/>
        <v/>
      </c>
    </row>
    <row r="179" spans="2:2" x14ac:dyDescent="0.2">
      <c r="B179" t="str">
        <f t="shared" si="4"/>
        <v/>
      </c>
    </row>
    <row r="180" spans="2:2" x14ac:dyDescent="0.2">
      <c r="B180" t="str">
        <f t="shared" si="4"/>
        <v/>
      </c>
    </row>
    <row r="181" spans="2:2" x14ac:dyDescent="0.2">
      <c r="B181" t="str">
        <f t="shared" si="4"/>
        <v/>
      </c>
    </row>
    <row r="182" spans="2:2" x14ac:dyDescent="0.2">
      <c r="B182" t="str">
        <f t="shared" si="4"/>
        <v/>
      </c>
    </row>
    <row r="183" spans="2:2" x14ac:dyDescent="0.2">
      <c r="B183" t="str">
        <f t="shared" si="4"/>
        <v/>
      </c>
    </row>
    <row r="184" spans="2:2" x14ac:dyDescent="0.2">
      <c r="B184" t="str">
        <f t="shared" si="4"/>
        <v/>
      </c>
    </row>
    <row r="185" spans="2:2" x14ac:dyDescent="0.2">
      <c r="B185" t="str">
        <f t="shared" si="4"/>
        <v/>
      </c>
    </row>
    <row r="186" spans="2:2" x14ac:dyDescent="0.2">
      <c r="B186" t="str">
        <f t="shared" si="4"/>
        <v/>
      </c>
    </row>
    <row r="187" spans="2:2" x14ac:dyDescent="0.2">
      <c r="B187" t="str">
        <f t="shared" si="4"/>
        <v/>
      </c>
    </row>
    <row r="188" spans="2:2" x14ac:dyDescent="0.2">
      <c r="B188" t="str">
        <f t="shared" si="4"/>
        <v/>
      </c>
    </row>
    <row r="189" spans="2:2" x14ac:dyDescent="0.2">
      <c r="B189" t="str">
        <f t="shared" si="4"/>
        <v/>
      </c>
    </row>
    <row r="190" spans="2:2" x14ac:dyDescent="0.2">
      <c r="B190" t="str">
        <f t="shared" si="4"/>
        <v/>
      </c>
    </row>
    <row r="191" spans="2:2" x14ac:dyDescent="0.2">
      <c r="B191" t="str">
        <f t="shared" si="4"/>
        <v/>
      </c>
    </row>
    <row r="192" spans="2:2" x14ac:dyDescent="0.2">
      <c r="B192" t="str">
        <f t="shared" si="4"/>
        <v/>
      </c>
    </row>
    <row r="193" spans="2:2" x14ac:dyDescent="0.2">
      <c r="B193" t="str">
        <f t="shared" si="4"/>
        <v/>
      </c>
    </row>
    <row r="194" spans="2:2" x14ac:dyDescent="0.2">
      <c r="B194" t="str">
        <f t="shared" si="4"/>
        <v/>
      </c>
    </row>
    <row r="195" spans="2:2" x14ac:dyDescent="0.2">
      <c r="B195" t="str">
        <f t="shared" si="4"/>
        <v/>
      </c>
    </row>
    <row r="196" spans="2:2" x14ac:dyDescent="0.2">
      <c r="B196" t="str">
        <f t="shared" si="4"/>
        <v/>
      </c>
    </row>
    <row r="197" spans="2:2" x14ac:dyDescent="0.2">
      <c r="B197" t="str">
        <f t="shared" ref="B197:B260" si="5">D197&amp;I197</f>
        <v/>
      </c>
    </row>
    <row r="198" spans="2:2" x14ac:dyDescent="0.2">
      <c r="B198" t="str">
        <f t="shared" si="5"/>
        <v/>
      </c>
    </row>
    <row r="199" spans="2:2" x14ac:dyDescent="0.2">
      <c r="B199" t="str">
        <f t="shared" si="5"/>
        <v/>
      </c>
    </row>
    <row r="200" spans="2:2" x14ac:dyDescent="0.2">
      <c r="B200" t="str">
        <f t="shared" si="5"/>
        <v/>
      </c>
    </row>
    <row r="201" spans="2:2" x14ac:dyDescent="0.2">
      <c r="B201" t="str">
        <f t="shared" si="5"/>
        <v/>
      </c>
    </row>
    <row r="202" spans="2:2" x14ac:dyDescent="0.2">
      <c r="B202" t="str">
        <f t="shared" si="5"/>
        <v/>
      </c>
    </row>
    <row r="203" spans="2:2" x14ac:dyDescent="0.2">
      <c r="B203" t="str">
        <f t="shared" si="5"/>
        <v/>
      </c>
    </row>
    <row r="204" spans="2:2" x14ac:dyDescent="0.2">
      <c r="B204" t="str">
        <f t="shared" si="5"/>
        <v/>
      </c>
    </row>
    <row r="205" spans="2:2" x14ac:dyDescent="0.2">
      <c r="B205" t="str">
        <f t="shared" si="5"/>
        <v/>
      </c>
    </row>
    <row r="206" spans="2:2" x14ac:dyDescent="0.2">
      <c r="B206" t="str">
        <f t="shared" si="5"/>
        <v/>
      </c>
    </row>
    <row r="207" spans="2:2" x14ac:dyDescent="0.2">
      <c r="B207" t="str">
        <f t="shared" si="5"/>
        <v/>
      </c>
    </row>
    <row r="208" spans="2:2" x14ac:dyDescent="0.2">
      <c r="B208" t="str">
        <f t="shared" si="5"/>
        <v/>
      </c>
    </row>
    <row r="209" spans="2:2" x14ac:dyDescent="0.2">
      <c r="B209" t="str">
        <f t="shared" si="5"/>
        <v/>
      </c>
    </row>
    <row r="210" spans="2:2" x14ac:dyDescent="0.2">
      <c r="B210" t="str">
        <f t="shared" si="5"/>
        <v/>
      </c>
    </row>
    <row r="211" spans="2:2" x14ac:dyDescent="0.2">
      <c r="B211" t="str">
        <f t="shared" si="5"/>
        <v/>
      </c>
    </row>
    <row r="212" spans="2:2" x14ac:dyDescent="0.2">
      <c r="B212" t="str">
        <f t="shared" si="5"/>
        <v/>
      </c>
    </row>
    <row r="213" spans="2:2" x14ac:dyDescent="0.2">
      <c r="B213" t="str">
        <f t="shared" si="5"/>
        <v/>
      </c>
    </row>
    <row r="214" spans="2:2" x14ac:dyDescent="0.2">
      <c r="B214" t="str">
        <f t="shared" si="5"/>
        <v/>
      </c>
    </row>
    <row r="215" spans="2:2" x14ac:dyDescent="0.2">
      <c r="B215" t="str">
        <f t="shared" si="5"/>
        <v/>
      </c>
    </row>
    <row r="216" spans="2:2" x14ac:dyDescent="0.2">
      <c r="B216" t="str">
        <f t="shared" si="5"/>
        <v/>
      </c>
    </row>
    <row r="217" spans="2:2" x14ac:dyDescent="0.2">
      <c r="B217" t="str">
        <f t="shared" si="5"/>
        <v/>
      </c>
    </row>
    <row r="218" spans="2:2" x14ac:dyDescent="0.2">
      <c r="B218" t="str">
        <f t="shared" si="5"/>
        <v/>
      </c>
    </row>
    <row r="219" spans="2:2" x14ac:dyDescent="0.2">
      <c r="B219" t="str">
        <f t="shared" si="5"/>
        <v/>
      </c>
    </row>
    <row r="220" spans="2:2" x14ac:dyDescent="0.2">
      <c r="B220" t="str">
        <f t="shared" si="5"/>
        <v/>
      </c>
    </row>
    <row r="221" spans="2:2" x14ac:dyDescent="0.2">
      <c r="B221" t="str">
        <f t="shared" si="5"/>
        <v/>
      </c>
    </row>
    <row r="222" spans="2:2" x14ac:dyDescent="0.2">
      <c r="B222" t="str">
        <f t="shared" si="5"/>
        <v/>
      </c>
    </row>
    <row r="223" spans="2:2" x14ac:dyDescent="0.2">
      <c r="B223" t="str">
        <f t="shared" si="5"/>
        <v/>
      </c>
    </row>
    <row r="224" spans="2:2" x14ac:dyDescent="0.2">
      <c r="B224" t="str">
        <f t="shared" si="5"/>
        <v/>
      </c>
    </row>
    <row r="225" spans="2:2" x14ac:dyDescent="0.2">
      <c r="B225" t="str">
        <f t="shared" si="5"/>
        <v/>
      </c>
    </row>
    <row r="226" spans="2:2" x14ac:dyDescent="0.2">
      <c r="B226" t="str">
        <f t="shared" si="5"/>
        <v/>
      </c>
    </row>
    <row r="227" spans="2:2" x14ac:dyDescent="0.2">
      <c r="B227" t="str">
        <f t="shared" si="5"/>
        <v/>
      </c>
    </row>
    <row r="228" spans="2:2" x14ac:dyDescent="0.2">
      <c r="B228" t="str">
        <f t="shared" si="5"/>
        <v/>
      </c>
    </row>
    <row r="229" spans="2:2" x14ac:dyDescent="0.2">
      <c r="B229" t="str">
        <f t="shared" si="5"/>
        <v/>
      </c>
    </row>
    <row r="230" spans="2:2" x14ac:dyDescent="0.2">
      <c r="B230" t="str">
        <f t="shared" si="5"/>
        <v/>
      </c>
    </row>
    <row r="231" spans="2:2" x14ac:dyDescent="0.2">
      <c r="B231" t="str">
        <f t="shared" si="5"/>
        <v/>
      </c>
    </row>
    <row r="232" spans="2:2" x14ac:dyDescent="0.2">
      <c r="B232" t="str">
        <f t="shared" si="5"/>
        <v/>
      </c>
    </row>
    <row r="233" spans="2:2" x14ac:dyDescent="0.2">
      <c r="B233" t="str">
        <f t="shared" si="5"/>
        <v/>
      </c>
    </row>
    <row r="234" spans="2:2" x14ac:dyDescent="0.2">
      <c r="B234" t="str">
        <f t="shared" si="5"/>
        <v/>
      </c>
    </row>
    <row r="235" spans="2:2" x14ac:dyDescent="0.2">
      <c r="B235" t="str">
        <f t="shared" si="5"/>
        <v/>
      </c>
    </row>
    <row r="236" spans="2:2" x14ac:dyDescent="0.2">
      <c r="B236" t="str">
        <f t="shared" si="5"/>
        <v/>
      </c>
    </row>
    <row r="237" spans="2:2" x14ac:dyDescent="0.2">
      <c r="B237" t="str">
        <f t="shared" si="5"/>
        <v/>
      </c>
    </row>
    <row r="238" spans="2:2" x14ac:dyDescent="0.2">
      <c r="B238" t="str">
        <f t="shared" si="5"/>
        <v/>
      </c>
    </row>
    <row r="239" spans="2:2" x14ac:dyDescent="0.2">
      <c r="B239" t="str">
        <f t="shared" si="5"/>
        <v/>
      </c>
    </row>
    <row r="240" spans="2:2" x14ac:dyDescent="0.2">
      <c r="B240" t="str">
        <f t="shared" si="5"/>
        <v/>
      </c>
    </row>
    <row r="241" spans="2:2" x14ac:dyDescent="0.2">
      <c r="B241" t="str">
        <f t="shared" si="5"/>
        <v/>
      </c>
    </row>
    <row r="242" spans="2:2" x14ac:dyDescent="0.2">
      <c r="B242" t="str">
        <f t="shared" si="5"/>
        <v/>
      </c>
    </row>
    <row r="243" spans="2:2" x14ac:dyDescent="0.2">
      <c r="B243" t="str">
        <f t="shared" si="5"/>
        <v/>
      </c>
    </row>
    <row r="244" spans="2:2" x14ac:dyDescent="0.2">
      <c r="B244" t="str">
        <f t="shared" si="5"/>
        <v/>
      </c>
    </row>
    <row r="245" spans="2:2" x14ac:dyDescent="0.2">
      <c r="B245" t="str">
        <f t="shared" si="5"/>
        <v/>
      </c>
    </row>
    <row r="246" spans="2:2" x14ac:dyDescent="0.2">
      <c r="B246" t="str">
        <f t="shared" si="5"/>
        <v/>
      </c>
    </row>
    <row r="247" spans="2:2" x14ac:dyDescent="0.2">
      <c r="B247" t="str">
        <f t="shared" si="5"/>
        <v/>
      </c>
    </row>
    <row r="248" spans="2:2" x14ac:dyDescent="0.2">
      <c r="B248" t="str">
        <f t="shared" si="5"/>
        <v/>
      </c>
    </row>
    <row r="249" spans="2:2" x14ac:dyDescent="0.2">
      <c r="B249" t="str">
        <f t="shared" si="5"/>
        <v/>
      </c>
    </row>
    <row r="250" spans="2:2" x14ac:dyDescent="0.2">
      <c r="B250" t="str">
        <f t="shared" si="5"/>
        <v/>
      </c>
    </row>
    <row r="251" spans="2:2" x14ac:dyDescent="0.2">
      <c r="B251" t="str">
        <f t="shared" si="5"/>
        <v/>
      </c>
    </row>
    <row r="252" spans="2:2" x14ac:dyDescent="0.2">
      <c r="B252" t="str">
        <f t="shared" si="5"/>
        <v/>
      </c>
    </row>
    <row r="253" spans="2:2" x14ac:dyDescent="0.2">
      <c r="B253" t="str">
        <f t="shared" si="5"/>
        <v/>
      </c>
    </row>
    <row r="254" spans="2:2" x14ac:dyDescent="0.2">
      <c r="B254" t="str">
        <f t="shared" si="5"/>
        <v/>
      </c>
    </row>
    <row r="255" spans="2:2" x14ac:dyDescent="0.2">
      <c r="B255" t="str">
        <f t="shared" si="5"/>
        <v/>
      </c>
    </row>
    <row r="256" spans="2:2" x14ac:dyDescent="0.2">
      <c r="B256" t="str">
        <f t="shared" si="5"/>
        <v/>
      </c>
    </row>
    <row r="257" spans="2:2" x14ac:dyDescent="0.2">
      <c r="B257" t="str">
        <f t="shared" si="5"/>
        <v/>
      </c>
    </row>
    <row r="258" spans="2:2" x14ac:dyDescent="0.2">
      <c r="B258" t="str">
        <f t="shared" si="5"/>
        <v/>
      </c>
    </row>
    <row r="259" spans="2:2" x14ac:dyDescent="0.2">
      <c r="B259" t="str">
        <f t="shared" si="5"/>
        <v/>
      </c>
    </row>
    <row r="260" spans="2:2" x14ac:dyDescent="0.2">
      <c r="B260" t="str">
        <f t="shared" si="5"/>
        <v/>
      </c>
    </row>
    <row r="261" spans="2:2" x14ac:dyDescent="0.2">
      <c r="B261" t="str">
        <f t="shared" ref="B261:B324" si="6">D261&amp;I261</f>
        <v/>
      </c>
    </row>
    <row r="262" spans="2:2" x14ac:dyDescent="0.2">
      <c r="B262" t="str">
        <f t="shared" si="6"/>
        <v/>
      </c>
    </row>
    <row r="263" spans="2:2" x14ac:dyDescent="0.2">
      <c r="B263" t="str">
        <f t="shared" si="6"/>
        <v/>
      </c>
    </row>
    <row r="264" spans="2:2" x14ac:dyDescent="0.2">
      <c r="B264" t="str">
        <f t="shared" si="6"/>
        <v/>
      </c>
    </row>
    <row r="265" spans="2:2" x14ac:dyDescent="0.2">
      <c r="B265" t="str">
        <f t="shared" si="6"/>
        <v/>
      </c>
    </row>
    <row r="266" spans="2:2" x14ac:dyDescent="0.2">
      <c r="B266" t="str">
        <f t="shared" si="6"/>
        <v/>
      </c>
    </row>
    <row r="267" spans="2:2" x14ac:dyDescent="0.2">
      <c r="B267" t="str">
        <f t="shared" si="6"/>
        <v/>
      </c>
    </row>
    <row r="268" spans="2:2" x14ac:dyDescent="0.2">
      <c r="B268" t="str">
        <f t="shared" si="6"/>
        <v/>
      </c>
    </row>
    <row r="269" spans="2:2" x14ac:dyDescent="0.2">
      <c r="B269" t="str">
        <f t="shared" si="6"/>
        <v/>
      </c>
    </row>
    <row r="270" spans="2:2" x14ac:dyDescent="0.2">
      <c r="B270" t="str">
        <f t="shared" si="6"/>
        <v/>
      </c>
    </row>
    <row r="271" spans="2:2" x14ac:dyDescent="0.2">
      <c r="B271" t="str">
        <f t="shared" si="6"/>
        <v/>
      </c>
    </row>
    <row r="272" spans="2:2" x14ac:dyDescent="0.2">
      <c r="B272" t="str">
        <f t="shared" si="6"/>
        <v/>
      </c>
    </row>
    <row r="273" spans="2:2" x14ac:dyDescent="0.2">
      <c r="B273" t="str">
        <f t="shared" si="6"/>
        <v/>
      </c>
    </row>
    <row r="274" spans="2:2" x14ac:dyDescent="0.2">
      <c r="B274" t="str">
        <f t="shared" si="6"/>
        <v/>
      </c>
    </row>
    <row r="275" spans="2:2" x14ac:dyDescent="0.2">
      <c r="B275" t="str">
        <f t="shared" si="6"/>
        <v/>
      </c>
    </row>
    <row r="276" spans="2:2" x14ac:dyDescent="0.2">
      <c r="B276" t="str">
        <f t="shared" si="6"/>
        <v/>
      </c>
    </row>
    <row r="277" spans="2:2" x14ac:dyDescent="0.2">
      <c r="B277" t="str">
        <f t="shared" si="6"/>
        <v/>
      </c>
    </row>
    <row r="278" spans="2:2" x14ac:dyDescent="0.2">
      <c r="B278" t="str">
        <f t="shared" si="6"/>
        <v/>
      </c>
    </row>
    <row r="279" spans="2:2" x14ac:dyDescent="0.2">
      <c r="B279" t="str">
        <f t="shared" si="6"/>
        <v/>
      </c>
    </row>
    <row r="280" spans="2:2" x14ac:dyDescent="0.2">
      <c r="B280" t="str">
        <f t="shared" si="6"/>
        <v/>
      </c>
    </row>
    <row r="281" spans="2:2" x14ac:dyDescent="0.2">
      <c r="B281" t="str">
        <f t="shared" si="6"/>
        <v/>
      </c>
    </row>
    <row r="282" spans="2:2" x14ac:dyDescent="0.2">
      <c r="B282" t="str">
        <f t="shared" si="6"/>
        <v/>
      </c>
    </row>
    <row r="283" spans="2:2" x14ac:dyDescent="0.2">
      <c r="B283" t="str">
        <f t="shared" si="6"/>
        <v/>
      </c>
    </row>
    <row r="284" spans="2:2" x14ac:dyDescent="0.2">
      <c r="B284" t="str">
        <f t="shared" si="6"/>
        <v/>
      </c>
    </row>
    <row r="285" spans="2:2" x14ac:dyDescent="0.2">
      <c r="B285" t="str">
        <f t="shared" si="6"/>
        <v/>
      </c>
    </row>
    <row r="286" spans="2:2" x14ac:dyDescent="0.2">
      <c r="B286" t="str">
        <f t="shared" si="6"/>
        <v/>
      </c>
    </row>
    <row r="287" spans="2:2" x14ac:dyDescent="0.2">
      <c r="B287" t="str">
        <f t="shared" si="6"/>
        <v/>
      </c>
    </row>
    <row r="288" spans="2:2" x14ac:dyDescent="0.2">
      <c r="B288" t="str">
        <f t="shared" si="6"/>
        <v/>
      </c>
    </row>
    <row r="289" spans="2:2" x14ac:dyDescent="0.2">
      <c r="B289" t="str">
        <f t="shared" si="6"/>
        <v/>
      </c>
    </row>
    <row r="290" spans="2:2" x14ac:dyDescent="0.2">
      <c r="B290" t="str">
        <f t="shared" si="6"/>
        <v/>
      </c>
    </row>
    <row r="291" spans="2:2" x14ac:dyDescent="0.2">
      <c r="B291" t="str">
        <f t="shared" si="6"/>
        <v/>
      </c>
    </row>
    <row r="292" spans="2:2" x14ac:dyDescent="0.2">
      <c r="B292" t="str">
        <f t="shared" si="6"/>
        <v/>
      </c>
    </row>
    <row r="293" spans="2:2" x14ac:dyDescent="0.2">
      <c r="B293" t="str">
        <f t="shared" si="6"/>
        <v/>
      </c>
    </row>
    <row r="294" spans="2:2" x14ac:dyDescent="0.2">
      <c r="B294" t="str">
        <f t="shared" si="6"/>
        <v/>
      </c>
    </row>
    <row r="295" spans="2:2" x14ac:dyDescent="0.2">
      <c r="B295" t="str">
        <f t="shared" si="6"/>
        <v/>
      </c>
    </row>
    <row r="296" spans="2:2" x14ac:dyDescent="0.2">
      <c r="B296" t="str">
        <f t="shared" si="6"/>
        <v/>
      </c>
    </row>
    <row r="297" spans="2:2" x14ac:dyDescent="0.2">
      <c r="B297" t="str">
        <f t="shared" si="6"/>
        <v/>
      </c>
    </row>
    <row r="298" spans="2:2" x14ac:dyDescent="0.2">
      <c r="B298" t="str">
        <f t="shared" si="6"/>
        <v/>
      </c>
    </row>
    <row r="299" spans="2:2" x14ac:dyDescent="0.2">
      <c r="B299" t="str">
        <f t="shared" si="6"/>
        <v/>
      </c>
    </row>
    <row r="300" spans="2:2" x14ac:dyDescent="0.2">
      <c r="B300" t="str">
        <f t="shared" si="6"/>
        <v/>
      </c>
    </row>
    <row r="301" spans="2:2" x14ac:dyDescent="0.2">
      <c r="B301" t="str">
        <f t="shared" si="6"/>
        <v/>
      </c>
    </row>
    <row r="302" spans="2:2" x14ac:dyDescent="0.2">
      <c r="B302" t="str">
        <f t="shared" si="6"/>
        <v/>
      </c>
    </row>
    <row r="303" spans="2:2" x14ac:dyDescent="0.2">
      <c r="B303" t="str">
        <f t="shared" si="6"/>
        <v/>
      </c>
    </row>
    <row r="304" spans="2:2" x14ac:dyDescent="0.2">
      <c r="B304" t="str">
        <f t="shared" si="6"/>
        <v/>
      </c>
    </row>
    <row r="305" spans="2:2" x14ac:dyDescent="0.2">
      <c r="B305" t="str">
        <f t="shared" si="6"/>
        <v/>
      </c>
    </row>
    <row r="306" spans="2:2" x14ac:dyDescent="0.2">
      <c r="B306" t="str">
        <f t="shared" si="6"/>
        <v/>
      </c>
    </row>
    <row r="307" spans="2:2" x14ac:dyDescent="0.2">
      <c r="B307" t="str">
        <f t="shared" si="6"/>
        <v/>
      </c>
    </row>
    <row r="308" spans="2:2" x14ac:dyDescent="0.2">
      <c r="B308" t="str">
        <f t="shared" si="6"/>
        <v/>
      </c>
    </row>
    <row r="309" spans="2:2" x14ac:dyDescent="0.2">
      <c r="B309" t="str">
        <f t="shared" si="6"/>
        <v/>
      </c>
    </row>
    <row r="310" spans="2:2" x14ac:dyDescent="0.2">
      <c r="B310" t="str">
        <f t="shared" si="6"/>
        <v/>
      </c>
    </row>
    <row r="311" spans="2:2" x14ac:dyDescent="0.2">
      <c r="B311" t="str">
        <f t="shared" si="6"/>
        <v/>
      </c>
    </row>
    <row r="312" spans="2:2" x14ac:dyDescent="0.2">
      <c r="B312" t="str">
        <f t="shared" si="6"/>
        <v/>
      </c>
    </row>
    <row r="313" spans="2:2" x14ac:dyDescent="0.2">
      <c r="B313" t="str">
        <f t="shared" si="6"/>
        <v/>
      </c>
    </row>
    <row r="314" spans="2:2" x14ac:dyDescent="0.2">
      <c r="B314" t="str">
        <f t="shared" si="6"/>
        <v/>
      </c>
    </row>
    <row r="315" spans="2:2" x14ac:dyDescent="0.2">
      <c r="B315" t="str">
        <f t="shared" si="6"/>
        <v/>
      </c>
    </row>
    <row r="316" spans="2:2" x14ac:dyDescent="0.2">
      <c r="B316" t="str">
        <f t="shared" si="6"/>
        <v/>
      </c>
    </row>
    <row r="317" spans="2:2" x14ac:dyDescent="0.2">
      <c r="B317" t="str">
        <f t="shared" si="6"/>
        <v/>
      </c>
    </row>
    <row r="318" spans="2:2" x14ac:dyDescent="0.2">
      <c r="B318" t="str">
        <f t="shared" si="6"/>
        <v/>
      </c>
    </row>
    <row r="319" spans="2:2" x14ac:dyDescent="0.2">
      <c r="B319" t="str">
        <f t="shared" si="6"/>
        <v/>
      </c>
    </row>
    <row r="320" spans="2:2" x14ac:dyDescent="0.2">
      <c r="B320" t="str">
        <f t="shared" si="6"/>
        <v/>
      </c>
    </row>
    <row r="321" spans="2:2" x14ac:dyDescent="0.2">
      <c r="B321" t="str">
        <f t="shared" si="6"/>
        <v/>
      </c>
    </row>
    <row r="322" spans="2:2" x14ac:dyDescent="0.2">
      <c r="B322" t="str">
        <f t="shared" si="6"/>
        <v/>
      </c>
    </row>
    <row r="323" spans="2:2" x14ac:dyDescent="0.2">
      <c r="B323" t="str">
        <f t="shared" si="6"/>
        <v/>
      </c>
    </row>
    <row r="324" spans="2:2" x14ac:dyDescent="0.2">
      <c r="B324" t="str">
        <f t="shared" si="6"/>
        <v/>
      </c>
    </row>
    <row r="325" spans="2:2" x14ac:dyDescent="0.2">
      <c r="B325" t="str">
        <f t="shared" ref="B325:B388" si="7">D325&amp;I325</f>
        <v/>
      </c>
    </row>
    <row r="326" spans="2:2" x14ac:dyDescent="0.2">
      <c r="B326" t="str">
        <f t="shared" si="7"/>
        <v/>
      </c>
    </row>
    <row r="327" spans="2:2" x14ac:dyDescent="0.2">
      <c r="B327" t="str">
        <f t="shared" si="7"/>
        <v/>
      </c>
    </row>
    <row r="328" spans="2:2" x14ac:dyDescent="0.2">
      <c r="B328" t="str">
        <f t="shared" si="7"/>
        <v/>
      </c>
    </row>
    <row r="329" spans="2:2" x14ac:dyDescent="0.2">
      <c r="B329" t="str">
        <f t="shared" si="7"/>
        <v/>
      </c>
    </row>
    <row r="330" spans="2:2" x14ac:dyDescent="0.2">
      <c r="B330" t="str">
        <f t="shared" si="7"/>
        <v/>
      </c>
    </row>
    <row r="331" spans="2:2" x14ac:dyDescent="0.2">
      <c r="B331" t="str">
        <f t="shared" si="7"/>
        <v/>
      </c>
    </row>
    <row r="332" spans="2:2" x14ac:dyDescent="0.2">
      <c r="B332" t="str">
        <f t="shared" si="7"/>
        <v/>
      </c>
    </row>
    <row r="333" spans="2:2" x14ac:dyDescent="0.2">
      <c r="B333" t="str">
        <f t="shared" si="7"/>
        <v/>
      </c>
    </row>
    <row r="334" spans="2:2" x14ac:dyDescent="0.2">
      <c r="B334" t="str">
        <f t="shared" si="7"/>
        <v/>
      </c>
    </row>
    <row r="335" spans="2:2" x14ac:dyDescent="0.2">
      <c r="B335" t="str">
        <f t="shared" si="7"/>
        <v/>
      </c>
    </row>
    <row r="336" spans="2:2" x14ac:dyDescent="0.2">
      <c r="B336" t="str">
        <f t="shared" si="7"/>
        <v/>
      </c>
    </row>
    <row r="337" spans="2:2" x14ac:dyDescent="0.2">
      <c r="B337" t="str">
        <f t="shared" si="7"/>
        <v/>
      </c>
    </row>
    <row r="338" spans="2:2" x14ac:dyDescent="0.2">
      <c r="B338" t="str">
        <f t="shared" si="7"/>
        <v/>
      </c>
    </row>
    <row r="339" spans="2:2" x14ac:dyDescent="0.2">
      <c r="B339" t="str">
        <f t="shared" si="7"/>
        <v/>
      </c>
    </row>
    <row r="340" spans="2:2" x14ac:dyDescent="0.2">
      <c r="B340" t="str">
        <f t="shared" si="7"/>
        <v/>
      </c>
    </row>
    <row r="341" spans="2:2" x14ac:dyDescent="0.2">
      <c r="B341" t="str">
        <f t="shared" si="7"/>
        <v/>
      </c>
    </row>
    <row r="342" spans="2:2" x14ac:dyDescent="0.2">
      <c r="B342" t="str">
        <f t="shared" si="7"/>
        <v/>
      </c>
    </row>
    <row r="343" spans="2:2" x14ac:dyDescent="0.2">
      <c r="B343" t="str">
        <f t="shared" si="7"/>
        <v/>
      </c>
    </row>
    <row r="344" spans="2:2" x14ac:dyDescent="0.2">
      <c r="B344" t="str">
        <f t="shared" si="7"/>
        <v/>
      </c>
    </row>
    <row r="345" spans="2:2" x14ac:dyDescent="0.2">
      <c r="B345" t="str">
        <f t="shared" si="7"/>
        <v/>
      </c>
    </row>
    <row r="346" spans="2:2" x14ac:dyDescent="0.2">
      <c r="B346" t="str">
        <f t="shared" si="7"/>
        <v/>
      </c>
    </row>
    <row r="347" spans="2:2" x14ac:dyDescent="0.2">
      <c r="B347" t="str">
        <f t="shared" si="7"/>
        <v/>
      </c>
    </row>
    <row r="348" spans="2:2" x14ac:dyDescent="0.2">
      <c r="B348" t="str">
        <f t="shared" si="7"/>
        <v/>
      </c>
    </row>
    <row r="349" spans="2:2" x14ac:dyDescent="0.2">
      <c r="B349" t="str">
        <f t="shared" si="7"/>
        <v/>
      </c>
    </row>
    <row r="350" spans="2:2" x14ac:dyDescent="0.2">
      <c r="B350" t="str">
        <f t="shared" si="7"/>
        <v/>
      </c>
    </row>
    <row r="351" spans="2:2" x14ac:dyDescent="0.2">
      <c r="B351" t="str">
        <f t="shared" si="7"/>
        <v/>
      </c>
    </row>
    <row r="352" spans="2:2" x14ac:dyDescent="0.2">
      <c r="B352" t="str">
        <f t="shared" si="7"/>
        <v/>
      </c>
    </row>
    <row r="353" spans="2:2" x14ac:dyDescent="0.2">
      <c r="B353" t="str">
        <f t="shared" si="7"/>
        <v/>
      </c>
    </row>
    <row r="354" spans="2:2" x14ac:dyDescent="0.2">
      <c r="B354" t="str">
        <f t="shared" si="7"/>
        <v/>
      </c>
    </row>
    <row r="355" spans="2:2" x14ac:dyDescent="0.2">
      <c r="B355" t="str">
        <f t="shared" si="7"/>
        <v/>
      </c>
    </row>
    <row r="356" spans="2:2" x14ac:dyDescent="0.2">
      <c r="B356" t="str">
        <f t="shared" si="7"/>
        <v/>
      </c>
    </row>
    <row r="357" spans="2:2" x14ac:dyDescent="0.2">
      <c r="B357" t="str">
        <f t="shared" si="7"/>
        <v/>
      </c>
    </row>
    <row r="358" spans="2:2" x14ac:dyDescent="0.2">
      <c r="B358" t="str">
        <f t="shared" si="7"/>
        <v/>
      </c>
    </row>
    <row r="359" spans="2:2" x14ac:dyDescent="0.2">
      <c r="B359" t="str">
        <f t="shared" si="7"/>
        <v/>
      </c>
    </row>
    <row r="360" spans="2:2" x14ac:dyDescent="0.2">
      <c r="B360" t="str">
        <f t="shared" si="7"/>
        <v/>
      </c>
    </row>
    <row r="361" spans="2:2" x14ac:dyDescent="0.2">
      <c r="B361" t="str">
        <f t="shared" si="7"/>
        <v/>
      </c>
    </row>
    <row r="362" spans="2:2" x14ac:dyDescent="0.2">
      <c r="B362" t="str">
        <f t="shared" si="7"/>
        <v/>
      </c>
    </row>
    <row r="363" spans="2:2" x14ac:dyDescent="0.2">
      <c r="B363" t="str">
        <f t="shared" si="7"/>
        <v/>
      </c>
    </row>
    <row r="364" spans="2:2" x14ac:dyDescent="0.2">
      <c r="B364" t="str">
        <f t="shared" si="7"/>
        <v/>
      </c>
    </row>
    <row r="365" spans="2:2" x14ac:dyDescent="0.2">
      <c r="B365" t="str">
        <f t="shared" si="7"/>
        <v/>
      </c>
    </row>
    <row r="366" spans="2:2" x14ac:dyDescent="0.2">
      <c r="B366" t="str">
        <f t="shared" si="7"/>
        <v/>
      </c>
    </row>
    <row r="367" spans="2:2" x14ac:dyDescent="0.2">
      <c r="B367" t="str">
        <f t="shared" si="7"/>
        <v/>
      </c>
    </row>
    <row r="368" spans="2:2" x14ac:dyDescent="0.2">
      <c r="B368" t="str">
        <f t="shared" si="7"/>
        <v/>
      </c>
    </row>
    <row r="369" spans="2:2" x14ac:dyDescent="0.2">
      <c r="B369" t="str">
        <f t="shared" si="7"/>
        <v/>
      </c>
    </row>
    <row r="370" spans="2:2" x14ac:dyDescent="0.2">
      <c r="B370" t="str">
        <f t="shared" si="7"/>
        <v/>
      </c>
    </row>
    <row r="371" spans="2:2" x14ac:dyDescent="0.2">
      <c r="B371" t="str">
        <f t="shared" si="7"/>
        <v/>
      </c>
    </row>
    <row r="372" spans="2:2" x14ac:dyDescent="0.2">
      <c r="B372" t="str">
        <f t="shared" si="7"/>
        <v/>
      </c>
    </row>
    <row r="373" spans="2:2" x14ac:dyDescent="0.2">
      <c r="B373" t="str">
        <f t="shared" si="7"/>
        <v/>
      </c>
    </row>
    <row r="374" spans="2:2" x14ac:dyDescent="0.2">
      <c r="B374" t="str">
        <f t="shared" si="7"/>
        <v/>
      </c>
    </row>
    <row r="375" spans="2:2" x14ac:dyDescent="0.2">
      <c r="B375" t="str">
        <f t="shared" si="7"/>
        <v/>
      </c>
    </row>
    <row r="376" spans="2:2" x14ac:dyDescent="0.2">
      <c r="B376" t="str">
        <f t="shared" si="7"/>
        <v/>
      </c>
    </row>
    <row r="377" spans="2:2" x14ac:dyDescent="0.2">
      <c r="B377" t="str">
        <f t="shared" si="7"/>
        <v/>
      </c>
    </row>
    <row r="378" spans="2:2" x14ac:dyDescent="0.2">
      <c r="B378" t="str">
        <f t="shared" si="7"/>
        <v/>
      </c>
    </row>
    <row r="379" spans="2:2" x14ac:dyDescent="0.2">
      <c r="B379" t="str">
        <f t="shared" si="7"/>
        <v/>
      </c>
    </row>
    <row r="380" spans="2:2" x14ac:dyDescent="0.2">
      <c r="B380" t="str">
        <f t="shared" si="7"/>
        <v/>
      </c>
    </row>
    <row r="381" spans="2:2" x14ac:dyDescent="0.2">
      <c r="B381" t="str">
        <f t="shared" si="7"/>
        <v/>
      </c>
    </row>
    <row r="382" spans="2:2" x14ac:dyDescent="0.2">
      <c r="B382" t="str">
        <f t="shared" si="7"/>
        <v/>
      </c>
    </row>
    <row r="383" spans="2:2" x14ac:dyDescent="0.2">
      <c r="B383" t="str">
        <f t="shared" si="7"/>
        <v/>
      </c>
    </row>
    <row r="384" spans="2:2" x14ac:dyDescent="0.2">
      <c r="B384" t="str">
        <f t="shared" si="7"/>
        <v/>
      </c>
    </row>
    <row r="385" spans="2:2" x14ac:dyDescent="0.2">
      <c r="B385" t="str">
        <f t="shared" si="7"/>
        <v/>
      </c>
    </row>
    <row r="386" spans="2:2" x14ac:dyDescent="0.2">
      <c r="B386" t="str">
        <f t="shared" si="7"/>
        <v/>
      </c>
    </row>
    <row r="387" spans="2:2" x14ac:dyDescent="0.2">
      <c r="B387" t="str">
        <f t="shared" si="7"/>
        <v/>
      </c>
    </row>
    <row r="388" spans="2:2" x14ac:dyDescent="0.2">
      <c r="B388" t="str">
        <f t="shared" si="7"/>
        <v/>
      </c>
    </row>
    <row r="389" spans="2:2" x14ac:dyDescent="0.2">
      <c r="B389" t="str">
        <f t="shared" ref="B389:B452" si="8">D389&amp;I389</f>
        <v/>
      </c>
    </row>
    <row r="390" spans="2:2" x14ac:dyDescent="0.2">
      <c r="B390" t="str">
        <f t="shared" si="8"/>
        <v/>
      </c>
    </row>
    <row r="391" spans="2:2" x14ac:dyDescent="0.2">
      <c r="B391" t="str">
        <f t="shared" si="8"/>
        <v/>
      </c>
    </row>
    <row r="392" spans="2:2" x14ac:dyDescent="0.2">
      <c r="B392" t="str">
        <f t="shared" si="8"/>
        <v/>
      </c>
    </row>
    <row r="393" spans="2:2" x14ac:dyDescent="0.2">
      <c r="B393" t="str">
        <f t="shared" si="8"/>
        <v/>
      </c>
    </row>
    <row r="394" spans="2:2" x14ac:dyDescent="0.2">
      <c r="B394" t="str">
        <f t="shared" si="8"/>
        <v/>
      </c>
    </row>
    <row r="395" spans="2:2" x14ac:dyDescent="0.2">
      <c r="B395" t="str">
        <f t="shared" si="8"/>
        <v/>
      </c>
    </row>
    <row r="396" spans="2:2" x14ac:dyDescent="0.2">
      <c r="B396" t="str">
        <f t="shared" si="8"/>
        <v/>
      </c>
    </row>
    <row r="397" spans="2:2" x14ac:dyDescent="0.2">
      <c r="B397" t="str">
        <f t="shared" si="8"/>
        <v/>
      </c>
    </row>
    <row r="398" spans="2:2" x14ac:dyDescent="0.2">
      <c r="B398" t="str">
        <f t="shared" si="8"/>
        <v/>
      </c>
    </row>
    <row r="399" spans="2:2" x14ac:dyDescent="0.2">
      <c r="B399" t="str">
        <f t="shared" si="8"/>
        <v/>
      </c>
    </row>
    <row r="400" spans="2:2" x14ac:dyDescent="0.2">
      <c r="B400" t="str">
        <f t="shared" si="8"/>
        <v/>
      </c>
    </row>
    <row r="401" spans="2:2" x14ac:dyDescent="0.2">
      <c r="B401" t="str">
        <f t="shared" si="8"/>
        <v/>
      </c>
    </row>
    <row r="402" spans="2:2" x14ac:dyDescent="0.2">
      <c r="B402" t="str">
        <f t="shared" si="8"/>
        <v/>
      </c>
    </row>
    <row r="403" spans="2:2" x14ac:dyDescent="0.2">
      <c r="B403" t="str">
        <f t="shared" si="8"/>
        <v/>
      </c>
    </row>
    <row r="404" spans="2:2" x14ac:dyDescent="0.2">
      <c r="B404" t="str">
        <f t="shared" si="8"/>
        <v/>
      </c>
    </row>
    <row r="405" spans="2:2" x14ac:dyDescent="0.2">
      <c r="B405" t="str">
        <f t="shared" si="8"/>
        <v/>
      </c>
    </row>
    <row r="406" spans="2:2" x14ac:dyDescent="0.2">
      <c r="B406" t="str">
        <f t="shared" si="8"/>
        <v/>
      </c>
    </row>
    <row r="407" spans="2:2" x14ac:dyDescent="0.2">
      <c r="B407" t="str">
        <f t="shared" si="8"/>
        <v/>
      </c>
    </row>
    <row r="408" spans="2:2" x14ac:dyDescent="0.2">
      <c r="B408" t="str">
        <f t="shared" si="8"/>
        <v/>
      </c>
    </row>
    <row r="409" spans="2:2" x14ac:dyDescent="0.2">
      <c r="B409" t="str">
        <f t="shared" si="8"/>
        <v/>
      </c>
    </row>
    <row r="410" spans="2:2" x14ac:dyDescent="0.2">
      <c r="B410" t="str">
        <f t="shared" si="8"/>
        <v/>
      </c>
    </row>
    <row r="411" spans="2:2" x14ac:dyDescent="0.2">
      <c r="B411" t="str">
        <f t="shared" si="8"/>
        <v/>
      </c>
    </row>
    <row r="412" spans="2:2" x14ac:dyDescent="0.2">
      <c r="B412" t="str">
        <f t="shared" si="8"/>
        <v/>
      </c>
    </row>
    <row r="413" spans="2:2" x14ac:dyDescent="0.2">
      <c r="B413" t="str">
        <f t="shared" si="8"/>
        <v/>
      </c>
    </row>
    <row r="414" spans="2:2" x14ac:dyDescent="0.2">
      <c r="B414" t="str">
        <f t="shared" si="8"/>
        <v/>
      </c>
    </row>
    <row r="415" spans="2:2" x14ac:dyDescent="0.2">
      <c r="B415" t="str">
        <f t="shared" si="8"/>
        <v/>
      </c>
    </row>
    <row r="416" spans="2:2" x14ac:dyDescent="0.2">
      <c r="B416" t="str">
        <f t="shared" si="8"/>
        <v/>
      </c>
    </row>
    <row r="417" spans="2:2" x14ac:dyDescent="0.2">
      <c r="B417" t="str">
        <f t="shared" si="8"/>
        <v/>
      </c>
    </row>
    <row r="418" spans="2:2" x14ac:dyDescent="0.2">
      <c r="B418" t="str">
        <f t="shared" si="8"/>
        <v/>
      </c>
    </row>
    <row r="419" spans="2:2" x14ac:dyDescent="0.2">
      <c r="B419" t="str">
        <f t="shared" si="8"/>
        <v/>
      </c>
    </row>
    <row r="420" spans="2:2" x14ac:dyDescent="0.2">
      <c r="B420" t="str">
        <f t="shared" si="8"/>
        <v/>
      </c>
    </row>
    <row r="421" spans="2:2" x14ac:dyDescent="0.2">
      <c r="B421" t="str">
        <f t="shared" si="8"/>
        <v/>
      </c>
    </row>
    <row r="422" spans="2:2" x14ac:dyDescent="0.2">
      <c r="B422" t="str">
        <f t="shared" si="8"/>
        <v/>
      </c>
    </row>
    <row r="423" spans="2:2" x14ac:dyDescent="0.2">
      <c r="B423" t="str">
        <f t="shared" si="8"/>
        <v/>
      </c>
    </row>
    <row r="424" spans="2:2" x14ac:dyDescent="0.2">
      <c r="B424" t="str">
        <f t="shared" si="8"/>
        <v/>
      </c>
    </row>
    <row r="425" spans="2:2" x14ac:dyDescent="0.2">
      <c r="B425" t="str">
        <f t="shared" si="8"/>
        <v/>
      </c>
    </row>
    <row r="426" spans="2:2" x14ac:dyDescent="0.2">
      <c r="B426" t="str">
        <f t="shared" si="8"/>
        <v/>
      </c>
    </row>
    <row r="427" spans="2:2" x14ac:dyDescent="0.2">
      <c r="B427" t="str">
        <f t="shared" si="8"/>
        <v/>
      </c>
    </row>
    <row r="428" spans="2:2" x14ac:dyDescent="0.2">
      <c r="B428" t="str">
        <f t="shared" si="8"/>
        <v/>
      </c>
    </row>
    <row r="429" spans="2:2" x14ac:dyDescent="0.2">
      <c r="B429" t="str">
        <f t="shared" si="8"/>
        <v/>
      </c>
    </row>
    <row r="430" spans="2:2" x14ac:dyDescent="0.2">
      <c r="B430" t="str">
        <f t="shared" si="8"/>
        <v/>
      </c>
    </row>
    <row r="431" spans="2:2" x14ac:dyDescent="0.2">
      <c r="B431" t="str">
        <f t="shared" si="8"/>
        <v/>
      </c>
    </row>
    <row r="432" spans="2:2" x14ac:dyDescent="0.2">
      <c r="B432" t="str">
        <f t="shared" si="8"/>
        <v/>
      </c>
    </row>
    <row r="433" spans="2:2" x14ac:dyDescent="0.2">
      <c r="B433" t="str">
        <f t="shared" si="8"/>
        <v/>
      </c>
    </row>
    <row r="434" spans="2:2" x14ac:dyDescent="0.2">
      <c r="B434" t="str">
        <f t="shared" si="8"/>
        <v/>
      </c>
    </row>
    <row r="435" spans="2:2" x14ac:dyDescent="0.2">
      <c r="B435" t="str">
        <f t="shared" si="8"/>
        <v/>
      </c>
    </row>
    <row r="436" spans="2:2" x14ac:dyDescent="0.2">
      <c r="B436" t="str">
        <f t="shared" si="8"/>
        <v/>
      </c>
    </row>
    <row r="437" spans="2:2" x14ac:dyDescent="0.2">
      <c r="B437" t="str">
        <f t="shared" si="8"/>
        <v/>
      </c>
    </row>
    <row r="438" spans="2:2" x14ac:dyDescent="0.2">
      <c r="B438" t="str">
        <f t="shared" si="8"/>
        <v/>
      </c>
    </row>
    <row r="439" spans="2:2" x14ac:dyDescent="0.2">
      <c r="B439" t="str">
        <f t="shared" si="8"/>
        <v/>
      </c>
    </row>
    <row r="440" spans="2:2" x14ac:dyDescent="0.2">
      <c r="B440" t="str">
        <f t="shared" si="8"/>
        <v/>
      </c>
    </row>
    <row r="441" spans="2:2" x14ac:dyDescent="0.2">
      <c r="B441" t="str">
        <f t="shared" si="8"/>
        <v/>
      </c>
    </row>
    <row r="442" spans="2:2" x14ac:dyDescent="0.2">
      <c r="B442" t="str">
        <f t="shared" si="8"/>
        <v/>
      </c>
    </row>
    <row r="443" spans="2:2" x14ac:dyDescent="0.2">
      <c r="B443" t="str">
        <f t="shared" si="8"/>
        <v/>
      </c>
    </row>
    <row r="444" spans="2:2" x14ac:dyDescent="0.2">
      <c r="B444" t="str">
        <f t="shared" si="8"/>
        <v/>
      </c>
    </row>
    <row r="445" spans="2:2" x14ac:dyDescent="0.2">
      <c r="B445" t="str">
        <f t="shared" si="8"/>
        <v/>
      </c>
    </row>
    <row r="446" spans="2:2" x14ac:dyDescent="0.2">
      <c r="B446" t="str">
        <f t="shared" si="8"/>
        <v/>
      </c>
    </row>
    <row r="447" spans="2:2" x14ac:dyDescent="0.2">
      <c r="B447" t="str">
        <f t="shared" si="8"/>
        <v/>
      </c>
    </row>
    <row r="448" spans="2:2" x14ac:dyDescent="0.2">
      <c r="B448" t="str">
        <f t="shared" si="8"/>
        <v/>
      </c>
    </row>
    <row r="449" spans="2:2" x14ac:dyDescent="0.2">
      <c r="B449" t="str">
        <f t="shared" si="8"/>
        <v/>
      </c>
    </row>
    <row r="450" spans="2:2" x14ac:dyDescent="0.2">
      <c r="B450" t="str">
        <f t="shared" si="8"/>
        <v/>
      </c>
    </row>
    <row r="451" spans="2:2" x14ac:dyDescent="0.2">
      <c r="B451" t="str">
        <f t="shared" si="8"/>
        <v/>
      </c>
    </row>
    <row r="452" spans="2:2" x14ac:dyDescent="0.2">
      <c r="B452" t="str">
        <f t="shared" si="8"/>
        <v/>
      </c>
    </row>
    <row r="453" spans="2:2" x14ac:dyDescent="0.2">
      <c r="B453" t="str">
        <f t="shared" ref="B453:B516" si="9">D453&amp;I453</f>
        <v/>
      </c>
    </row>
    <row r="454" spans="2:2" x14ac:dyDescent="0.2">
      <c r="B454" t="str">
        <f t="shared" si="9"/>
        <v/>
      </c>
    </row>
    <row r="455" spans="2:2" x14ac:dyDescent="0.2">
      <c r="B455" t="str">
        <f t="shared" si="9"/>
        <v/>
      </c>
    </row>
    <row r="456" spans="2:2" x14ac:dyDescent="0.2">
      <c r="B456" t="str">
        <f t="shared" si="9"/>
        <v/>
      </c>
    </row>
    <row r="457" spans="2:2" x14ac:dyDescent="0.2">
      <c r="B457" t="str">
        <f t="shared" si="9"/>
        <v/>
      </c>
    </row>
    <row r="458" spans="2:2" x14ac:dyDescent="0.2">
      <c r="B458" t="str">
        <f t="shared" si="9"/>
        <v/>
      </c>
    </row>
    <row r="459" spans="2:2" x14ac:dyDescent="0.2">
      <c r="B459" t="str">
        <f t="shared" si="9"/>
        <v/>
      </c>
    </row>
    <row r="460" spans="2:2" x14ac:dyDescent="0.2">
      <c r="B460" t="str">
        <f t="shared" si="9"/>
        <v/>
      </c>
    </row>
    <row r="461" spans="2:2" x14ac:dyDescent="0.2">
      <c r="B461" t="str">
        <f t="shared" si="9"/>
        <v/>
      </c>
    </row>
    <row r="462" spans="2:2" x14ac:dyDescent="0.2">
      <c r="B462" t="str">
        <f t="shared" si="9"/>
        <v/>
      </c>
    </row>
    <row r="463" spans="2:2" x14ac:dyDescent="0.2">
      <c r="B463" t="str">
        <f t="shared" si="9"/>
        <v/>
      </c>
    </row>
    <row r="464" spans="2:2" x14ac:dyDescent="0.2">
      <c r="B464" t="str">
        <f t="shared" si="9"/>
        <v/>
      </c>
    </row>
    <row r="465" spans="2:2" x14ac:dyDescent="0.2">
      <c r="B465" t="str">
        <f t="shared" si="9"/>
        <v/>
      </c>
    </row>
    <row r="466" spans="2:2" x14ac:dyDescent="0.2">
      <c r="B466" t="str">
        <f t="shared" si="9"/>
        <v/>
      </c>
    </row>
    <row r="467" spans="2:2" x14ac:dyDescent="0.2">
      <c r="B467" t="str">
        <f t="shared" si="9"/>
        <v/>
      </c>
    </row>
    <row r="468" spans="2:2" x14ac:dyDescent="0.2">
      <c r="B468" t="str">
        <f t="shared" si="9"/>
        <v/>
      </c>
    </row>
    <row r="469" spans="2:2" x14ac:dyDescent="0.2">
      <c r="B469" t="str">
        <f t="shared" si="9"/>
        <v/>
      </c>
    </row>
    <row r="470" spans="2:2" x14ac:dyDescent="0.2">
      <c r="B470" t="str">
        <f t="shared" si="9"/>
        <v/>
      </c>
    </row>
    <row r="471" spans="2:2" x14ac:dyDescent="0.2">
      <c r="B471" t="str">
        <f t="shared" si="9"/>
        <v/>
      </c>
    </row>
    <row r="472" spans="2:2" x14ac:dyDescent="0.2">
      <c r="B472" t="str">
        <f t="shared" si="9"/>
        <v/>
      </c>
    </row>
    <row r="473" spans="2:2" x14ac:dyDescent="0.2">
      <c r="B473" t="str">
        <f t="shared" si="9"/>
        <v/>
      </c>
    </row>
    <row r="474" spans="2:2" x14ac:dyDescent="0.2">
      <c r="B474" t="str">
        <f t="shared" si="9"/>
        <v/>
      </c>
    </row>
    <row r="475" spans="2:2" x14ac:dyDescent="0.2">
      <c r="B475" t="str">
        <f t="shared" si="9"/>
        <v/>
      </c>
    </row>
    <row r="476" spans="2:2" x14ac:dyDescent="0.2">
      <c r="B476" t="str">
        <f t="shared" si="9"/>
        <v/>
      </c>
    </row>
    <row r="477" spans="2:2" x14ac:dyDescent="0.2">
      <c r="B477" t="str">
        <f t="shared" si="9"/>
        <v/>
      </c>
    </row>
    <row r="478" spans="2:2" x14ac:dyDescent="0.2">
      <c r="B478" t="str">
        <f t="shared" si="9"/>
        <v/>
      </c>
    </row>
    <row r="479" spans="2:2" x14ac:dyDescent="0.2">
      <c r="B479" t="str">
        <f t="shared" si="9"/>
        <v/>
      </c>
    </row>
    <row r="480" spans="2:2" x14ac:dyDescent="0.2">
      <c r="B480" t="str">
        <f t="shared" si="9"/>
        <v/>
      </c>
    </row>
    <row r="481" spans="2:2" x14ac:dyDescent="0.2">
      <c r="B481" t="str">
        <f t="shared" si="9"/>
        <v/>
      </c>
    </row>
    <row r="482" spans="2:2" x14ac:dyDescent="0.2">
      <c r="B482" t="str">
        <f t="shared" si="9"/>
        <v/>
      </c>
    </row>
    <row r="483" spans="2:2" x14ac:dyDescent="0.2">
      <c r="B483" t="str">
        <f t="shared" si="9"/>
        <v/>
      </c>
    </row>
    <row r="484" spans="2:2" x14ac:dyDescent="0.2">
      <c r="B484" t="str">
        <f t="shared" si="9"/>
        <v/>
      </c>
    </row>
    <row r="485" spans="2:2" x14ac:dyDescent="0.2">
      <c r="B485" t="str">
        <f t="shared" si="9"/>
        <v/>
      </c>
    </row>
    <row r="486" spans="2:2" x14ac:dyDescent="0.2">
      <c r="B486" t="str">
        <f t="shared" si="9"/>
        <v/>
      </c>
    </row>
    <row r="487" spans="2:2" x14ac:dyDescent="0.2">
      <c r="B487" t="str">
        <f t="shared" si="9"/>
        <v/>
      </c>
    </row>
    <row r="488" spans="2:2" x14ac:dyDescent="0.2">
      <c r="B488" t="str">
        <f t="shared" si="9"/>
        <v/>
      </c>
    </row>
    <row r="489" spans="2:2" x14ac:dyDescent="0.2">
      <c r="B489" t="str">
        <f t="shared" si="9"/>
        <v/>
      </c>
    </row>
    <row r="490" spans="2:2" x14ac:dyDescent="0.2">
      <c r="B490" t="str">
        <f t="shared" si="9"/>
        <v/>
      </c>
    </row>
    <row r="491" spans="2:2" x14ac:dyDescent="0.2">
      <c r="B491" t="str">
        <f t="shared" si="9"/>
        <v/>
      </c>
    </row>
    <row r="492" spans="2:2" x14ac:dyDescent="0.2">
      <c r="B492" t="str">
        <f t="shared" si="9"/>
        <v/>
      </c>
    </row>
    <row r="493" spans="2:2" x14ac:dyDescent="0.2">
      <c r="B493" t="str">
        <f t="shared" si="9"/>
        <v/>
      </c>
    </row>
    <row r="494" spans="2:2" x14ac:dyDescent="0.2">
      <c r="B494" t="str">
        <f t="shared" si="9"/>
        <v/>
      </c>
    </row>
    <row r="495" spans="2:2" x14ac:dyDescent="0.2">
      <c r="B495" t="str">
        <f t="shared" si="9"/>
        <v/>
      </c>
    </row>
    <row r="496" spans="2:2" x14ac:dyDescent="0.2">
      <c r="B496" t="str">
        <f t="shared" si="9"/>
        <v/>
      </c>
    </row>
    <row r="497" spans="2:2" x14ac:dyDescent="0.2">
      <c r="B497" t="str">
        <f t="shared" si="9"/>
        <v/>
      </c>
    </row>
    <row r="498" spans="2:2" x14ac:dyDescent="0.2">
      <c r="B498" t="str">
        <f t="shared" si="9"/>
        <v/>
      </c>
    </row>
    <row r="499" spans="2:2" x14ac:dyDescent="0.2">
      <c r="B499" t="str">
        <f t="shared" si="9"/>
        <v/>
      </c>
    </row>
    <row r="500" spans="2:2" x14ac:dyDescent="0.2">
      <c r="B500" t="str">
        <f t="shared" si="9"/>
        <v/>
      </c>
    </row>
    <row r="501" spans="2:2" x14ac:dyDescent="0.2">
      <c r="B501" t="str">
        <f t="shared" si="9"/>
        <v/>
      </c>
    </row>
    <row r="502" spans="2:2" x14ac:dyDescent="0.2">
      <c r="B502" t="str">
        <f t="shared" si="9"/>
        <v/>
      </c>
    </row>
    <row r="503" spans="2:2" x14ac:dyDescent="0.2">
      <c r="B503" t="str">
        <f t="shared" si="9"/>
        <v/>
      </c>
    </row>
    <row r="504" spans="2:2" x14ac:dyDescent="0.2">
      <c r="B504" t="str">
        <f t="shared" si="9"/>
        <v/>
      </c>
    </row>
    <row r="505" spans="2:2" x14ac:dyDescent="0.2">
      <c r="B505" t="str">
        <f t="shared" si="9"/>
        <v/>
      </c>
    </row>
    <row r="506" spans="2:2" x14ac:dyDescent="0.2">
      <c r="B506" t="str">
        <f t="shared" si="9"/>
        <v/>
      </c>
    </row>
    <row r="507" spans="2:2" x14ac:dyDescent="0.2">
      <c r="B507" t="str">
        <f t="shared" si="9"/>
        <v/>
      </c>
    </row>
    <row r="508" spans="2:2" x14ac:dyDescent="0.2">
      <c r="B508" t="str">
        <f t="shared" si="9"/>
        <v/>
      </c>
    </row>
    <row r="509" spans="2:2" x14ac:dyDescent="0.2">
      <c r="B509" t="str">
        <f t="shared" si="9"/>
        <v/>
      </c>
    </row>
    <row r="510" spans="2:2" x14ac:dyDescent="0.2">
      <c r="B510" t="str">
        <f t="shared" si="9"/>
        <v/>
      </c>
    </row>
    <row r="511" spans="2:2" x14ac:dyDescent="0.2">
      <c r="B511" t="str">
        <f t="shared" si="9"/>
        <v/>
      </c>
    </row>
    <row r="512" spans="2:2" x14ac:dyDescent="0.2">
      <c r="B512" t="str">
        <f t="shared" si="9"/>
        <v/>
      </c>
    </row>
    <row r="513" spans="2:2" x14ac:dyDescent="0.2">
      <c r="B513" t="str">
        <f t="shared" si="9"/>
        <v/>
      </c>
    </row>
    <row r="514" spans="2:2" x14ac:dyDescent="0.2">
      <c r="B514" t="str">
        <f t="shared" si="9"/>
        <v/>
      </c>
    </row>
    <row r="515" spans="2:2" x14ac:dyDescent="0.2">
      <c r="B515" t="str">
        <f t="shared" si="9"/>
        <v/>
      </c>
    </row>
    <row r="516" spans="2:2" x14ac:dyDescent="0.2">
      <c r="B516" t="str">
        <f t="shared" si="9"/>
        <v/>
      </c>
    </row>
    <row r="517" spans="2:2" x14ac:dyDescent="0.2">
      <c r="B517" t="str">
        <f t="shared" ref="B517:B580" si="10">D517&amp;I517</f>
        <v/>
      </c>
    </row>
    <row r="518" spans="2:2" x14ac:dyDescent="0.2">
      <c r="B518" t="str">
        <f t="shared" si="10"/>
        <v/>
      </c>
    </row>
    <row r="519" spans="2:2" x14ac:dyDescent="0.2">
      <c r="B519" t="str">
        <f t="shared" si="10"/>
        <v/>
      </c>
    </row>
    <row r="520" spans="2:2" x14ac:dyDescent="0.2">
      <c r="B520" t="str">
        <f t="shared" si="10"/>
        <v/>
      </c>
    </row>
    <row r="521" spans="2:2" x14ac:dyDescent="0.2">
      <c r="B521" t="str">
        <f t="shared" si="10"/>
        <v/>
      </c>
    </row>
    <row r="522" spans="2:2" x14ac:dyDescent="0.2">
      <c r="B522" t="str">
        <f t="shared" si="10"/>
        <v/>
      </c>
    </row>
    <row r="523" spans="2:2" x14ac:dyDescent="0.2">
      <c r="B523" t="str">
        <f t="shared" si="10"/>
        <v/>
      </c>
    </row>
    <row r="524" spans="2:2" x14ac:dyDescent="0.2">
      <c r="B524" t="str">
        <f t="shared" si="10"/>
        <v/>
      </c>
    </row>
    <row r="525" spans="2:2" x14ac:dyDescent="0.2">
      <c r="B525" t="str">
        <f t="shared" si="10"/>
        <v/>
      </c>
    </row>
    <row r="526" spans="2:2" x14ac:dyDescent="0.2">
      <c r="B526" t="str">
        <f t="shared" si="10"/>
        <v/>
      </c>
    </row>
    <row r="527" spans="2:2" x14ac:dyDescent="0.2">
      <c r="B527" t="str">
        <f t="shared" si="10"/>
        <v/>
      </c>
    </row>
    <row r="528" spans="2:2" x14ac:dyDescent="0.2">
      <c r="B528" t="str">
        <f t="shared" si="10"/>
        <v/>
      </c>
    </row>
    <row r="529" spans="2:2" x14ac:dyDescent="0.2">
      <c r="B529" t="str">
        <f t="shared" si="10"/>
        <v/>
      </c>
    </row>
    <row r="530" spans="2:2" x14ac:dyDescent="0.2">
      <c r="B530" t="str">
        <f t="shared" si="10"/>
        <v/>
      </c>
    </row>
    <row r="531" spans="2:2" x14ac:dyDescent="0.2">
      <c r="B531" t="str">
        <f t="shared" si="10"/>
        <v/>
      </c>
    </row>
    <row r="532" spans="2:2" x14ac:dyDescent="0.2">
      <c r="B532" t="str">
        <f t="shared" si="10"/>
        <v/>
      </c>
    </row>
    <row r="533" spans="2:2" x14ac:dyDescent="0.2">
      <c r="B533" t="str">
        <f t="shared" si="10"/>
        <v/>
      </c>
    </row>
    <row r="534" spans="2:2" x14ac:dyDescent="0.2">
      <c r="B534" t="str">
        <f t="shared" si="10"/>
        <v/>
      </c>
    </row>
    <row r="535" spans="2:2" x14ac:dyDescent="0.2">
      <c r="B535" t="str">
        <f t="shared" si="10"/>
        <v/>
      </c>
    </row>
    <row r="536" spans="2:2" x14ac:dyDescent="0.2">
      <c r="B536" t="str">
        <f t="shared" si="10"/>
        <v/>
      </c>
    </row>
    <row r="537" spans="2:2" x14ac:dyDescent="0.2">
      <c r="B537" t="str">
        <f t="shared" si="10"/>
        <v/>
      </c>
    </row>
    <row r="538" spans="2:2" x14ac:dyDescent="0.2">
      <c r="B538" t="str">
        <f t="shared" si="10"/>
        <v/>
      </c>
    </row>
    <row r="539" spans="2:2" x14ac:dyDescent="0.2">
      <c r="B539" t="str">
        <f t="shared" si="10"/>
        <v/>
      </c>
    </row>
    <row r="540" spans="2:2" x14ac:dyDescent="0.2">
      <c r="B540" t="str">
        <f t="shared" si="10"/>
        <v/>
      </c>
    </row>
    <row r="541" spans="2:2" x14ac:dyDescent="0.2">
      <c r="B541" t="str">
        <f t="shared" si="10"/>
        <v/>
      </c>
    </row>
    <row r="542" spans="2:2" x14ac:dyDescent="0.2">
      <c r="B542" t="str">
        <f t="shared" si="10"/>
        <v/>
      </c>
    </row>
    <row r="543" spans="2:2" x14ac:dyDescent="0.2">
      <c r="B543" t="str">
        <f t="shared" si="10"/>
        <v/>
      </c>
    </row>
    <row r="544" spans="2:2" x14ac:dyDescent="0.2">
      <c r="B544" t="str">
        <f t="shared" si="10"/>
        <v/>
      </c>
    </row>
    <row r="545" spans="2:2" x14ac:dyDescent="0.2">
      <c r="B545" t="str">
        <f t="shared" si="10"/>
        <v/>
      </c>
    </row>
    <row r="546" spans="2:2" x14ac:dyDescent="0.2">
      <c r="B546" t="str">
        <f t="shared" si="10"/>
        <v/>
      </c>
    </row>
    <row r="547" spans="2:2" x14ac:dyDescent="0.2">
      <c r="B547" t="str">
        <f t="shared" si="10"/>
        <v/>
      </c>
    </row>
    <row r="548" spans="2:2" x14ac:dyDescent="0.2">
      <c r="B548" t="str">
        <f t="shared" si="10"/>
        <v/>
      </c>
    </row>
    <row r="549" spans="2:2" x14ac:dyDescent="0.2">
      <c r="B549" t="str">
        <f t="shared" si="10"/>
        <v/>
      </c>
    </row>
    <row r="550" spans="2:2" x14ac:dyDescent="0.2">
      <c r="B550" t="str">
        <f t="shared" si="10"/>
        <v/>
      </c>
    </row>
    <row r="551" spans="2:2" x14ac:dyDescent="0.2">
      <c r="B551" t="str">
        <f t="shared" si="10"/>
        <v/>
      </c>
    </row>
    <row r="552" spans="2:2" x14ac:dyDescent="0.2">
      <c r="B552" t="str">
        <f t="shared" si="10"/>
        <v/>
      </c>
    </row>
    <row r="553" spans="2:2" x14ac:dyDescent="0.2">
      <c r="B553" t="str">
        <f t="shared" si="10"/>
        <v/>
      </c>
    </row>
    <row r="554" spans="2:2" x14ac:dyDescent="0.2">
      <c r="B554" t="str">
        <f t="shared" si="10"/>
        <v/>
      </c>
    </row>
    <row r="555" spans="2:2" x14ac:dyDescent="0.2">
      <c r="B555" t="str">
        <f t="shared" si="10"/>
        <v/>
      </c>
    </row>
    <row r="556" spans="2:2" x14ac:dyDescent="0.2">
      <c r="B556" t="str">
        <f t="shared" si="10"/>
        <v/>
      </c>
    </row>
    <row r="557" spans="2:2" x14ac:dyDescent="0.2">
      <c r="B557" t="str">
        <f t="shared" si="10"/>
        <v/>
      </c>
    </row>
    <row r="558" spans="2:2" x14ac:dyDescent="0.2">
      <c r="B558" t="str">
        <f t="shared" si="10"/>
        <v/>
      </c>
    </row>
    <row r="559" spans="2:2" x14ac:dyDescent="0.2">
      <c r="B559" t="str">
        <f t="shared" si="10"/>
        <v/>
      </c>
    </row>
    <row r="560" spans="2:2" x14ac:dyDescent="0.2">
      <c r="B560" t="str">
        <f t="shared" si="10"/>
        <v/>
      </c>
    </row>
    <row r="561" spans="2:2" x14ac:dyDescent="0.2">
      <c r="B561" t="str">
        <f t="shared" si="10"/>
        <v/>
      </c>
    </row>
    <row r="562" spans="2:2" x14ac:dyDescent="0.2">
      <c r="B562" t="str">
        <f t="shared" si="10"/>
        <v/>
      </c>
    </row>
    <row r="563" spans="2:2" x14ac:dyDescent="0.2">
      <c r="B563" t="str">
        <f t="shared" si="10"/>
        <v/>
      </c>
    </row>
    <row r="564" spans="2:2" x14ac:dyDescent="0.2">
      <c r="B564" t="str">
        <f t="shared" si="10"/>
        <v/>
      </c>
    </row>
    <row r="565" spans="2:2" x14ac:dyDescent="0.2">
      <c r="B565" t="str">
        <f t="shared" si="10"/>
        <v/>
      </c>
    </row>
    <row r="566" spans="2:2" x14ac:dyDescent="0.2">
      <c r="B566" t="str">
        <f t="shared" si="10"/>
        <v/>
      </c>
    </row>
    <row r="567" spans="2:2" x14ac:dyDescent="0.2">
      <c r="B567" t="str">
        <f t="shared" si="10"/>
        <v/>
      </c>
    </row>
    <row r="568" spans="2:2" x14ac:dyDescent="0.2">
      <c r="B568" t="str">
        <f t="shared" si="10"/>
        <v/>
      </c>
    </row>
    <row r="569" spans="2:2" x14ac:dyDescent="0.2">
      <c r="B569" t="str">
        <f t="shared" si="10"/>
        <v/>
      </c>
    </row>
    <row r="570" spans="2:2" x14ac:dyDescent="0.2">
      <c r="B570" t="str">
        <f t="shared" si="10"/>
        <v/>
      </c>
    </row>
    <row r="571" spans="2:2" x14ac:dyDescent="0.2">
      <c r="B571" t="str">
        <f t="shared" si="10"/>
        <v/>
      </c>
    </row>
    <row r="572" spans="2:2" x14ac:dyDescent="0.2">
      <c r="B572" t="str">
        <f t="shared" si="10"/>
        <v/>
      </c>
    </row>
    <row r="573" spans="2:2" x14ac:dyDescent="0.2">
      <c r="B573" t="str">
        <f t="shared" si="10"/>
        <v/>
      </c>
    </row>
    <row r="574" spans="2:2" x14ac:dyDescent="0.2">
      <c r="B574" t="str">
        <f t="shared" si="10"/>
        <v/>
      </c>
    </row>
    <row r="575" spans="2:2" x14ac:dyDescent="0.2">
      <c r="B575" t="str">
        <f t="shared" si="10"/>
        <v/>
      </c>
    </row>
    <row r="576" spans="2:2" x14ac:dyDescent="0.2">
      <c r="B576" t="str">
        <f t="shared" si="10"/>
        <v/>
      </c>
    </row>
    <row r="577" spans="2:2" x14ac:dyDescent="0.2">
      <c r="B577" t="str">
        <f t="shared" si="10"/>
        <v/>
      </c>
    </row>
    <row r="578" spans="2:2" x14ac:dyDescent="0.2">
      <c r="B578" t="str">
        <f t="shared" si="10"/>
        <v/>
      </c>
    </row>
    <row r="579" spans="2:2" x14ac:dyDescent="0.2">
      <c r="B579" t="str">
        <f t="shared" si="10"/>
        <v/>
      </c>
    </row>
    <row r="580" spans="2:2" x14ac:dyDescent="0.2">
      <c r="B580" t="str">
        <f t="shared" si="10"/>
        <v/>
      </c>
    </row>
    <row r="581" spans="2:2" x14ac:dyDescent="0.2">
      <c r="B581" t="str">
        <f t="shared" ref="B581:B644" si="11">D581&amp;I581</f>
        <v/>
      </c>
    </row>
    <row r="582" spans="2:2" x14ac:dyDescent="0.2">
      <c r="B582" t="str">
        <f t="shared" si="11"/>
        <v/>
      </c>
    </row>
    <row r="583" spans="2:2" x14ac:dyDescent="0.2">
      <c r="B583" t="str">
        <f t="shared" si="11"/>
        <v/>
      </c>
    </row>
    <row r="584" spans="2:2" x14ac:dyDescent="0.2">
      <c r="B584" t="str">
        <f t="shared" si="11"/>
        <v/>
      </c>
    </row>
    <row r="585" spans="2:2" x14ac:dyDescent="0.2">
      <c r="B585" t="str">
        <f t="shared" si="11"/>
        <v/>
      </c>
    </row>
    <row r="586" spans="2:2" x14ac:dyDescent="0.2">
      <c r="B586" t="str">
        <f t="shared" si="11"/>
        <v/>
      </c>
    </row>
    <row r="587" spans="2:2" x14ac:dyDescent="0.2">
      <c r="B587" t="str">
        <f t="shared" si="11"/>
        <v/>
      </c>
    </row>
    <row r="588" spans="2:2" x14ac:dyDescent="0.2">
      <c r="B588" t="str">
        <f t="shared" si="11"/>
        <v/>
      </c>
    </row>
    <row r="589" spans="2:2" x14ac:dyDescent="0.2">
      <c r="B589" t="str">
        <f t="shared" si="11"/>
        <v/>
      </c>
    </row>
    <row r="590" spans="2:2" x14ac:dyDescent="0.2">
      <c r="B590" t="str">
        <f t="shared" si="11"/>
        <v/>
      </c>
    </row>
    <row r="591" spans="2:2" x14ac:dyDescent="0.2">
      <c r="B591" t="str">
        <f t="shared" si="11"/>
        <v/>
      </c>
    </row>
    <row r="592" spans="2:2" x14ac:dyDescent="0.2">
      <c r="B592" t="str">
        <f t="shared" si="11"/>
        <v/>
      </c>
    </row>
    <row r="593" spans="2:2" x14ac:dyDescent="0.2">
      <c r="B593" t="str">
        <f t="shared" si="11"/>
        <v/>
      </c>
    </row>
    <row r="594" spans="2:2" x14ac:dyDescent="0.2">
      <c r="B594" t="str">
        <f t="shared" si="11"/>
        <v/>
      </c>
    </row>
    <row r="595" spans="2:2" x14ac:dyDescent="0.2">
      <c r="B595" t="str">
        <f t="shared" si="11"/>
        <v/>
      </c>
    </row>
    <row r="596" spans="2:2" x14ac:dyDescent="0.2">
      <c r="B596" t="str">
        <f t="shared" si="11"/>
        <v/>
      </c>
    </row>
    <row r="597" spans="2:2" x14ac:dyDescent="0.2">
      <c r="B597" t="str">
        <f t="shared" si="11"/>
        <v/>
      </c>
    </row>
    <row r="598" spans="2:2" x14ac:dyDescent="0.2">
      <c r="B598" t="str">
        <f t="shared" si="11"/>
        <v/>
      </c>
    </row>
    <row r="599" spans="2:2" x14ac:dyDescent="0.2">
      <c r="B599" t="str">
        <f t="shared" si="11"/>
        <v/>
      </c>
    </row>
    <row r="600" spans="2:2" x14ac:dyDescent="0.2">
      <c r="B600" t="str">
        <f t="shared" si="11"/>
        <v/>
      </c>
    </row>
    <row r="601" spans="2:2" x14ac:dyDescent="0.2">
      <c r="B601" t="str">
        <f t="shared" si="11"/>
        <v/>
      </c>
    </row>
    <row r="602" spans="2:2" x14ac:dyDescent="0.2">
      <c r="B602" t="str">
        <f t="shared" si="11"/>
        <v/>
      </c>
    </row>
    <row r="603" spans="2:2" x14ac:dyDescent="0.2">
      <c r="B603" t="str">
        <f t="shared" si="11"/>
        <v/>
      </c>
    </row>
    <row r="604" spans="2:2" x14ac:dyDescent="0.2">
      <c r="B604" t="str">
        <f t="shared" si="11"/>
        <v/>
      </c>
    </row>
    <row r="605" spans="2:2" x14ac:dyDescent="0.2">
      <c r="B605" t="str">
        <f t="shared" si="11"/>
        <v/>
      </c>
    </row>
    <row r="606" spans="2:2" x14ac:dyDescent="0.2">
      <c r="B606" t="str">
        <f t="shared" si="11"/>
        <v/>
      </c>
    </row>
    <row r="607" spans="2:2" x14ac:dyDescent="0.2">
      <c r="B607" t="str">
        <f t="shared" si="11"/>
        <v/>
      </c>
    </row>
    <row r="608" spans="2:2" x14ac:dyDescent="0.2">
      <c r="B608" t="str">
        <f t="shared" si="11"/>
        <v/>
      </c>
    </row>
    <row r="609" spans="2:2" x14ac:dyDescent="0.2">
      <c r="B609" t="str">
        <f t="shared" si="11"/>
        <v/>
      </c>
    </row>
    <row r="610" spans="2:2" x14ac:dyDescent="0.2">
      <c r="B610" t="str">
        <f t="shared" si="11"/>
        <v/>
      </c>
    </row>
    <row r="611" spans="2:2" x14ac:dyDescent="0.2">
      <c r="B611" t="str">
        <f t="shared" si="11"/>
        <v/>
      </c>
    </row>
    <row r="612" spans="2:2" x14ac:dyDescent="0.2">
      <c r="B612" t="str">
        <f t="shared" si="11"/>
        <v/>
      </c>
    </row>
    <row r="613" spans="2:2" x14ac:dyDescent="0.2">
      <c r="B613" t="str">
        <f t="shared" si="11"/>
        <v/>
      </c>
    </row>
    <row r="614" spans="2:2" x14ac:dyDescent="0.2">
      <c r="B614" t="str">
        <f t="shared" si="11"/>
        <v/>
      </c>
    </row>
    <row r="615" spans="2:2" x14ac:dyDescent="0.2">
      <c r="B615" t="str">
        <f t="shared" si="11"/>
        <v/>
      </c>
    </row>
    <row r="616" spans="2:2" x14ac:dyDescent="0.2">
      <c r="B616" t="str">
        <f t="shared" si="11"/>
        <v/>
      </c>
    </row>
    <row r="617" spans="2:2" x14ac:dyDescent="0.2">
      <c r="B617" t="str">
        <f t="shared" si="11"/>
        <v/>
      </c>
    </row>
    <row r="618" spans="2:2" x14ac:dyDescent="0.2">
      <c r="B618" t="str">
        <f t="shared" si="11"/>
        <v/>
      </c>
    </row>
    <row r="619" spans="2:2" x14ac:dyDescent="0.2">
      <c r="B619" t="str">
        <f t="shared" si="11"/>
        <v/>
      </c>
    </row>
    <row r="620" spans="2:2" x14ac:dyDescent="0.2">
      <c r="B620" t="str">
        <f t="shared" si="11"/>
        <v/>
      </c>
    </row>
    <row r="621" spans="2:2" x14ac:dyDescent="0.2">
      <c r="B621" t="str">
        <f t="shared" si="11"/>
        <v/>
      </c>
    </row>
    <row r="622" spans="2:2" x14ac:dyDescent="0.2">
      <c r="B622" t="str">
        <f t="shared" si="11"/>
        <v/>
      </c>
    </row>
    <row r="623" spans="2:2" x14ac:dyDescent="0.2">
      <c r="B623" t="str">
        <f t="shared" si="11"/>
        <v/>
      </c>
    </row>
    <row r="624" spans="2:2" x14ac:dyDescent="0.2">
      <c r="B624" t="str">
        <f t="shared" si="11"/>
        <v/>
      </c>
    </row>
    <row r="625" spans="2:2" x14ac:dyDescent="0.2">
      <c r="B625" t="str">
        <f t="shared" si="11"/>
        <v/>
      </c>
    </row>
    <row r="626" spans="2:2" x14ac:dyDescent="0.2">
      <c r="B626" t="str">
        <f t="shared" si="11"/>
        <v/>
      </c>
    </row>
    <row r="627" spans="2:2" x14ac:dyDescent="0.2">
      <c r="B627" t="str">
        <f t="shared" si="11"/>
        <v/>
      </c>
    </row>
    <row r="628" spans="2:2" x14ac:dyDescent="0.2">
      <c r="B628" t="str">
        <f t="shared" si="11"/>
        <v/>
      </c>
    </row>
    <row r="629" spans="2:2" x14ac:dyDescent="0.2">
      <c r="B629" t="str">
        <f t="shared" si="11"/>
        <v/>
      </c>
    </row>
    <row r="630" spans="2:2" x14ac:dyDescent="0.2">
      <c r="B630" t="str">
        <f t="shared" si="11"/>
        <v/>
      </c>
    </row>
    <row r="631" spans="2:2" x14ac:dyDescent="0.2">
      <c r="B631" t="str">
        <f t="shared" si="11"/>
        <v/>
      </c>
    </row>
    <row r="632" spans="2:2" x14ac:dyDescent="0.2">
      <c r="B632" t="str">
        <f t="shared" si="11"/>
        <v/>
      </c>
    </row>
    <row r="633" spans="2:2" x14ac:dyDescent="0.2">
      <c r="B633" t="str">
        <f t="shared" si="11"/>
        <v/>
      </c>
    </row>
    <row r="634" spans="2:2" x14ac:dyDescent="0.2">
      <c r="B634" t="str">
        <f t="shared" si="11"/>
        <v/>
      </c>
    </row>
    <row r="635" spans="2:2" x14ac:dyDescent="0.2">
      <c r="B635" t="str">
        <f t="shared" si="11"/>
        <v/>
      </c>
    </row>
    <row r="636" spans="2:2" x14ac:dyDescent="0.2">
      <c r="B636" t="str">
        <f t="shared" si="11"/>
        <v/>
      </c>
    </row>
    <row r="637" spans="2:2" x14ac:dyDescent="0.2">
      <c r="B637" t="str">
        <f t="shared" si="11"/>
        <v/>
      </c>
    </row>
    <row r="638" spans="2:2" x14ac:dyDescent="0.2">
      <c r="B638" t="str">
        <f t="shared" si="11"/>
        <v/>
      </c>
    </row>
    <row r="639" spans="2:2" x14ac:dyDescent="0.2">
      <c r="B639" t="str">
        <f t="shared" si="11"/>
        <v/>
      </c>
    </row>
    <row r="640" spans="2:2" x14ac:dyDescent="0.2">
      <c r="B640" t="str">
        <f t="shared" si="11"/>
        <v/>
      </c>
    </row>
    <row r="641" spans="2:2" x14ac:dyDescent="0.2">
      <c r="B641" t="str">
        <f t="shared" si="11"/>
        <v/>
      </c>
    </row>
    <row r="642" spans="2:2" x14ac:dyDescent="0.2">
      <c r="B642" t="str">
        <f t="shared" si="11"/>
        <v/>
      </c>
    </row>
    <row r="643" spans="2:2" x14ac:dyDescent="0.2">
      <c r="B643" t="str">
        <f t="shared" si="11"/>
        <v/>
      </c>
    </row>
    <row r="644" spans="2:2" x14ac:dyDescent="0.2">
      <c r="B644" t="str">
        <f t="shared" si="11"/>
        <v/>
      </c>
    </row>
    <row r="645" spans="2:2" x14ac:dyDescent="0.2">
      <c r="B645" t="str">
        <f t="shared" ref="B645:B708" si="12">D645&amp;I645</f>
        <v/>
      </c>
    </row>
    <row r="646" spans="2:2" x14ac:dyDescent="0.2">
      <c r="B646" t="str">
        <f t="shared" si="12"/>
        <v/>
      </c>
    </row>
    <row r="647" spans="2:2" x14ac:dyDescent="0.2">
      <c r="B647" t="str">
        <f t="shared" si="12"/>
        <v/>
      </c>
    </row>
    <row r="648" spans="2:2" x14ac:dyDescent="0.2">
      <c r="B648" t="str">
        <f t="shared" si="12"/>
        <v/>
      </c>
    </row>
    <row r="649" spans="2:2" x14ac:dyDescent="0.2">
      <c r="B649" t="str">
        <f t="shared" si="12"/>
        <v/>
      </c>
    </row>
    <row r="650" spans="2:2" x14ac:dyDescent="0.2">
      <c r="B650" t="str">
        <f t="shared" si="12"/>
        <v/>
      </c>
    </row>
    <row r="651" spans="2:2" x14ac:dyDescent="0.2">
      <c r="B651" t="str">
        <f t="shared" si="12"/>
        <v/>
      </c>
    </row>
    <row r="652" spans="2:2" x14ac:dyDescent="0.2">
      <c r="B652" t="str">
        <f t="shared" si="12"/>
        <v/>
      </c>
    </row>
    <row r="653" spans="2:2" x14ac:dyDescent="0.2">
      <c r="B653" t="str">
        <f t="shared" si="12"/>
        <v/>
      </c>
    </row>
    <row r="654" spans="2:2" x14ac:dyDescent="0.2">
      <c r="B654" t="str">
        <f t="shared" si="12"/>
        <v/>
      </c>
    </row>
    <row r="655" spans="2:2" x14ac:dyDescent="0.2">
      <c r="B655" t="str">
        <f t="shared" si="12"/>
        <v/>
      </c>
    </row>
    <row r="656" spans="2:2" x14ac:dyDescent="0.2">
      <c r="B656" t="str">
        <f t="shared" si="12"/>
        <v/>
      </c>
    </row>
    <row r="657" spans="2:2" x14ac:dyDescent="0.2">
      <c r="B657" t="str">
        <f t="shared" si="12"/>
        <v/>
      </c>
    </row>
    <row r="658" spans="2:2" x14ac:dyDescent="0.2">
      <c r="B658" t="str">
        <f t="shared" si="12"/>
        <v/>
      </c>
    </row>
    <row r="659" spans="2:2" x14ac:dyDescent="0.2">
      <c r="B659" t="str">
        <f t="shared" si="12"/>
        <v/>
      </c>
    </row>
    <row r="660" spans="2:2" x14ac:dyDescent="0.2">
      <c r="B660" t="str">
        <f t="shared" si="12"/>
        <v/>
      </c>
    </row>
    <row r="661" spans="2:2" x14ac:dyDescent="0.2">
      <c r="B661" t="str">
        <f t="shared" si="12"/>
        <v/>
      </c>
    </row>
    <row r="662" spans="2:2" x14ac:dyDescent="0.2">
      <c r="B662" t="str">
        <f t="shared" si="12"/>
        <v/>
      </c>
    </row>
    <row r="663" spans="2:2" x14ac:dyDescent="0.2">
      <c r="B663" t="str">
        <f t="shared" si="12"/>
        <v/>
      </c>
    </row>
    <row r="664" spans="2:2" x14ac:dyDescent="0.2">
      <c r="B664" t="str">
        <f t="shared" si="12"/>
        <v/>
      </c>
    </row>
    <row r="665" spans="2:2" x14ac:dyDescent="0.2">
      <c r="B665" t="str">
        <f t="shared" si="12"/>
        <v/>
      </c>
    </row>
    <row r="666" spans="2:2" x14ac:dyDescent="0.2">
      <c r="B666" t="str">
        <f t="shared" si="12"/>
        <v/>
      </c>
    </row>
    <row r="667" spans="2:2" x14ac:dyDescent="0.2">
      <c r="B667" t="str">
        <f t="shared" si="12"/>
        <v/>
      </c>
    </row>
    <row r="668" spans="2:2" x14ac:dyDescent="0.2">
      <c r="B668" t="str">
        <f t="shared" si="12"/>
        <v/>
      </c>
    </row>
    <row r="669" spans="2:2" x14ac:dyDescent="0.2">
      <c r="B669" t="str">
        <f t="shared" si="12"/>
        <v/>
      </c>
    </row>
    <row r="670" spans="2:2" x14ac:dyDescent="0.2">
      <c r="B670" t="str">
        <f t="shared" si="12"/>
        <v/>
      </c>
    </row>
    <row r="671" spans="2:2" x14ac:dyDescent="0.2">
      <c r="B671" t="str">
        <f t="shared" si="12"/>
        <v/>
      </c>
    </row>
    <row r="672" spans="2:2" x14ac:dyDescent="0.2">
      <c r="B672" t="str">
        <f t="shared" si="12"/>
        <v/>
      </c>
    </row>
    <row r="673" spans="2:2" x14ac:dyDescent="0.2">
      <c r="B673" t="str">
        <f t="shared" si="12"/>
        <v/>
      </c>
    </row>
    <row r="674" spans="2:2" x14ac:dyDescent="0.2">
      <c r="B674" t="str">
        <f t="shared" si="12"/>
        <v/>
      </c>
    </row>
    <row r="675" spans="2:2" x14ac:dyDescent="0.2">
      <c r="B675" t="str">
        <f t="shared" si="12"/>
        <v/>
      </c>
    </row>
    <row r="676" spans="2:2" x14ac:dyDescent="0.2">
      <c r="B676" t="str">
        <f t="shared" si="12"/>
        <v/>
      </c>
    </row>
    <row r="677" spans="2:2" x14ac:dyDescent="0.2">
      <c r="B677" t="str">
        <f t="shared" si="12"/>
        <v/>
      </c>
    </row>
    <row r="678" spans="2:2" x14ac:dyDescent="0.2">
      <c r="B678" t="str">
        <f t="shared" si="12"/>
        <v/>
      </c>
    </row>
    <row r="679" spans="2:2" x14ac:dyDescent="0.2">
      <c r="B679" t="str">
        <f t="shared" si="12"/>
        <v/>
      </c>
    </row>
    <row r="680" spans="2:2" x14ac:dyDescent="0.2">
      <c r="B680" t="str">
        <f t="shared" si="12"/>
        <v/>
      </c>
    </row>
    <row r="681" spans="2:2" x14ac:dyDescent="0.2">
      <c r="B681" t="str">
        <f t="shared" si="12"/>
        <v/>
      </c>
    </row>
    <row r="682" spans="2:2" x14ac:dyDescent="0.2">
      <c r="B682" t="str">
        <f t="shared" si="12"/>
        <v/>
      </c>
    </row>
    <row r="683" spans="2:2" x14ac:dyDescent="0.2">
      <c r="B683" t="str">
        <f t="shared" si="12"/>
        <v/>
      </c>
    </row>
    <row r="684" spans="2:2" x14ac:dyDescent="0.2">
      <c r="B684" t="str">
        <f t="shared" si="12"/>
        <v/>
      </c>
    </row>
    <row r="685" spans="2:2" x14ac:dyDescent="0.2">
      <c r="B685" t="str">
        <f t="shared" si="12"/>
        <v/>
      </c>
    </row>
    <row r="686" spans="2:2" x14ac:dyDescent="0.2">
      <c r="B686" t="str">
        <f t="shared" si="12"/>
        <v/>
      </c>
    </row>
    <row r="687" spans="2:2" x14ac:dyDescent="0.2">
      <c r="B687" t="str">
        <f t="shared" si="12"/>
        <v/>
      </c>
    </row>
    <row r="688" spans="2:2" x14ac:dyDescent="0.2">
      <c r="B688" t="str">
        <f t="shared" si="12"/>
        <v/>
      </c>
    </row>
    <row r="689" spans="2:2" x14ac:dyDescent="0.2">
      <c r="B689" t="str">
        <f t="shared" si="12"/>
        <v/>
      </c>
    </row>
    <row r="690" spans="2:2" x14ac:dyDescent="0.2">
      <c r="B690" t="str">
        <f t="shared" si="12"/>
        <v/>
      </c>
    </row>
    <row r="691" spans="2:2" x14ac:dyDescent="0.2">
      <c r="B691" t="str">
        <f t="shared" si="12"/>
        <v/>
      </c>
    </row>
    <row r="692" spans="2:2" x14ac:dyDescent="0.2">
      <c r="B692" t="str">
        <f t="shared" si="12"/>
        <v/>
      </c>
    </row>
    <row r="693" spans="2:2" x14ac:dyDescent="0.2">
      <c r="B693" t="str">
        <f t="shared" si="12"/>
        <v/>
      </c>
    </row>
    <row r="694" spans="2:2" x14ac:dyDescent="0.2">
      <c r="B694" t="str">
        <f t="shared" si="12"/>
        <v/>
      </c>
    </row>
    <row r="695" spans="2:2" x14ac:dyDescent="0.2">
      <c r="B695" t="str">
        <f t="shared" si="12"/>
        <v/>
      </c>
    </row>
    <row r="696" spans="2:2" x14ac:dyDescent="0.2">
      <c r="B696" t="str">
        <f t="shared" si="12"/>
        <v/>
      </c>
    </row>
    <row r="697" spans="2:2" x14ac:dyDescent="0.2">
      <c r="B697" t="str">
        <f t="shared" si="12"/>
        <v/>
      </c>
    </row>
    <row r="698" spans="2:2" x14ac:dyDescent="0.2">
      <c r="B698" t="str">
        <f t="shared" si="12"/>
        <v/>
      </c>
    </row>
    <row r="699" spans="2:2" x14ac:dyDescent="0.2">
      <c r="B699" t="str">
        <f t="shared" si="12"/>
        <v/>
      </c>
    </row>
    <row r="700" spans="2:2" x14ac:dyDescent="0.2">
      <c r="B700" t="str">
        <f t="shared" si="12"/>
        <v/>
      </c>
    </row>
    <row r="701" spans="2:2" x14ac:dyDescent="0.2">
      <c r="B701" t="str">
        <f t="shared" si="12"/>
        <v/>
      </c>
    </row>
    <row r="702" spans="2:2" x14ac:dyDescent="0.2">
      <c r="B702" t="str">
        <f t="shared" si="12"/>
        <v/>
      </c>
    </row>
    <row r="703" spans="2:2" x14ac:dyDescent="0.2">
      <c r="B703" t="str">
        <f t="shared" si="12"/>
        <v/>
      </c>
    </row>
    <row r="704" spans="2:2" x14ac:dyDescent="0.2">
      <c r="B704" t="str">
        <f t="shared" si="12"/>
        <v/>
      </c>
    </row>
    <row r="705" spans="2:2" x14ac:dyDescent="0.2">
      <c r="B705" t="str">
        <f t="shared" si="12"/>
        <v/>
      </c>
    </row>
    <row r="706" spans="2:2" x14ac:dyDescent="0.2">
      <c r="B706" t="str">
        <f t="shared" si="12"/>
        <v/>
      </c>
    </row>
    <row r="707" spans="2:2" x14ac:dyDescent="0.2">
      <c r="B707" t="str">
        <f t="shared" si="12"/>
        <v/>
      </c>
    </row>
    <row r="708" spans="2:2" x14ac:dyDescent="0.2">
      <c r="B708" t="str">
        <f t="shared" si="12"/>
        <v/>
      </c>
    </row>
    <row r="709" spans="2:2" x14ac:dyDescent="0.2">
      <c r="B709" t="str">
        <f t="shared" ref="B709:B772" si="13">D709&amp;I709</f>
        <v/>
      </c>
    </row>
    <row r="710" spans="2:2" x14ac:dyDescent="0.2">
      <c r="B710" t="str">
        <f t="shared" si="13"/>
        <v/>
      </c>
    </row>
    <row r="711" spans="2:2" x14ac:dyDescent="0.2">
      <c r="B711" t="str">
        <f t="shared" si="13"/>
        <v/>
      </c>
    </row>
    <row r="712" spans="2:2" x14ac:dyDescent="0.2">
      <c r="B712" t="str">
        <f t="shared" si="13"/>
        <v/>
      </c>
    </row>
    <row r="713" spans="2:2" x14ac:dyDescent="0.2">
      <c r="B713" t="str">
        <f t="shared" si="13"/>
        <v/>
      </c>
    </row>
    <row r="714" spans="2:2" x14ac:dyDescent="0.2">
      <c r="B714" t="str">
        <f t="shared" si="13"/>
        <v/>
      </c>
    </row>
    <row r="715" spans="2:2" x14ac:dyDescent="0.2">
      <c r="B715" t="str">
        <f t="shared" si="13"/>
        <v/>
      </c>
    </row>
    <row r="716" spans="2:2" x14ac:dyDescent="0.2">
      <c r="B716" t="str">
        <f t="shared" si="13"/>
        <v/>
      </c>
    </row>
    <row r="717" spans="2:2" x14ac:dyDescent="0.2">
      <c r="B717" t="str">
        <f t="shared" si="13"/>
        <v/>
      </c>
    </row>
    <row r="718" spans="2:2" x14ac:dyDescent="0.2">
      <c r="B718" t="str">
        <f t="shared" si="13"/>
        <v/>
      </c>
    </row>
    <row r="719" spans="2:2" x14ac:dyDescent="0.2">
      <c r="B719" t="str">
        <f t="shared" si="13"/>
        <v/>
      </c>
    </row>
    <row r="720" spans="2:2" x14ac:dyDescent="0.2">
      <c r="B720" t="str">
        <f t="shared" si="13"/>
        <v/>
      </c>
    </row>
    <row r="721" spans="2:2" x14ac:dyDescent="0.2">
      <c r="B721" t="str">
        <f t="shared" si="13"/>
        <v/>
      </c>
    </row>
    <row r="722" spans="2:2" x14ac:dyDescent="0.2">
      <c r="B722" t="str">
        <f t="shared" si="13"/>
        <v/>
      </c>
    </row>
    <row r="723" spans="2:2" x14ac:dyDescent="0.2">
      <c r="B723" t="str">
        <f t="shared" si="13"/>
        <v/>
      </c>
    </row>
    <row r="724" spans="2:2" x14ac:dyDescent="0.2">
      <c r="B724" t="str">
        <f t="shared" si="13"/>
        <v/>
      </c>
    </row>
    <row r="725" spans="2:2" x14ac:dyDescent="0.2">
      <c r="B725" t="str">
        <f t="shared" si="13"/>
        <v/>
      </c>
    </row>
    <row r="726" spans="2:2" x14ac:dyDescent="0.2">
      <c r="B726" t="str">
        <f t="shared" si="13"/>
        <v/>
      </c>
    </row>
    <row r="727" spans="2:2" x14ac:dyDescent="0.2">
      <c r="B727" t="str">
        <f t="shared" si="13"/>
        <v/>
      </c>
    </row>
    <row r="728" spans="2:2" x14ac:dyDescent="0.2">
      <c r="B728" t="str">
        <f t="shared" si="13"/>
        <v/>
      </c>
    </row>
    <row r="729" spans="2:2" x14ac:dyDescent="0.2">
      <c r="B729" t="str">
        <f t="shared" si="13"/>
        <v/>
      </c>
    </row>
    <row r="730" spans="2:2" x14ac:dyDescent="0.2">
      <c r="B730" t="str">
        <f t="shared" si="13"/>
        <v/>
      </c>
    </row>
    <row r="731" spans="2:2" x14ac:dyDescent="0.2">
      <c r="B731" t="str">
        <f t="shared" si="13"/>
        <v/>
      </c>
    </row>
    <row r="732" spans="2:2" x14ac:dyDescent="0.2">
      <c r="B732" t="str">
        <f t="shared" si="13"/>
        <v/>
      </c>
    </row>
    <row r="733" spans="2:2" x14ac:dyDescent="0.2">
      <c r="B733" t="str">
        <f t="shared" si="13"/>
        <v/>
      </c>
    </row>
    <row r="734" spans="2:2" x14ac:dyDescent="0.2">
      <c r="B734" t="str">
        <f t="shared" si="13"/>
        <v/>
      </c>
    </row>
    <row r="735" spans="2:2" x14ac:dyDescent="0.2">
      <c r="B735" t="str">
        <f t="shared" si="13"/>
        <v/>
      </c>
    </row>
    <row r="736" spans="2:2" x14ac:dyDescent="0.2">
      <c r="B736" t="str">
        <f t="shared" si="13"/>
        <v/>
      </c>
    </row>
    <row r="737" spans="2:2" x14ac:dyDescent="0.2">
      <c r="B737" t="str">
        <f t="shared" si="13"/>
        <v/>
      </c>
    </row>
    <row r="738" spans="2:2" x14ac:dyDescent="0.2">
      <c r="B738" t="str">
        <f t="shared" si="13"/>
        <v/>
      </c>
    </row>
    <row r="739" spans="2:2" x14ac:dyDescent="0.2">
      <c r="B739" t="str">
        <f t="shared" si="13"/>
        <v/>
      </c>
    </row>
    <row r="740" spans="2:2" x14ac:dyDescent="0.2">
      <c r="B740" t="str">
        <f t="shared" si="13"/>
        <v/>
      </c>
    </row>
    <row r="741" spans="2:2" x14ac:dyDescent="0.2">
      <c r="B741" t="str">
        <f t="shared" si="13"/>
        <v/>
      </c>
    </row>
    <row r="742" spans="2:2" x14ac:dyDescent="0.2">
      <c r="B742" t="str">
        <f t="shared" si="13"/>
        <v/>
      </c>
    </row>
    <row r="743" spans="2:2" x14ac:dyDescent="0.2">
      <c r="B743" t="str">
        <f t="shared" si="13"/>
        <v/>
      </c>
    </row>
    <row r="744" spans="2:2" x14ac:dyDescent="0.2">
      <c r="B744" t="str">
        <f t="shared" si="13"/>
        <v/>
      </c>
    </row>
    <row r="745" spans="2:2" x14ac:dyDescent="0.2">
      <c r="B745" t="str">
        <f t="shared" si="13"/>
        <v/>
      </c>
    </row>
    <row r="746" spans="2:2" x14ac:dyDescent="0.2">
      <c r="B746" t="str">
        <f t="shared" si="13"/>
        <v/>
      </c>
    </row>
    <row r="747" spans="2:2" x14ac:dyDescent="0.2">
      <c r="B747" t="str">
        <f t="shared" si="13"/>
        <v/>
      </c>
    </row>
    <row r="748" spans="2:2" x14ac:dyDescent="0.2">
      <c r="B748" t="str">
        <f t="shared" si="13"/>
        <v/>
      </c>
    </row>
    <row r="749" spans="2:2" x14ac:dyDescent="0.2">
      <c r="B749" t="str">
        <f t="shared" si="13"/>
        <v/>
      </c>
    </row>
    <row r="750" spans="2:2" x14ac:dyDescent="0.2">
      <c r="B750" t="str">
        <f t="shared" si="13"/>
        <v/>
      </c>
    </row>
    <row r="751" spans="2:2" x14ac:dyDescent="0.2">
      <c r="B751" t="str">
        <f t="shared" si="13"/>
        <v/>
      </c>
    </row>
    <row r="752" spans="2:2" x14ac:dyDescent="0.2">
      <c r="B752" t="str">
        <f t="shared" si="13"/>
        <v/>
      </c>
    </row>
    <row r="753" spans="2:2" x14ac:dyDescent="0.2">
      <c r="B753" t="str">
        <f t="shared" si="13"/>
        <v/>
      </c>
    </row>
    <row r="754" spans="2:2" x14ac:dyDescent="0.2">
      <c r="B754" t="str">
        <f t="shared" si="13"/>
        <v/>
      </c>
    </row>
    <row r="755" spans="2:2" x14ac:dyDescent="0.2">
      <c r="B755" t="str">
        <f t="shared" si="13"/>
        <v/>
      </c>
    </row>
    <row r="756" spans="2:2" x14ac:dyDescent="0.2">
      <c r="B756" t="str">
        <f t="shared" si="13"/>
        <v/>
      </c>
    </row>
    <row r="757" spans="2:2" x14ac:dyDescent="0.2">
      <c r="B757" t="str">
        <f t="shared" si="13"/>
        <v/>
      </c>
    </row>
    <row r="758" spans="2:2" x14ac:dyDescent="0.2">
      <c r="B758" t="str">
        <f t="shared" si="13"/>
        <v/>
      </c>
    </row>
    <row r="759" spans="2:2" x14ac:dyDescent="0.2">
      <c r="B759" t="str">
        <f t="shared" si="13"/>
        <v/>
      </c>
    </row>
    <row r="760" spans="2:2" x14ac:dyDescent="0.2">
      <c r="B760" t="str">
        <f t="shared" si="13"/>
        <v/>
      </c>
    </row>
    <row r="761" spans="2:2" x14ac:dyDescent="0.2">
      <c r="B761" t="str">
        <f t="shared" si="13"/>
        <v/>
      </c>
    </row>
    <row r="762" spans="2:2" x14ac:dyDescent="0.2">
      <c r="B762" t="str">
        <f t="shared" si="13"/>
        <v/>
      </c>
    </row>
    <row r="763" spans="2:2" x14ac:dyDescent="0.2">
      <c r="B763" t="str">
        <f t="shared" si="13"/>
        <v/>
      </c>
    </row>
    <row r="764" spans="2:2" x14ac:dyDescent="0.2">
      <c r="B764" t="str">
        <f t="shared" si="13"/>
        <v/>
      </c>
    </row>
    <row r="765" spans="2:2" x14ac:dyDescent="0.2">
      <c r="B765" t="str">
        <f t="shared" si="13"/>
        <v/>
      </c>
    </row>
    <row r="766" spans="2:2" x14ac:dyDescent="0.2">
      <c r="B766" t="str">
        <f t="shared" si="13"/>
        <v/>
      </c>
    </row>
    <row r="767" spans="2:2" x14ac:dyDescent="0.2">
      <c r="B767" t="str">
        <f t="shared" si="13"/>
        <v/>
      </c>
    </row>
    <row r="768" spans="2:2" x14ac:dyDescent="0.2">
      <c r="B768" t="str">
        <f t="shared" si="13"/>
        <v/>
      </c>
    </row>
    <row r="769" spans="2:2" x14ac:dyDescent="0.2">
      <c r="B769" t="str">
        <f t="shared" si="13"/>
        <v/>
      </c>
    </row>
    <row r="770" spans="2:2" x14ac:dyDescent="0.2">
      <c r="B770" t="str">
        <f t="shared" si="13"/>
        <v/>
      </c>
    </row>
    <row r="771" spans="2:2" x14ac:dyDescent="0.2">
      <c r="B771" t="str">
        <f t="shared" si="13"/>
        <v/>
      </c>
    </row>
    <row r="772" spans="2:2" x14ac:dyDescent="0.2">
      <c r="B772" t="str">
        <f t="shared" si="13"/>
        <v/>
      </c>
    </row>
    <row r="773" spans="2:2" x14ac:dyDescent="0.2">
      <c r="B773" t="str">
        <f t="shared" ref="B773:B836" si="14">D773&amp;I773</f>
        <v/>
      </c>
    </row>
    <row r="774" spans="2:2" x14ac:dyDescent="0.2">
      <c r="B774" t="str">
        <f t="shared" si="14"/>
        <v/>
      </c>
    </row>
    <row r="775" spans="2:2" x14ac:dyDescent="0.2">
      <c r="B775" t="str">
        <f t="shared" si="14"/>
        <v/>
      </c>
    </row>
    <row r="776" spans="2:2" x14ac:dyDescent="0.2">
      <c r="B776" t="str">
        <f t="shared" si="14"/>
        <v/>
      </c>
    </row>
    <row r="777" spans="2:2" x14ac:dyDescent="0.2">
      <c r="B777" t="str">
        <f t="shared" si="14"/>
        <v/>
      </c>
    </row>
    <row r="778" spans="2:2" x14ac:dyDescent="0.2">
      <c r="B778" t="str">
        <f t="shared" si="14"/>
        <v/>
      </c>
    </row>
    <row r="779" spans="2:2" x14ac:dyDescent="0.2">
      <c r="B779" t="str">
        <f t="shared" si="14"/>
        <v/>
      </c>
    </row>
    <row r="780" spans="2:2" x14ac:dyDescent="0.2">
      <c r="B780" t="str">
        <f t="shared" si="14"/>
        <v/>
      </c>
    </row>
    <row r="781" spans="2:2" x14ac:dyDescent="0.2">
      <c r="B781" t="str">
        <f t="shared" si="14"/>
        <v/>
      </c>
    </row>
    <row r="782" spans="2:2" x14ac:dyDescent="0.2">
      <c r="B782" t="str">
        <f t="shared" si="14"/>
        <v/>
      </c>
    </row>
    <row r="783" spans="2:2" x14ac:dyDescent="0.2">
      <c r="B783" t="str">
        <f t="shared" si="14"/>
        <v/>
      </c>
    </row>
    <row r="784" spans="2:2" x14ac:dyDescent="0.2">
      <c r="B784" t="str">
        <f t="shared" si="14"/>
        <v/>
      </c>
    </row>
    <row r="785" spans="2:2" x14ac:dyDescent="0.2">
      <c r="B785" t="str">
        <f t="shared" si="14"/>
        <v/>
      </c>
    </row>
    <row r="786" spans="2:2" x14ac:dyDescent="0.2">
      <c r="B786" t="str">
        <f t="shared" si="14"/>
        <v/>
      </c>
    </row>
    <row r="787" spans="2:2" x14ac:dyDescent="0.2">
      <c r="B787" t="str">
        <f t="shared" si="14"/>
        <v/>
      </c>
    </row>
    <row r="788" spans="2:2" x14ac:dyDescent="0.2">
      <c r="B788" t="str">
        <f t="shared" si="14"/>
        <v/>
      </c>
    </row>
    <row r="789" spans="2:2" x14ac:dyDescent="0.2">
      <c r="B789" t="str">
        <f t="shared" si="14"/>
        <v/>
      </c>
    </row>
    <row r="790" spans="2:2" x14ac:dyDescent="0.2">
      <c r="B790" t="str">
        <f t="shared" si="14"/>
        <v/>
      </c>
    </row>
    <row r="791" spans="2:2" x14ac:dyDescent="0.2">
      <c r="B791" t="str">
        <f t="shared" si="14"/>
        <v/>
      </c>
    </row>
    <row r="792" spans="2:2" x14ac:dyDescent="0.2">
      <c r="B792" t="str">
        <f t="shared" si="14"/>
        <v/>
      </c>
    </row>
    <row r="793" spans="2:2" x14ac:dyDescent="0.2">
      <c r="B793" t="str">
        <f t="shared" si="14"/>
        <v/>
      </c>
    </row>
    <row r="794" spans="2:2" x14ac:dyDescent="0.2">
      <c r="B794" t="str">
        <f t="shared" si="14"/>
        <v/>
      </c>
    </row>
    <row r="795" spans="2:2" x14ac:dyDescent="0.2">
      <c r="B795" t="str">
        <f t="shared" si="14"/>
        <v/>
      </c>
    </row>
    <row r="796" spans="2:2" x14ac:dyDescent="0.2">
      <c r="B796" t="str">
        <f t="shared" si="14"/>
        <v/>
      </c>
    </row>
    <row r="797" spans="2:2" x14ac:dyDescent="0.2">
      <c r="B797" t="str">
        <f t="shared" si="14"/>
        <v/>
      </c>
    </row>
    <row r="798" spans="2:2" x14ac:dyDescent="0.2">
      <c r="B798" t="str">
        <f t="shared" si="14"/>
        <v/>
      </c>
    </row>
    <row r="799" spans="2:2" x14ac:dyDescent="0.2">
      <c r="B799" t="str">
        <f t="shared" si="14"/>
        <v/>
      </c>
    </row>
    <row r="800" spans="2:2" x14ac:dyDescent="0.2">
      <c r="B800" t="str">
        <f t="shared" si="14"/>
        <v/>
      </c>
    </row>
    <row r="801" spans="2:2" x14ac:dyDescent="0.2">
      <c r="B801" t="str">
        <f t="shared" si="14"/>
        <v/>
      </c>
    </row>
    <row r="802" spans="2:2" x14ac:dyDescent="0.2">
      <c r="B802" t="str">
        <f t="shared" si="14"/>
        <v/>
      </c>
    </row>
    <row r="803" spans="2:2" x14ac:dyDescent="0.2">
      <c r="B803" t="str">
        <f t="shared" si="14"/>
        <v/>
      </c>
    </row>
    <row r="804" spans="2:2" x14ac:dyDescent="0.2">
      <c r="B804" t="str">
        <f t="shared" si="14"/>
        <v/>
      </c>
    </row>
    <row r="805" spans="2:2" x14ac:dyDescent="0.2">
      <c r="B805" t="str">
        <f t="shared" si="14"/>
        <v/>
      </c>
    </row>
    <row r="806" spans="2:2" x14ac:dyDescent="0.2">
      <c r="B806" t="str">
        <f t="shared" si="14"/>
        <v/>
      </c>
    </row>
    <row r="807" spans="2:2" x14ac:dyDescent="0.2">
      <c r="B807" t="str">
        <f t="shared" si="14"/>
        <v/>
      </c>
    </row>
    <row r="808" spans="2:2" x14ac:dyDescent="0.2">
      <c r="B808" t="str">
        <f t="shared" si="14"/>
        <v/>
      </c>
    </row>
    <row r="809" spans="2:2" x14ac:dyDescent="0.2">
      <c r="B809" t="str">
        <f t="shared" si="14"/>
        <v/>
      </c>
    </row>
    <row r="810" spans="2:2" x14ac:dyDescent="0.2">
      <c r="B810" t="str">
        <f t="shared" si="14"/>
        <v/>
      </c>
    </row>
    <row r="811" spans="2:2" x14ac:dyDescent="0.2">
      <c r="B811" t="str">
        <f t="shared" si="14"/>
        <v/>
      </c>
    </row>
    <row r="812" spans="2:2" x14ac:dyDescent="0.2">
      <c r="B812" t="str">
        <f t="shared" si="14"/>
        <v/>
      </c>
    </row>
    <row r="813" spans="2:2" x14ac:dyDescent="0.2">
      <c r="B813" t="str">
        <f t="shared" si="14"/>
        <v/>
      </c>
    </row>
    <row r="814" spans="2:2" x14ac:dyDescent="0.2">
      <c r="B814" t="str">
        <f t="shared" si="14"/>
        <v/>
      </c>
    </row>
    <row r="815" spans="2:2" x14ac:dyDescent="0.2">
      <c r="B815" t="str">
        <f t="shared" si="14"/>
        <v/>
      </c>
    </row>
    <row r="816" spans="2:2" x14ac:dyDescent="0.2">
      <c r="B816" t="str">
        <f t="shared" si="14"/>
        <v/>
      </c>
    </row>
    <row r="817" spans="2:2" x14ac:dyDescent="0.2">
      <c r="B817" t="str">
        <f t="shared" si="14"/>
        <v/>
      </c>
    </row>
    <row r="818" spans="2:2" x14ac:dyDescent="0.2">
      <c r="B818" t="str">
        <f t="shared" si="14"/>
        <v/>
      </c>
    </row>
    <row r="819" spans="2:2" x14ac:dyDescent="0.2">
      <c r="B819" t="str">
        <f t="shared" si="14"/>
        <v/>
      </c>
    </row>
    <row r="820" spans="2:2" x14ac:dyDescent="0.2">
      <c r="B820" t="str">
        <f t="shared" si="14"/>
        <v/>
      </c>
    </row>
    <row r="821" spans="2:2" x14ac:dyDescent="0.2">
      <c r="B821" t="str">
        <f t="shared" si="14"/>
        <v/>
      </c>
    </row>
    <row r="822" spans="2:2" x14ac:dyDescent="0.2">
      <c r="B822" t="str">
        <f t="shared" si="14"/>
        <v/>
      </c>
    </row>
    <row r="823" spans="2:2" x14ac:dyDescent="0.2">
      <c r="B823" t="str">
        <f t="shared" si="14"/>
        <v/>
      </c>
    </row>
    <row r="824" spans="2:2" x14ac:dyDescent="0.2">
      <c r="B824" t="str">
        <f t="shared" si="14"/>
        <v/>
      </c>
    </row>
    <row r="825" spans="2:2" x14ac:dyDescent="0.2">
      <c r="B825" t="str">
        <f t="shared" si="14"/>
        <v/>
      </c>
    </row>
    <row r="826" spans="2:2" x14ac:dyDescent="0.2">
      <c r="B826" t="str">
        <f t="shared" si="14"/>
        <v/>
      </c>
    </row>
    <row r="827" spans="2:2" x14ac:dyDescent="0.2">
      <c r="B827" t="str">
        <f t="shared" si="14"/>
        <v/>
      </c>
    </row>
    <row r="828" spans="2:2" x14ac:dyDescent="0.2">
      <c r="B828" t="str">
        <f t="shared" si="14"/>
        <v/>
      </c>
    </row>
    <row r="829" spans="2:2" x14ac:dyDescent="0.2">
      <c r="B829" t="str">
        <f t="shared" si="14"/>
        <v/>
      </c>
    </row>
    <row r="830" spans="2:2" x14ac:dyDescent="0.2">
      <c r="B830" t="str">
        <f t="shared" si="14"/>
        <v/>
      </c>
    </row>
    <row r="831" spans="2:2" x14ac:dyDescent="0.2">
      <c r="B831" t="str">
        <f t="shared" si="14"/>
        <v/>
      </c>
    </row>
    <row r="832" spans="2:2" x14ac:dyDescent="0.2">
      <c r="B832" t="str">
        <f t="shared" si="14"/>
        <v/>
      </c>
    </row>
    <row r="833" spans="2:2" x14ac:dyDescent="0.2">
      <c r="B833" t="str">
        <f t="shared" si="14"/>
        <v/>
      </c>
    </row>
    <row r="834" spans="2:2" x14ac:dyDescent="0.2">
      <c r="B834" t="str">
        <f t="shared" si="14"/>
        <v/>
      </c>
    </row>
    <row r="835" spans="2:2" x14ac:dyDescent="0.2">
      <c r="B835" t="str">
        <f t="shared" si="14"/>
        <v/>
      </c>
    </row>
    <row r="836" spans="2:2" x14ac:dyDescent="0.2">
      <c r="B836" t="str">
        <f t="shared" si="14"/>
        <v/>
      </c>
    </row>
    <row r="837" spans="2:2" x14ac:dyDescent="0.2">
      <c r="B837" t="str">
        <f t="shared" ref="B837:B900" si="15">D837&amp;I837</f>
        <v/>
      </c>
    </row>
    <row r="838" spans="2:2" x14ac:dyDescent="0.2">
      <c r="B838" t="str">
        <f t="shared" si="15"/>
        <v/>
      </c>
    </row>
    <row r="839" spans="2:2" x14ac:dyDescent="0.2">
      <c r="B839" t="str">
        <f t="shared" si="15"/>
        <v/>
      </c>
    </row>
    <row r="840" spans="2:2" x14ac:dyDescent="0.2">
      <c r="B840" t="str">
        <f t="shared" si="15"/>
        <v/>
      </c>
    </row>
    <row r="841" spans="2:2" x14ac:dyDescent="0.2">
      <c r="B841" t="str">
        <f t="shared" si="15"/>
        <v/>
      </c>
    </row>
    <row r="842" spans="2:2" x14ac:dyDescent="0.2">
      <c r="B842" t="str">
        <f t="shared" si="15"/>
        <v/>
      </c>
    </row>
    <row r="843" spans="2:2" x14ac:dyDescent="0.2">
      <c r="B843" t="str">
        <f t="shared" si="15"/>
        <v/>
      </c>
    </row>
    <row r="844" spans="2:2" x14ac:dyDescent="0.2">
      <c r="B844" t="str">
        <f t="shared" si="15"/>
        <v/>
      </c>
    </row>
    <row r="845" spans="2:2" x14ac:dyDescent="0.2">
      <c r="B845" t="str">
        <f t="shared" si="15"/>
        <v/>
      </c>
    </row>
    <row r="846" spans="2:2" x14ac:dyDescent="0.2">
      <c r="B846" t="str">
        <f t="shared" si="15"/>
        <v/>
      </c>
    </row>
    <row r="847" spans="2:2" x14ac:dyDescent="0.2">
      <c r="B847" t="str">
        <f t="shared" si="15"/>
        <v/>
      </c>
    </row>
    <row r="848" spans="2:2" x14ac:dyDescent="0.2">
      <c r="B848" t="str">
        <f t="shared" si="15"/>
        <v/>
      </c>
    </row>
    <row r="849" spans="2:2" x14ac:dyDescent="0.2">
      <c r="B849" t="str">
        <f t="shared" si="15"/>
        <v/>
      </c>
    </row>
    <row r="850" spans="2:2" x14ac:dyDescent="0.2">
      <c r="B850" t="str">
        <f t="shared" si="15"/>
        <v/>
      </c>
    </row>
    <row r="851" spans="2:2" x14ac:dyDescent="0.2">
      <c r="B851" t="str">
        <f t="shared" si="15"/>
        <v/>
      </c>
    </row>
    <row r="852" spans="2:2" x14ac:dyDescent="0.2">
      <c r="B852" t="str">
        <f t="shared" si="15"/>
        <v/>
      </c>
    </row>
    <row r="853" spans="2:2" x14ac:dyDescent="0.2">
      <c r="B853" t="str">
        <f t="shared" si="15"/>
        <v/>
      </c>
    </row>
    <row r="854" spans="2:2" x14ac:dyDescent="0.2">
      <c r="B854" t="str">
        <f t="shared" si="15"/>
        <v/>
      </c>
    </row>
    <row r="855" spans="2:2" x14ac:dyDescent="0.2">
      <c r="B855" t="str">
        <f t="shared" si="15"/>
        <v/>
      </c>
    </row>
    <row r="856" spans="2:2" x14ac:dyDescent="0.2">
      <c r="B856" t="str">
        <f t="shared" si="15"/>
        <v/>
      </c>
    </row>
    <row r="857" spans="2:2" x14ac:dyDescent="0.2">
      <c r="B857" t="str">
        <f t="shared" si="15"/>
        <v/>
      </c>
    </row>
    <row r="858" spans="2:2" x14ac:dyDescent="0.2">
      <c r="B858" t="str">
        <f t="shared" si="15"/>
        <v/>
      </c>
    </row>
    <row r="859" spans="2:2" x14ac:dyDescent="0.2">
      <c r="B859" t="str">
        <f t="shared" si="15"/>
        <v/>
      </c>
    </row>
    <row r="860" spans="2:2" x14ac:dyDescent="0.2">
      <c r="B860" t="str">
        <f t="shared" si="15"/>
        <v/>
      </c>
    </row>
    <row r="861" spans="2:2" x14ac:dyDescent="0.2">
      <c r="B861" t="str">
        <f t="shared" si="15"/>
        <v/>
      </c>
    </row>
    <row r="862" spans="2:2" x14ac:dyDescent="0.2">
      <c r="B862" t="str">
        <f t="shared" si="15"/>
        <v/>
      </c>
    </row>
    <row r="863" spans="2:2" x14ac:dyDescent="0.2">
      <c r="B863" t="str">
        <f t="shared" si="15"/>
        <v/>
      </c>
    </row>
    <row r="864" spans="2:2" x14ac:dyDescent="0.2">
      <c r="B864" t="str">
        <f t="shared" si="15"/>
        <v/>
      </c>
    </row>
    <row r="865" spans="2:2" x14ac:dyDescent="0.2">
      <c r="B865" t="str">
        <f t="shared" si="15"/>
        <v/>
      </c>
    </row>
    <row r="866" spans="2:2" x14ac:dyDescent="0.2">
      <c r="B866" t="str">
        <f t="shared" si="15"/>
        <v/>
      </c>
    </row>
    <row r="867" spans="2:2" x14ac:dyDescent="0.2">
      <c r="B867" t="str">
        <f t="shared" si="15"/>
        <v/>
      </c>
    </row>
    <row r="868" spans="2:2" x14ac:dyDescent="0.2">
      <c r="B868" t="str">
        <f t="shared" si="15"/>
        <v/>
      </c>
    </row>
    <row r="869" spans="2:2" x14ac:dyDescent="0.2">
      <c r="B869" t="str">
        <f t="shared" si="15"/>
        <v/>
      </c>
    </row>
    <row r="870" spans="2:2" x14ac:dyDescent="0.2">
      <c r="B870" t="str">
        <f t="shared" si="15"/>
        <v/>
      </c>
    </row>
    <row r="871" spans="2:2" x14ac:dyDescent="0.2">
      <c r="B871" t="str">
        <f t="shared" si="15"/>
        <v/>
      </c>
    </row>
    <row r="872" spans="2:2" x14ac:dyDescent="0.2">
      <c r="B872" t="str">
        <f t="shared" si="15"/>
        <v/>
      </c>
    </row>
    <row r="873" spans="2:2" x14ac:dyDescent="0.2">
      <c r="B873" t="str">
        <f t="shared" si="15"/>
        <v/>
      </c>
    </row>
    <row r="874" spans="2:2" x14ac:dyDescent="0.2">
      <c r="B874" t="str">
        <f t="shared" si="15"/>
        <v/>
      </c>
    </row>
    <row r="875" spans="2:2" x14ac:dyDescent="0.2">
      <c r="B875" t="str">
        <f t="shared" si="15"/>
        <v/>
      </c>
    </row>
    <row r="876" spans="2:2" x14ac:dyDescent="0.2">
      <c r="B876" t="str">
        <f t="shared" si="15"/>
        <v/>
      </c>
    </row>
    <row r="877" spans="2:2" x14ac:dyDescent="0.2">
      <c r="B877" t="str">
        <f t="shared" si="15"/>
        <v/>
      </c>
    </row>
    <row r="878" spans="2:2" x14ac:dyDescent="0.2">
      <c r="B878" t="str">
        <f t="shared" si="15"/>
        <v/>
      </c>
    </row>
    <row r="879" spans="2:2" x14ac:dyDescent="0.2">
      <c r="B879" t="str">
        <f t="shared" si="15"/>
        <v/>
      </c>
    </row>
    <row r="880" spans="2:2" x14ac:dyDescent="0.2">
      <c r="B880" t="str">
        <f t="shared" si="15"/>
        <v/>
      </c>
    </row>
    <row r="881" spans="2:2" x14ac:dyDescent="0.2">
      <c r="B881" t="str">
        <f t="shared" si="15"/>
        <v/>
      </c>
    </row>
    <row r="882" spans="2:2" x14ac:dyDescent="0.2">
      <c r="B882" t="str">
        <f t="shared" si="15"/>
        <v/>
      </c>
    </row>
    <row r="883" spans="2:2" x14ac:dyDescent="0.2">
      <c r="B883" t="str">
        <f t="shared" si="15"/>
        <v/>
      </c>
    </row>
    <row r="884" spans="2:2" x14ac:dyDescent="0.2">
      <c r="B884" t="str">
        <f t="shared" si="15"/>
        <v/>
      </c>
    </row>
    <row r="885" spans="2:2" x14ac:dyDescent="0.2">
      <c r="B885" t="str">
        <f t="shared" si="15"/>
        <v/>
      </c>
    </row>
    <row r="886" spans="2:2" x14ac:dyDescent="0.2">
      <c r="B886" t="str">
        <f t="shared" si="15"/>
        <v/>
      </c>
    </row>
    <row r="887" spans="2:2" x14ac:dyDescent="0.2">
      <c r="B887" t="str">
        <f t="shared" si="15"/>
        <v/>
      </c>
    </row>
    <row r="888" spans="2:2" x14ac:dyDescent="0.2">
      <c r="B888" t="str">
        <f t="shared" si="15"/>
        <v/>
      </c>
    </row>
    <row r="889" spans="2:2" x14ac:dyDescent="0.2">
      <c r="B889" t="str">
        <f t="shared" si="15"/>
        <v/>
      </c>
    </row>
    <row r="890" spans="2:2" x14ac:dyDescent="0.2">
      <c r="B890" t="str">
        <f t="shared" si="15"/>
        <v/>
      </c>
    </row>
    <row r="891" spans="2:2" x14ac:dyDescent="0.2">
      <c r="B891" t="str">
        <f t="shared" si="15"/>
        <v/>
      </c>
    </row>
    <row r="892" spans="2:2" x14ac:dyDescent="0.2">
      <c r="B892" t="str">
        <f t="shared" si="15"/>
        <v/>
      </c>
    </row>
    <row r="893" spans="2:2" x14ac:dyDescent="0.2">
      <c r="B893" t="str">
        <f t="shared" si="15"/>
        <v/>
      </c>
    </row>
    <row r="894" spans="2:2" x14ac:dyDescent="0.2">
      <c r="B894" t="str">
        <f t="shared" si="15"/>
        <v/>
      </c>
    </row>
    <row r="895" spans="2:2" x14ac:dyDescent="0.2">
      <c r="B895" t="str">
        <f t="shared" si="15"/>
        <v/>
      </c>
    </row>
    <row r="896" spans="2:2" x14ac:dyDescent="0.2">
      <c r="B896" t="str">
        <f t="shared" si="15"/>
        <v/>
      </c>
    </row>
    <row r="897" spans="2:2" x14ac:dyDescent="0.2">
      <c r="B897" t="str">
        <f t="shared" si="15"/>
        <v/>
      </c>
    </row>
    <row r="898" spans="2:2" x14ac:dyDescent="0.2">
      <c r="B898" t="str">
        <f t="shared" si="15"/>
        <v/>
      </c>
    </row>
    <row r="899" spans="2:2" x14ac:dyDescent="0.2">
      <c r="B899" t="str">
        <f t="shared" si="15"/>
        <v/>
      </c>
    </row>
    <row r="900" spans="2:2" x14ac:dyDescent="0.2">
      <c r="B900" t="str">
        <f t="shared" si="15"/>
        <v/>
      </c>
    </row>
    <row r="901" spans="2:2" x14ac:dyDescent="0.2">
      <c r="B901" t="str">
        <f t="shared" ref="B901:B964" si="16">D901&amp;I901</f>
        <v/>
      </c>
    </row>
    <row r="902" spans="2:2" x14ac:dyDescent="0.2">
      <c r="B902" t="str">
        <f t="shared" si="16"/>
        <v/>
      </c>
    </row>
    <row r="903" spans="2:2" x14ac:dyDescent="0.2">
      <c r="B903" t="str">
        <f t="shared" si="16"/>
        <v/>
      </c>
    </row>
    <row r="904" spans="2:2" x14ac:dyDescent="0.2">
      <c r="B904" t="str">
        <f t="shared" si="16"/>
        <v/>
      </c>
    </row>
    <row r="905" spans="2:2" x14ac:dyDescent="0.2">
      <c r="B905" t="str">
        <f t="shared" si="16"/>
        <v/>
      </c>
    </row>
    <row r="906" spans="2:2" x14ac:dyDescent="0.2">
      <c r="B906" t="str">
        <f t="shared" si="16"/>
        <v/>
      </c>
    </row>
    <row r="907" spans="2:2" x14ac:dyDescent="0.2">
      <c r="B907" t="str">
        <f t="shared" si="16"/>
        <v/>
      </c>
    </row>
    <row r="908" spans="2:2" x14ac:dyDescent="0.2">
      <c r="B908" t="str">
        <f t="shared" si="16"/>
        <v/>
      </c>
    </row>
    <row r="909" spans="2:2" x14ac:dyDescent="0.2">
      <c r="B909" t="str">
        <f t="shared" si="16"/>
        <v/>
      </c>
    </row>
    <row r="910" spans="2:2" x14ac:dyDescent="0.2">
      <c r="B910" t="str">
        <f t="shared" si="16"/>
        <v/>
      </c>
    </row>
    <row r="911" spans="2:2" x14ac:dyDescent="0.2">
      <c r="B911" t="str">
        <f t="shared" si="16"/>
        <v/>
      </c>
    </row>
    <row r="912" spans="2:2" x14ac:dyDescent="0.2">
      <c r="B912" t="str">
        <f t="shared" si="16"/>
        <v/>
      </c>
    </row>
    <row r="913" spans="2:2" x14ac:dyDescent="0.2">
      <c r="B913" t="str">
        <f t="shared" si="16"/>
        <v/>
      </c>
    </row>
    <row r="914" spans="2:2" x14ac:dyDescent="0.2">
      <c r="B914" t="str">
        <f t="shared" si="16"/>
        <v/>
      </c>
    </row>
    <row r="915" spans="2:2" x14ac:dyDescent="0.2">
      <c r="B915" t="str">
        <f t="shared" si="16"/>
        <v/>
      </c>
    </row>
    <row r="916" spans="2:2" x14ac:dyDescent="0.2">
      <c r="B916" t="str">
        <f t="shared" si="16"/>
        <v/>
      </c>
    </row>
    <row r="917" spans="2:2" x14ac:dyDescent="0.2">
      <c r="B917" t="str">
        <f t="shared" si="16"/>
        <v/>
      </c>
    </row>
    <row r="918" spans="2:2" x14ac:dyDescent="0.2">
      <c r="B918" t="str">
        <f t="shared" si="16"/>
        <v/>
      </c>
    </row>
    <row r="919" spans="2:2" x14ac:dyDescent="0.2">
      <c r="B919" t="str">
        <f t="shared" si="16"/>
        <v/>
      </c>
    </row>
    <row r="920" spans="2:2" x14ac:dyDescent="0.2">
      <c r="B920" t="str">
        <f t="shared" si="16"/>
        <v/>
      </c>
    </row>
    <row r="921" spans="2:2" x14ac:dyDescent="0.2">
      <c r="B921" t="str">
        <f t="shared" si="16"/>
        <v/>
      </c>
    </row>
    <row r="922" spans="2:2" x14ac:dyDescent="0.2">
      <c r="B922" t="str">
        <f t="shared" si="16"/>
        <v/>
      </c>
    </row>
    <row r="923" spans="2:2" x14ac:dyDescent="0.2">
      <c r="B923" t="str">
        <f t="shared" si="16"/>
        <v/>
      </c>
    </row>
    <row r="924" spans="2:2" x14ac:dyDescent="0.2">
      <c r="B924" t="str">
        <f t="shared" si="16"/>
        <v/>
      </c>
    </row>
    <row r="925" spans="2:2" x14ac:dyDescent="0.2">
      <c r="B925" t="str">
        <f t="shared" si="16"/>
        <v/>
      </c>
    </row>
    <row r="926" spans="2:2" x14ac:dyDescent="0.2">
      <c r="B926" t="str">
        <f t="shared" si="16"/>
        <v/>
      </c>
    </row>
    <row r="927" spans="2:2" x14ac:dyDescent="0.2">
      <c r="B927" t="str">
        <f t="shared" si="16"/>
        <v/>
      </c>
    </row>
    <row r="928" spans="2:2" x14ac:dyDescent="0.2">
      <c r="B928" t="str">
        <f t="shared" si="16"/>
        <v/>
      </c>
    </row>
    <row r="929" spans="2:2" x14ac:dyDescent="0.2">
      <c r="B929" t="str">
        <f t="shared" si="16"/>
        <v/>
      </c>
    </row>
    <row r="930" spans="2:2" x14ac:dyDescent="0.2">
      <c r="B930" t="str">
        <f t="shared" si="16"/>
        <v/>
      </c>
    </row>
    <row r="931" spans="2:2" x14ac:dyDescent="0.2">
      <c r="B931" t="str">
        <f t="shared" si="16"/>
        <v/>
      </c>
    </row>
    <row r="932" spans="2:2" x14ac:dyDescent="0.2">
      <c r="B932" t="str">
        <f t="shared" si="16"/>
        <v/>
      </c>
    </row>
    <row r="933" spans="2:2" x14ac:dyDescent="0.2">
      <c r="B933" t="str">
        <f t="shared" si="16"/>
        <v/>
      </c>
    </row>
    <row r="934" spans="2:2" x14ac:dyDescent="0.2">
      <c r="B934" t="str">
        <f t="shared" si="16"/>
        <v/>
      </c>
    </row>
    <row r="935" spans="2:2" x14ac:dyDescent="0.2">
      <c r="B935" t="str">
        <f t="shared" si="16"/>
        <v/>
      </c>
    </row>
    <row r="936" spans="2:2" x14ac:dyDescent="0.2">
      <c r="B936" t="str">
        <f t="shared" si="16"/>
        <v/>
      </c>
    </row>
    <row r="937" spans="2:2" x14ac:dyDescent="0.2">
      <c r="B937" t="str">
        <f t="shared" si="16"/>
        <v/>
      </c>
    </row>
    <row r="938" spans="2:2" x14ac:dyDescent="0.2">
      <c r="B938" t="str">
        <f t="shared" si="16"/>
        <v/>
      </c>
    </row>
    <row r="939" spans="2:2" x14ac:dyDescent="0.2">
      <c r="B939" t="str">
        <f t="shared" si="16"/>
        <v/>
      </c>
    </row>
    <row r="940" spans="2:2" x14ac:dyDescent="0.2">
      <c r="B940" t="str">
        <f t="shared" si="16"/>
        <v/>
      </c>
    </row>
    <row r="941" spans="2:2" x14ac:dyDescent="0.2">
      <c r="B941" t="str">
        <f t="shared" si="16"/>
        <v/>
      </c>
    </row>
    <row r="942" spans="2:2" x14ac:dyDescent="0.2">
      <c r="B942" t="str">
        <f t="shared" si="16"/>
        <v/>
      </c>
    </row>
    <row r="943" spans="2:2" x14ac:dyDescent="0.2">
      <c r="B943" t="str">
        <f t="shared" si="16"/>
        <v/>
      </c>
    </row>
    <row r="944" spans="2:2" x14ac:dyDescent="0.2">
      <c r="B944" t="str">
        <f t="shared" si="16"/>
        <v/>
      </c>
    </row>
    <row r="945" spans="2:2" x14ac:dyDescent="0.2">
      <c r="B945" t="str">
        <f t="shared" si="16"/>
        <v/>
      </c>
    </row>
    <row r="946" spans="2:2" x14ac:dyDescent="0.2">
      <c r="B946" t="str">
        <f t="shared" si="16"/>
        <v/>
      </c>
    </row>
    <row r="947" spans="2:2" x14ac:dyDescent="0.2">
      <c r="B947" t="str">
        <f t="shared" si="16"/>
        <v/>
      </c>
    </row>
    <row r="948" spans="2:2" x14ac:dyDescent="0.2">
      <c r="B948" t="str">
        <f t="shared" si="16"/>
        <v/>
      </c>
    </row>
    <row r="949" spans="2:2" x14ac:dyDescent="0.2">
      <c r="B949" t="str">
        <f t="shared" si="16"/>
        <v/>
      </c>
    </row>
    <row r="950" spans="2:2" x14ac:dyDescent="0.2">
      <c r="B950" t="str">
        <f t="shared" si="16"/>
        <v/>
      </c>
    </row>
    <row r="951" spans="2:2" x14ac:dyDescent="0.2">
      <c r="B951" t="str">
        <f t="shared" si="16"/>
        <v/>
      </c>
    </row>
    <row r="952" spans="2:2" x14ac:dyDescent="0.2">
      <c r="B952" t="str">
        <f t="shared" si="16"/>
        <v/>
      </c>
    </row>
    <row r="953" spans="2:2" x14ac:dyDescent="0.2">
      <c r="B953" t="str">
        <f t="shared" si="16"/>
        <v/>
      </c>
    </row>
    <row r="954" spans="2:2" x14ac:dyDescent="0.2">
      <c r="B954" t="str">
        <f t="shared" si="16"/>
        <v/>
      </c>
    </row>
    <row r="955" spans="2:2" x14ac:dyDescent="0.2">
      <c r="B955" t="str">
        <f t="shared" si="16"/>
        <v/>
      </c>
    </row>
    <row r="956" spans="2:2" x14ac:dyDescent="0.2">
      <c r="B956" t="str">
        <f t="shared" si="16"/>
        <v/>
      </c>
    </row>
    <row r="957" spans="2:2" x14ac:dyDescent="0.2">
      <c r="B957" t="str">
        <f t="shared" si="16"/>
        <v/>
      </c>
    </row>
    <row r="958" spans="2:2" x14ac:dyDescent="0.2">
      <c r="B958" t="str">
        <f t="shared" si="16"/>
        <v/>
      </c>
    </row>
    <row r="959" spans="2:2" x14ac:dyDescent="0.2">
      <c r="B959" t="str">
        <f t="shared" si="16"/>
        <v/>
      </c>
    </row>
    <row r="960" spans="2:2" x14ac:dyDescent="0.2">
      <c r="B960" t="str">
        <f t="shared" si="16"/>
        <v/>
      </c>
    </row>
    <row r="961" spans="2:2" x14ac:dyDescent="0.2">
      <c r="B961" t="str">
        <f t="shared" si="16"/>
        <v/>
      </c>
    </row>
    <row r="962" spans="2:2" x14ac:dyDescent="0.2">
      <c r="B962" t="str">
        <f t="shared" si="16"/>
        <v/>
      </c>
    </row>
    <row r="963" spans="2:2" x14ac:dyDescent="0.2">
      <c r="B963" t="str">
        <f t="shared" si="16"/>
        <v/>
      </c>
    </row>
    <row r="964" spans="2:2" x14ac:dyDescent="0.2">
      <c r="B964" t="str">
        <f t="shared" si="16"/>
        <v/>
      </c>
    </row>
    <row r="965" spans="2:2" x14ac:dyDescent="0.2">
      <c r="B965" t="str">
        <f t="shared" ref="B965:B1028" si="17">D965&amp;I965</f>
        <v/>
      </c>
    </row>
    <row r="966" spans="2:2" x14ac:dyDescent="0.2">
      <c r="B966" t="str">
        <f t="shared" si="17"/>
        <v/>
      </c>
    </row>
    <row r="967" spans="2:2" x14ac:dyDescent="0.2">
      <c r="B967" t="str">
        <f t="shared" si="17"/>
        <v/>
      </c>
    </row>
    <row r="968" spans="2:2" x14ac:dyDescent="0.2">
      <c r="B968" t="str">
        <f t="shared" si="17"/>
        <v/>
      </c>
    </row>
    <row r="969" spans="2:2" x14ac:dyDescent="0.2">
      <c r="B969" t="str">
        <f t="shared" si="17"/>
        <v/>
      </c>
    </row>
    <row r="970" spans="2:2" x14ac:dyDescent="0.2">
      <c r="B970" t="str">
        <f t="shared" si="17"/>
        <v/>
      </c>
    </row>
    <row r="971" spans="2:2" x14ac:dyDescent="0.2">
      <c r="B971" t="str">
        <f t="shared" si="17"/>
        <v/>
      </c>
    </row>
    <row r="972" spans="2:2" x14ac:dyDescent="0.2">
      <c r="B972" t="str">
        <f t="shared" si="17"/>
        <v/>
      </c>
    </row>
    <row r="973" spans="2:2" x14ac:dyDescent="0.2">
      <c r="B973" t="str">
        <f t="shared" si="17"/>
        <v/>
      </c>
    </row>
    <row r="974" spans="2:2" x14ac:dyDescent="0.2">
      <c r="B974" t="str">
        <f t="shared" si="17"/>
        <v/>
      </c>
    </row>
    <row r="975" spans="2:2" x14ac:dyDescent="0.2">
      <c r="B975" t="str">
        <f t="shared" si="17"/>
        <v/>
      </c>
    </row>
    <row r="976" spans="2:2" x14ac:dyDescent="0.2">
      <c r="B976" t="str">
        <f t="shared" si="17"/>
        <v/>
      </c>
    </row>
    <row r="977" spans="2:2" x14ac:dyDescent="0.2">
      <c r="B977" t="str">
        <f t="shared" si="17"/>
        <v/>
      </c>
    </row>
    <row r="978" spans="2:2" x14ac:dyDescent="0.2">
      <c r="B978" t="str">
        <f t="shared" si="17"/>
        <v/>
      </c>
    </row>
    <row r="979" spans="2:2" x14ac:dyDescent="0.2">
      <c r="B979" t="str">
        <f t="shared" si="17"/>
        <v/>
      </c>
    </row>
    <row r="980" spans="2:2" x14ac:dyDescent="0.2">
      <c r="B980" t="str">
        <f t="shared" si="17"/>
        <v/>
      </c>
    </row>
    <row r="981" spans="2:2" x14ac:dyDescent="0.2">
      <c r="B981" t="str">
        <f t="shared" si="17"/>
        <v/>
      </c>
    </row>
    <row r="982" spans="2:2" x14ac:dyDescent="0.2">
      <c r="B982" t="str">
        <f t="shared" si="17"/>
        <v/>
      </c>
    </row>
    <row r="983" spans="2:2" x14ac:dyDescent="0.2">
      <c r="B983" t="str">
        <f t="shared" si="17"/>
        <v/>
      </c>
    </row>
    <row r="984" spans="2:2" x14ac:dyDescent="0.2">
      <c r="B984" t="str">
        <f t="shared" si="17"/>
        <v/>
      </c>
    </row>
    <row r="985" spans="2:2" x14ac:dyDescent="0.2">
      <c r="B985" t="str">
        <f t="shared" si="17"/>
        <v/>
      </c>
    </row>
    <row r="986" spans="2:2" x14ac:dyDescent="0.2">
      <c r="B986" t="str">
        <f t="shared" si="17"/>
        <v/>
      </c>
    </row>
    <row r="987" spans="2:2" x14ac:dyDescent="0.2">
      <c r="B987" t="str">
        <f t="shared" si="17"/>
        <v/>
      </c>
    </row>
    <row r="988" spans="2:2" x14ac:dyDescent="0.2">
      <c r="B988" t="str">
        <f t="shared" si="17"/>
        <v/>
      </c>
    </row>
    <row r="989" spans="2:2" x14ac:dyDescent="0.2">
      <c r="B989" t="str">
        <f t="shared" si="17"/>
        <v/>
      </c>
    </row>
    <row r="990" spans="2:2" x14ac:dyDescent="0.2">
      <c r="B990" t="str">
        <f t="shared" si="17"/>
        <v/>
      </c>
    </row>
    <row r="991" spans="2:2" x14ac:dyDescent="0.2">
      <c r="B991" t="str">
        <f t="shared" si="17"/>
        <v/>
      </c>
    </row>
    <row r="992" spans="2:2" x14ac:dyDescent="0.2">
      <c r="B992" t="str">
        <f t="shared" si="17"/>
        <v/>
      </c>
    </row>
    <row r="993" spans="2:2" x14ac:dyDescent="0.2">
      <c r="B993" t="str">
        <f t="shared" si="17"/>
        <v/>
      </c>
    </row>
    <row r="994" spans="2:2" x14ac:dyDescent="0.2">
      <c r="B994" t="str">
        <f t="shared" si="17"/>
        <v/>
      </c>
    </row>
    <row r="995" spans="2:2" x14ac:dyDescent="0.2">
      <c r="B995" t="str">
        <f t="shared" si="17"/>
        <v/>
      </c>
    </row>
    <row r="996" spans="2:2" x14ac:dyDescent="0.2">
      <c r="B996" t="str">
        <f t="shared" si="17"/>
        <v/>
      </c>
    </row>
    <row r="997" spans="2:2" x14ac:dyDescent="0.2">
      <c r="B997" t="str">
        <f t="shared" si="17"/>
        <v/>
      </c>
    </row>
    <row r="998" spans="2:2" x14ac:dyDescent="0.2">
      <c r="B998" t="str">
        <f t="shared" si="17"/>
        <v/>
      </c>
    </row>
    <row r="999" spans="2:2" x14ac:dyDescent="0.2">
      <c r="B999" t="str">
        <f t="shared" si="17"/>
        <v/>
      </c>
    </row>
    <row r="1000" spans="2:2" x14ac:dyDescent="0.2">
      <c r="B1000" t="str">
        <f t="shared" si="17"/>
        <v/>
      </c>
    </row>
    <row r="1001" spans="2:2" x14ac:dyDescent="0.2">
      <c r="B1001" t="str">
        <f t="shared" si="17"/>
        <v/>
      </c>
    </row>
    <row r="1002" spans="2:2" x14ac:dyDescent="0.2">
      <c r="B1002" t="str">
        <f t="shared" si="17"/>
        <v/>
      </c>
    </row>
    <row r="1003" spans="2:2" x14ac:dyDescent="0.2">
      <c r="B1003" t="str">
        <f t="shared" si="17"/>
        <v/>
      </c>
    </row>
    <row r="1004" spans="2:2" x14ac:dyDescent="0.2">
      <c r="B1004" t="str">
        <f t="shared" si="17"/>
        <v/>
      </c>
    </row>
    <row r="1005" spans="2:2" x14ac:dyDescent="0.2">
      <c r="B1005" t="str">
        <f t="shared" si="17"/>
        <v/>
      </c>
    </row>
    <row r="1006" spans="2:2" x14ac:dyDescent="0.2">
      <c r="B1006" t="str">
        <f t="shared" si="17"/>
        <v/>
      </c>
    </row>
    <row r="1007" spans="2:2" x14ac:dyDescent="0.2">
      <c r="B1007" t="str">
        <f t="shared" si="17"/>
        <v/>
      </c>
    </row>
    <row r="1008" spans="2:2" x14ac:dyDescent="0.2">
      <c r="B1008" t="str">
        <f t="shared" si="17"/>
        <v/>
      </c>
    </row>
    <row r="1009" spans="2:2" x14ac:dyDescent="0.2">
      <c r="B1009" t="str">
        <f t="shared" si="17"/>
        <v/>
      </c>
    </row>
    <row r="1010" spans="2:2" x14ac:dyDescent="0.2">
      <c r="B1010" t="str">
        <f t="shared" si="17"/>
        <v/>
      </c>
    </row>
    <row r="1011" spans="2:2" x14ac:dyDescent="0.2">
      <c r="B1011" t="str">
        <f t="shared" si="17"/>
        <v/>
      </c>
    </row>
    <row r="1012" spans="2:2" x14ac:dyDescent="0.2">
      <c r="B1012" t="str">
        <f t="shared" si="17"/>
        <v/>
      </c>
    </row>
    <row r="1013" spans="2:2" x14ac:dyDescent="0.2">
      <c r="B1013" t="str">
        <f t="shared" si="17"/>
        <v/>
      </c>
    </row>
    <row r="1014" spans="2:2" x14ac:dyDescent="0.2">
      <c r="B1014" t="str">
        <f t="shared" si="17"/>
        <v/>
      </c>
    </row>
    <row r="1015" spans="2:2" x14ac:dyDescent="0.2">
      <c r="B1015" t="str">
        <f t="shared" si="17"/>
        <v/>
      </c>
    </row>
    <row r="1016" spans="2:2" x14ac:dyDescent="0.2">
      <c r="B1016" t="str">
        <f t="shared" si="17"/>
        <v/>
      </c>
    </row>
    <row r="1017" spans="2:2" x14ac:dyDescent="0.2">
      <c r="B1017" t="str">
        <f t="shared" si="17"/>
        <v/>
      </c>
    </row>
    <row r="1018" spans="2:2" x14ac:dyDescent="0.2">
      <c r="B1018" t="str">
        <f t="shared" si="17"/>
        <v/>
      </c>
    </row>
    <row r="1019" spans="2:2" x14ac:dyDescent="0.2">
      <c r="B1019" t="str">
        <f t="shared" si="17"/>
        <v/>
      </c>
    </row>
    <row r="1020" spans="2:2" x14ac:dyDescent="0.2">
      <c r="B1020" t="str">
        <f t="shared" si="17"/>
        <v/>
      </c>
    </row>
    <row r="1021" spans="2:2" x14ac:dyDescent="0.2">
      <c r="B1021" t="str">
        <f t="shared" si="17"/>
        <v/>
      </c>
    </row>
    <row r="1022" spans="2:2" x14ac:dyDescent="0.2">
      <c r="B1022" t="str">
        <f t="shared" si="17"/>
        <v/>
      </c>
    </row>
    <row r="1023" spans="2:2" x14ac:dyDescent="0.2">
      <c r="B1023" t="str">
        <f t="shared" si="17"/>
        <v/>
      </c>
    </row>
    <row r="1024" spans="2:2" x14ac:dyDescent="0.2">
      <c r="B1024" t="str">
        <f t="shared" si="17"/>
        <v/>
      </c>
    </row>
    <row r="1025" spans="2:2" x14ac:dyDescent="0.2">
      <c r="B1025" t="str">
        <f t="shared" si="17"/>
        <v/>
      </c>
    </row>
    <row r="1026" spans="2:2" x14ac:dyDescent="0.2">
      <c r="B1026" t="str">
        <f t="shared" si="17"/>
        <v/>
      </c>
    </row>
    <row r="1027" spans="2:2" x14ac:dyDescent="0.2">
      <c r="B1027" t="str">
        <f t="shared" si="17"/>
        <v/>
      </c>
    </row>
    <row r="1028" spans="2:2" x14ac:dyDescent="0.2">
      <c r="B1028" t="str">
        <f t="shared" si="17"/>
        <v/>
      </c>
    </row>
    <row r="1029" spans="2:2" x14ac:dyDescent="0.2">
      <c r="B1029" t="str">
        <f t="shared" ref="B1029:B1092" si="18">D1029&amp;I1029</f>
        <v/>
      </c>
    </row>
    <row r="1030" spans="2:2" x14ac:dyDescent="0.2">
      <c r="B1030" t="str">
        <f t="shared" si="18"/>
        <v/>
      </c>
    </row>
    <row r="1031" spans="2:2" x14ac:dyDescent="0.2">
      <c r="B1031" t="str">
        <f t="shared" si="18"/>
        <v/>
      </c>
    </row>
    <row r="1032" spans="2:2" x14ac:dyDescent="0.2">
      <c r="B1032" t="str">
        <f t="shared" si="18"/>
        <v/>
      </c>
    </row>
    <row r="1033" spans="2:2" x14ac:dyDescent="0.2">
      <c r="B1033" t="str">
        <f t="shared" si="18"/>
        <v/>
      </c>
    </row>
    <row r="1034" spans="2:2" x14ac:dyDescent="0.2">
      <c r="B1034" t="str">
        <f t="shared" si="18"/>
        <v/>
      </c>
    </row>
    <row r="1035" spans="2:2" x14ac:dyDescent="0.2">
      <c r="B1035" t="str">
        <f t="shared" si="18"/>
        <v/>
      </c>
    </row>
    <row r="1036" spans="2:2" x14ac:dyDescent="0.2">
      <c r="B1036" t="str">
        <f t="shared" si="18"/>
        <v/>
      </c>
    </row>
    <row r="1037" spans="2:2" x14ac:dyDescent="0.2">
      <c r="B1037" t="str">
        <f t="shared" si="18"/>
        <v/>
      </c>
    </row>
    <row r="1038" spans="2:2" x14ac:dyDescent="0.2">
      <c r="B1038" t="str">
        <f t="shared" si="18"/>
        <v/>
      </c>
    </row>
    <row r="1039" spans="2:2" x14ac:dyDescent="0.2">
      <c r="B1039" t="str">
        <f t="shared" si="18"/>
        <v/>
      </c>
    </row>
    <row r="1040" spans="2:2" x14ac:dyDescent="0.2">
      <c r="B1040" t="str">
        <f t="shared" si="18"/>
        <v/>
      </c>
    </row>
    <row r="1041" spans="2:2" x14ac:dyDescent="0.2">
      <c r="B1041" t="str">
        <f t="shared" si="18"/>
        <v/>
      </c>
    </row>
    <row r="1042" spans="2:2" x14ac:dyDescent="0.2">
      <c r="B1042" t="str">
        <f t="shared" si="18"/>
        <v/>
      </c>
    </row>
    <row r="1043" spans="2:2" x14ac:dyDescent="0.2">
      <c r="B1043" t="str">
        <f t="shared" si="18"/>
        <v/>
      </c>
    </row>
    <row r="1044" spans="2:2" x14ac:dyDescent="0.2">
      <c r="B1044" t="str">
        <f t="shared" si="18"/>
        <v/>
      </c>
    </row>
    <row r="1045" spans="2:2" x14ac:dyDescent="0.2">
      <c r="B1045" t="str">
        <f t="shared" si="18"/>
        <v/>
      </c>
    </row>
    <row r="1046" spans="2:2" x14ac:dyDescent="0.2">
      <c r="B1046" t="str">
        <f t="shared" si="18"/>
        <v/>
      </c>
    </row>
    <row r="1047" spans="2:2" x14ac:dyDescent="0.2">
      <c r="B1047" t="str">
        <f t="shared" si="18"/>
        <v/>
      </c>
    </row>
    <row r="1048" spans="2:2" x14ac:dyDescent="0.2">
      <c r="B1048" t="str">
        <f t="shared" si="18"/>
        <v/>
      </c>
    </row>
    <row r="1049" spans="2:2" x14ac:dyDescent="0.2">
      <c r="B1049" t="str">
        <f t="shared" si="18"/>
        <v/>
      </c>
    </row>
    <row r="1050" spans="2:2" x14ac:dyDescent="0.2">
      <c r="B1050" t="str">
        <f t="shared" si="18"/>
        <v/>
      </c>
    </row>
    <row r="1051" spans="2:2" x14ac:dyDescent="0.2">
      <c r="B1051" t="str">
        <f t="shared" si="18"/>
        <v/>
      </c>
    </row>
    <row r="1052" spans="2:2" x14ac:dyDescent="0.2">
      <c r="B1052" t="str">
        <f t="shared" si="18"/>
        <v/>
      </c>
    </row>
    <row r="1053" spans="2:2" x14ac:dyDescent="0.2">
      <c r="B1053" t="str">
        <f t="shared" si="18"/>
        <v/>
      </c>
    </row>
    <row r="1054" spans="2:2" x14ac:dyDescent="0.2">
      <c r="B1054" t="str">
        <f t="shared" si="18"/>
        <v/>
      </c>
    </row>
    <row r="1055" spans="2:2" x14ac:dyDescent="0.2">
      <c r="B1055" t="str">
        <f t="shared" si="18"/>
        <v/>
      </c>
    </row>
    <row r="1056" spans="2:2" x14ac:dyDescent="0.2">
      <c r="B1056" t="str">
        <f t="shared" si="18"/>
        <v/>
      </c>
    </row>
    <row r="1057" spans="2:2" x14ac:dyDescent="0.2">
      <c r="B1057" t="str">
        <f t="shared" si="18"/>
        <v/>
      </c>
    </row>
    <row r="1058" spans="2:2" x14ac:dyDescent="0.2">
      <c r="B1058" t="str">
        <f t="shared" si="18"/>
        <v/>
      </c>
    </row>
    <row r="1059" spans="2:2" x14ac:dyDescent="0.2">
      <c r="B1059" t="str">
        <f t="shared" si="18"/>
        <v/>
      </c>
    </row>
    <row r="1060" spans="2:2" x14ac:dyDescent="0.2">
      <c r="B1060" t="str">
        <f t="shared" si="18"/>
        <v/>
      </c>
    </row>
    <row r="1061" spans="2:2" x14ac:dyDescent="0.2">
      <c r="B1061" t="str">
        <f t="shared" si="18"/>
        <v/>
      </c>
    </row>
    <row r="1062" spans="2:2" x14ac:dyDescent="0.2">
      <c r="B1062" t="str">
        <f t="shared" si="18"/>
        <v/>
      </c>
    </row>
    <row r="1063" spans="2:2" x14ac:dyDescent="0.2">
      <c r="B1063" t="str">
        <f t="shared" si="18"/>
        <v/>
      </c>
    </row>
    <row r="1064" spans="2:2" x14ac:dyDescent="0.2">
      <c r="B1064" t="str">
        <f t="shared" si="18"/>
        <v/>
      </c>
    </row>
    <row r="1065" spans="2:2" x14ac:dyDescent="0.2">
      <c r="B1065" t="str">
        <f t="shared" si="18"/>
        <v/>
      </c>
    </row>
    <row r="1066" spans="2:2" x14ac:dyDescent="0.2">
      <c r="B1066" t="str">
        <f t="shared" si="18"/>
        <v/>
      </c>
    </row>
    <row r="1067" spans="2:2" x14ac:dyDescent="0.2">
      <c r="B1067" t="str">
        <f t="shared" si="18"/>
        <v/>
      </c>
    </row>
    <row r="1068" spans="2:2" x14ac:dyDescent="0.2">
      <c r="B1068" t="str">
        <f t="shared" si="18"/>
        <v/>
      </c>
    </row>
    <row r="1069" spans="2:2" x14ac:dyDescent="0.2">
      <c r="B1069" t="str">
        <f t="shared" si="18"/>
        <v/>
      </c>
    </row>
    <row r="1070" spans="2:2" x14ac:dyDescent="0.2">
      <c r="B1070" t="str">
        <f t="shared" si="18"/>
        <v/>
      </c>
    </row>
    <row r="1071" spans="2:2" x14ac:dyDescent="0.2">
      <c r="B1071" t="str">
        <f t="shared" si="18"/>
        <v/>
      </c>
    </row>
    <row r="1072" spans="2:2" x14ac:dyDescent="0.2">
      <c r="B1072" t="str">
        <f t="shared" si="18"/>
        <v/>
      </c>
    </row>
    <row r="1073" spans="2:2" x14ac:dyDescent="0.2">
      <c r="B1073" t="str">
        <f t="shared" si="18"/>
        <v/>
      </c>
    </row>
    <row r="1074" spans="2:2" x14ac:dyDescent="0.2">
      <c r="B1074" t="str">
        <f t="shared" si="18"/>
        <v/>
      </c>
    </row>
    <row r="1075" spans="2:2" x14ac:dyDescent="0.2">
      <c r="B1075" t="str">
        <f t="shared" si="18"/>
        <v/>
      </c>
    </row>
    <row r="1076" spans="2:2" x14ac:dyDescent="0.2">
      <c r="B1076" t="str">
        <f t="shared" si="18"/>
        <v/>
      </c>
    </row>
    <row r="1077" spans="2:2" x14ac:dyDescent="0.2">
      <c r="B1077" t="str">
        <f t="shared" si="18"/>
        <v/>
      </c>
    </row>
    <row r="1078" spans="2:2" x14ac:dyDescent="0.2">
      <c r="B1078" t="str">
        <f t="shared" si="18"/>
        <v/>
      </c>
    </row>
    <row r="1079" spans="2:2" x14ac:dyDescent="0.2">
      <c r="B1079" t="str">
        <f t="shared" si="18"/>
        <v/>
      </c>
    </row>
    <row r="1080" spans="2:2" x14ac:dyDescent="0.2">
      <c r="B1080" t="str">
        <f t="shared" si="18"/>
        <v/>
      </c>
    </row>
    <row r="1081" spans="2:2" x14ac:dyDescent="0.2">
      <c r="B1081" t="str">
        <f t="shared" si="18"/>
        <v/>
      </c>
    </row>
    <row r="1082" spans="2:2" x14ac:dyDescent="0.2">
      <c r="B1082" t="str">
        <f t="shared" si="18"/>
        <v/>
      </c>
    </row>
    <row r="1083" spans="2:2" x14ac:dyDescent="0.2">
      <c r="B1083" t="str">
        <f t="shared" si="18"/>
        <v/>
      </c>
    </row>
    <row r="1084" spans="2:2" x14ac:dyDescent="0.2">
      <c r="B1084" t="str">
        <f t="shared" si="18"/>
        <v/>
      </c>
    </row>
    <row r="1085" spans="2:2" x14ac:dyDescent="0.2">
      <c r="B1085" t="str">
        <f t="shared" si="18"/>
        <v/>
      </c>
    </row>
    <row r="1086" spans="2:2" x14ac:dyDescent="0.2">
      <c r="B1086" t="str">
        <f t="shared" si="18"/>
        <v/>
      </c>
    </row>
    <row r="1087" spans="2:2" x14ac:dyDescent="0.2">
      <c r="B1087" t="str">
        <f t="shared" si="18"/>
        <v/>
      </c>
    </row>
    <row r="1088" spans="2:2" x14ac:dyDescent="0.2">
      <c r="B1088" t="str">
        <f t="shared" si="18"/>
        <v/>
      </c>
    </row>
    <row r="1089" spans="2:2" x14ac:dyDescent="0.2">
      <c r="B1089" t="str">
        <f t="shared" si="18"/>
        <v/>
      </c>
    </row>
    <row r="1090" spans="2:2" x14ac:dyDescent="0.2">
      <c r="B1090" t="str">
        <f t="shared" si="18"/>
        <v/>
      </c>
    </row>
    <row r="1091" spans="2:2" x14ac:dyDescent="0.2">
      <c r="B1091" t="str">
        <f t="shared" si="18"/>
        <v/>
      </c>
    </row>
    <row r="1092" spans="2:2" x14ac:dyDescent="0.2">
      <c r="B1092" t="str">
        <f t="shared" si="18"/>
        <v/>
      </c>
    </row>
    <row r="1093" spans="2:2" x14ac:dyDescent="0.2">
      <c r="B1093" t="str">
        <f t="shared" ref="B1093:B1156" si="19">D1093&amp;I1093</f>
        <v/>
      </c>
    </row>
    <row r="1094" spans="2:2" x14ac:dyDescent="0.2">
      <c r="B1094" t="str">
        <f t="shared" si="19"/>
        <v/>
      </c>
    </row>
    <row r="1095" spans="2:2" x14ac:dyDescent="0.2">
      <c r="B1095" t="str">
        <f t="shared" si="19"/>
        <v/>
      </c>
    </row>
    <row r="1096" spans="2:2" x14ac:dyDescent="0.2">
      <c r="B1096" t="str">
        <f t="shared" si="19"/>
        <v/>
      </c>
    </row>
    <row r="1097" spans="2:2" x14ac:dyDescent="0.2">
      <c r="B1097" t="str">
        <f t="shared" si="19"/>
        <v/>
      </c>
    </row>
    <row r="1098" spans="2:2" x14ac:dyDescent="0.2">
      <c r="B1098" t="str">
        <f t="shared" si="19"/>
        <v/>
      </c>
    </row>
    <row r="1099" spans="2:2" x14ac:dyDescent="0.2">
      <c r="B1099" t="str">
        <f t="shared" si="19"/>
        <v/>
      </c>
    </row>
    <row r="1100" spans="2:2" x14ac:dyDescent="0.2">
      <c r="B1100" t="str">
        <f t="shared" si="19"/>
        <v/>
      </c>
    </row>
    <row r="1101" spans="2:2" x14ac:dyDescent="0.2">
      <c r="B1101" t="str">
        <f t="shared" si="19"/>
        <v/>
      </c>
    </row>
    <row r="1102" spans="2:2" x14ac:dyDescent="0.2">
      <c r="B1102" t="str">
        <f t="shared" si="19"/>
        <v/>
      </c>
    </row>
    <row r="1103" spans="2:2" x14ac:dyDescent="0.2">
      <c r="B1103" t="str">
        <f t="shared" si="19"/>
        <v/>
      </c>
    </row>
    <row r="1104" spans="2:2" x14ac:dyDescent="0.2">
      <c r="B1104" t="str">
        <f t="shared" si="19"/>
        <v/>
      </c>
    </row>
    <row r="1105" spans="2:2" x14ac:dyDescent="0.2">
      <c r="B1105" t="str">
        <f t="shared" si="19"/>
        <v/>
      </c>
    </row>
    <row r="1106" spans="2:2" x14ac:dyDescent="0.2">
      <c r="B1106" t="str">
        <f t="shared" si="19"/>
        <v/>
      </c>
    </row>
    <row r="1107" spans="2:2" x14ac:dyDescent="0.2">
      <c r="B1107" t="str">
        <f t="shared" si="19"/>
        <v/>
      </c>
    </row>
    <row r="1108" spans="2:2" x14ac:dyDescent="0.2">
      <c r="B1108" t="str">
        <f t="shared" si="19"/>
        <v/>
      </c>
    </row>
    <row r="1109" spans="2:2" x14ac:dyDescent="0.2">
      <c r="B1109" t="str">
        <f t="shared" si="19"/>
        <v/>
      </c>
    </row>
    <row r="1110" spans="2:2" x14ac:dyDescent="0.2">
      <c r="B1110" t="str">
        <f t="shared" si="19"/>
        <v/>
      </c>
    </row>
    <row r="1111" spans="2:2" x14ac:dyDescent="0.2">
      <c r="B1111" t="str">
        <f t="shared" si="19"/>
        <v/>
      </c>
    </row>
    <row r="1112" spans="2:2" x14ac:dyDescent="0.2">
      <c r="B1112" t="str">
        <f t="shared" si="19"/>
        <v/>
      </c>
    </row>
    <row r="1113" spans="2:2" x14ac:dyDescent="0.2">
      <c r="B1113" t="str">
        <f t="shared" si="19"/>
        <v/>
      </c>
    </row>
    <row r="1114" spans="2:2" x14ac:dyDescent="0.2">
      <c r="B1114" t="str">
        <f t="shared" si="19"/>
        <v/>
      </c>
    </row>
    <row r="1115" spans="2:2" x14ac:dyDescent="0.2">
      <c r="B1115" t="str">
        <f t="shared" si="19"/>
        <v/>
      </c>
    </row>
    <row r="1116" spans="2:2" x14ac:dyDescent="0.2">
      <c r="B1116" t="str">
        <f t="shared" si="19"/>
        <v/>
      </c>
    </row>
    <row r="1117" spans="2:2" x14ac:dyDescent="0.2">
      <c r="B1117" t="str">
        <f t="shared" si="19"/>
        <v/>
      </c>
    </row>
    <row r="1118" spans="2:2" x14ac:dyDescent="0.2">
      <c r="B1118" t="str">
        <f t="shared" si="19"/>
        <v/>
      </c>
    </row>
    <row r="1119" spans="2:2" x14ac:dyDescent="0.2">
      <c r="B1119" t="str">
        <f t="shared" si="19"/>
        <v/>
      </c>
    </row>
    <row r="1120" spans="2:2" x14ac:dyDescent="0.2">
      <c r="B1120" t="str">
        <f t="shared" si="19"/>
        <v/>
      </c>
    </row>
    <row r="1121" spans="2:2" x14ac:dyDescent="0.2">
      <c r="B1121" t="str">
        <f t="shared" si="19"/>
        <v/>
      </c>
    </row>
    <row r="1122" spans="2:2" x14ac:dyDescent="0.2">
      <c r="B1122" t="str">
        <f t="shared" si="19"/>
        <v/>
      </c>
    </row>
    <row r="1123" spans="2:2" x14ac:dyDescent="0.2">
      <c r="B1123" t="str">
        <f t="shared" si="19"/>
        <v/>
      </c>
    </row>
    <row r="1124" spans="2:2" x14ac:dyDescent="0.2">
      <c r="B1124" t="str">
        <f t="shared" si="19"/>
        <v/>
      </c>
    </row>
    <row r="1125" spans="2:2" x14ac:dyDescent="0.2">
      <c r="B1125" t="str">
        <f t="shared" si="19"/>
        <v/>
      </c>
    </row>
    <row r="1126" spans="2:2" x14ac:dyDescent="0.2">
      <c r="B1126" t="str">
        <f t="shared" si="19"/>
        <v/>
      </c>
    </row>
    <row r="1127" spans="2:2" x14ac:dyDescent="0.2">
      <c r="B1127" t="str">
        <f t="shared" si="19"/>
        <v/>
      </c>
    </row>
    <row r="1128" spans="2:2" x14ac:dyDescent="0.2">
      <c r="B1128" t="str">
        <f t="shared" si="19"/>
        <v/>
      </c>
    </row>
    <row r="1129" spans="2:2" x14ac:dyDescent="0.2">
      <c r="B1129" t="str">
        <f t="shared" si="19"/>
        <v/>
      </c>
    </row>
    <row r="1130" spans="2:2" x14ac:dyDescent="0.2">
      <c r="B1130" t="str">
        <f t="shared" si="19"/>
        <v/>
      </c>
    </row>
    <row r="1131" spans="2:2" x14ac:dyDescent="0.2">
      <c r="B1131" t="str">
        <f t="shared" si="19"/>
        <v/>
      </c>
    </row>
    <row r="1132" spans="2:2" x14ac:dyDescent="0.2">
      <c r="B1132" t="str">
        <f t="shared" si="19"/>
        <v/>
      </c>
    </row>
    <row r="1133" spans="2:2" x14ac:dyDescent="0.2">
      <c r="B1133" t="str">
        <f t="shared" si="19"/>
        <v/>
      </c>
    </row>
    <row r="1134" spans="2:2" x14ac:dyDescent="0.2">
      <c r="B1134" t="str">
        <f t="shared" si="19"/>
        <v/>
      </c>
    </row>
    <row r="1135" spans="2:2" x14ac:dyDescent="0.2">
      <c r="B1135" t="str">
        <f t="shared" si="19"/>
        <v/>
      </c>
    </row>
    <row r="1136" spans="2:2" x14ac:dyDescent="0.2">
      <c r="B1136" t="str">
        <f t="shared" si="19"/>
        <v/>
      </c>
    </row>
    <row r="1137" spans="2:2" x14ac:dyDescent="0.2">
      <c r="B1137" t="str">
        <f t="shared" si="19"/>
        <v/>
      </c>
    </row>
    <row r="1138" spans="2:2" x14ac:dyDescent="0.2">
      <c r="B1138" t="str">
        <f t="shared" si="19"/>
        <v/>
      </c>
    </row>
    <row r="1139" spans="2:2" x14ac:dyDescent="0.2">
      <c r="B1139" t="str">
        <f t="shared" si="19"/>
        <v/>
      </c>
    </row>
    <row r="1140" spans="2:2" x14ac:dyDescent="0.2">
      <c r="B1140" t="str">
        <f t="shared" si="19"/>
        <v/>
      </c>
    </row>
    <row r="1141" spans="2:2" x14ac:dyDescent="0.2">
      <c r="B1141" t="str">
        <f t="shared" si="19"/>
        <v/>
      </c>
    </row>
    <row r="1142" spans="2:2" x14ac:dyDescent="0.2">
      <c r="B1142" t="str">
        <f t="shared" si="19"/>
        <v/>
      </c>
    </row>
    <row r="1143" spans="2:2" x14ac:dyDescent="0.2">
      <c r="B1143" t="str">
        <f t="shared" si="19"/>
        <v/>
      </c>
    </row>
    <row r="1144" spans="2:2" x14ac:dyDescent="0.2">
      <c r="B1144" t="str">
        <f t="shared" si="19"/>
        <v/>
      </c>
    </row>
    <row r="1145" spans="2:2" x14ac:dyDescent="0.2">
      <c r="B1145" t="str">
        <f t="shared" si="19"/>
        <v/>
      </c>
    </row>
    <row r="1146" spans="2:2" x14ac:dyDescent="0.2">
      <c r="B1146" t="str">
        <f t="shared" si="19"/>
        <v/>
      </c>
    </row>
    <row r="1147" spans="2:2" x14ac:dyDescent="0.2">
      <c r="B1147" t="str">
        <f t="shared" si="19"/>
        <v/>
      </c>
    </row>
    <row r="1148" spans="2:2" x14ac:dyDescent="0.2">
      <c r="B1148" t="str">
        <f t="shared" si="19"/>
        <v/>
      </c>
    </row>
    <row r="1149" spans="2:2" x14ac:dyDescent="0.2">
      <c r="B1149" t="str">
        <f t="shared" si="19"/>
        <v/>
      </c>
    </row>
    <row r="1150" spans="2:2" x14ac:dyDescent="0.2">
      <c r="B1150" t="str">
        <f t="shared" si="19"/>
        <v/>
      </c>
    </row>
    <row r="1151" spans="2:2" x14ac:dyDescent="0.2">
      <c r="B1151" t="str">
        <f t="shared" si="19"/>
        <v/>
      </c>
    </row>
    <row r="1152" spans="2:2" x14ac:dyDescent="0.2">
      <c r="B1152" t="str">
        <f t="shared" si="19"/>
        <v/>
      </c>
    </row>
    <row r="1153" spans="2:2" x14ac:dyDescent="0.2">
      <c r="B1153" t="str">
        <f t="shared" si="19"/>
        <v/>
      </c>
    </row>
    <row r="1154" spans="2:2" x14ac:dyDescent="0.2">
      <c r="B1154" t="str">
        <f t="shared" si="19"/>
        <v/>
      </c>
    </row>
    <row r="1155" spans="2:2" x14ac:dyDescent="0.2">
      <c r="B1155" t="str">
        <f t="shared" si="19"/>
        <v/>
      </c>
    </row>
    <row r="1156" spans="2:2" x14ac:dyDescent="0.2">
      <c r="B1156" t="str">
        <f t="shared" si="19"/>
        <v/>
      </c>
    </row>
    <row r="1157" spans="2:2" x14ac:dyDescent="0.2">
      <c r="B1157" t="str">
        <f t="shared" ref="B1157:B1220" si="20">D1157&amp;I1157</f>
        <v/>
      </c>
    </row>
    <row r="1158" spans="2:2" x14ac:dyDescent="0.2">
      <c r="B1158" t="str">
        <f t="shared" si="20"/>
        <v/>
      </c>
    </row>
    <row r="1159" spans="2:2" x14ac:dyDescent="0.2">
      <c r="B1159" t="str">
        <f t="shared" si="20"/>
        <v/>
      </c>
    </row>
    <row r="1160" spans="2:2" x14ac:dyDescent="0.2">
      <c r="B1160" t="str">
        <f t="shared" si="20"/>
        <v/>
      </c>
    </row>
    <row r="1161" spans="2:2" x14ac:dyDescent="0.2">
      <c r="B1161" t="str">
        <f t="shared" si="20"/>
        <v/>
      </c>
    </row>
    <row r="1162" spans="2:2" x14ac:dyDescent="0.2">
      <c r="B1162" t="str">
        <f t="shared" si="20"/>
        <v/>
      </c>
    </row>
    <row r="1163" spans="2:2" x14ac:dyDescent="0.2">
      <c r="B1163" t="str">
        <f t="shared" si="20"/>
        <v/>
      </c>
    </row>
    <row r="1164" spans="2:2" x14ac:dyDescent="0.2">
      <c r="B1164" t="str">
        <f t="shared" si="20"/>
        <v/>
      </c>
    </row>
    <row r="1165" spans="2:2" x14ac:dyDescent="0.2">
      <c r="B1165" t="str">
        <f t="shared" si="20"/>
        <v/>
      </c>
    </row>
    <row r="1166" spans="2:2" x14ac:dyDescent="0.2">
      <c r="B1166" t="str">
        <f t="shared" si="20"/>
        <v/>
      </c>
    </row>
    <row r="1167" spans="2:2" x14ac:dyDescent="0.2">
      <c r="B1167" t="str">
        <f t="shared" si="20"/>
        <v/>
      </c>
    </row>
    <row r="1168" spans="2:2" x14ac:dyDescent="0.2">
      <c r="B1168" t="str">
        <f t="shared" si="20"/>
        <v/>
      </c>
    </row>
    <row r="1169" spans="2:2" x14ac:dyDescent="0.2">
      <c r="B1169" t="str">
        <f t="shared" si="20"/>
        <v/>
      </c>
    </row>
    <row r="1170" spans="2:2" x14ac:dyDescent="0.2">
      <c r="B1170" t="str">
        <f t="shared" si="20"/>
        <v/>
      </c>
    </row>
    <row r="1171" spans="2:2" x14ac:dyDescent="0.2">
      <c r="B1171" t="str">
        <f t="shared" si="20"/>
        <v/>
      </c>
    </row>
    <row r="1172" spans="2:2" x14ac:dyDescent="0.2">
      <c r="B1172" t="str">
        <f t="shared" si="20"/>
        <v/>
      </c>
    </row>
    <row r="1173" spans="2:2" x14ac:dyDescent="0.2">
      <c r="B1173" t="str">
        <f t="shared" si="20"/>
        <v/>
      </c>
    </row>
    <row r="1174" spans="2:2" x14ac:dyDescent="0.2">
      <c r="B1174" t="str">
        <f t="shared" si="20"/>
        <v/>
      </c>
    </row>
    <row r="1175" spans="2:2" x14ac:dyDescent="0.2">
      <c r="B1175" t="str">
        <f t="shared" si="20"/>
        <v/>
      </c>
    </row>
    <row r="1176" spans="2:2" x14ac:dyDescent="0.2">
      <c r="B1176" t="str">
        <f t="shared" si="20"/>
        <v/>
      </c>
    </row>
    <row r="1177" spans="2:2" x14ac:dyDescent="0.2">
      <c r="B1177" t="str">
        <f t="shared" si="20"/>
        <v/>
      </c>
    </row>
    <row r="1178" spans="2:2" x14ac:dyDescent="0.2">
      <c r="B1178" t="str">
        <f t="shared" si="20"/>
        <v/>
      </c>
    </row>
    <row r="1179" spans="2:2" x14ac:dyDescent="0.2">
      <c r="B1179" t="str">
        <f t="shared" si="20"/>
        <v/>
      </c>
    </row>
    <row r="1180" spans="2:2" x14ac:dyDescent="0.2">
      <c r="B1180" t="str">
        <f t="shared" si="20"/>
        <v/>
      </c>
    </row>
    <row r="1181" spans="2:2" x14ac:dyDescent="0.2">
      <c r="B1181" t="str">
        <f t="shared" si="20"/>
        <v/>
      </c>
    </row>
    <row r="1182" spans="2:2" x14ac:dyDescent="0.2">
      <c r="B1182" t="str">
        <f t="shared" si="20"/>
        <v/>
      </c>
    </row>
    <row r="1183" spans="2:2" x14ac:dyDescent="0.2">
      <c r="B1183" t="str">
        <f t="shared" si="20"/>
        <v/>
      </c>
    </row>
    <row r="1184" spans="2:2" x14ac:dyDescent="0.2">
      <c r="B1184" t="str">
        <f t="shared" si="20"/>
        <v/>
      </c>
    </row>
    <row r="1185" spans="2:2" x14ac:dyDescent="0.2">
      <c r="B1185" t="str">
        <f t="shared" si="20"/>
        <v/>
      </c>
    </row>
    <row r="1186" spans="2:2" x14ac:dyDescent="0.2">
      <c r="B1186" t="str">
        <f t="shared" si="20"/>
        <v/>
      </c>
    </row>
    <row r="1187" spans="2:2" x14ac:dyDescent="0.2">
      <c r="B1187" t="str">
        <f t="shared" si="20"/>
        <v/>
      </c>
    </row>
    <row r="1188" spans="2:2" x14ac:dyDescent="0.2">
      <c r="B1188" t="str">
        <f t="shared" si="20"/>
        <v/>
      </c>
    </row>
    <row r="1189" spans="2:2" x14ac:dyDescent="0.2">
      <c r="B1189" t="str">
        <f t="shared" si="20"/>
        <v/>
      </c>
    </row>
    <row r="1190" spans="2:2" x14ac:dyDescent="0.2">
      <c r="B1190" t="str">
        <f t="shared" si="20"/>
        <v/>
      </c>
    </row>
    <row r="1191" spans="2:2" x14ac:dyDescent="0.2">
      <c r="B1191" t="str">
        <f t="shared" si="20"/>
        <v/>
      </c>
    </row>
    <row r="1192" spans="2:2" x14ac:dyDescent="0.2">
      <c r="B1192" t="str">
        <f t="shared" si="20"/>
        <v/>
      </c>
    </row>
    <row r="1193" spans="2:2" x14ac:dyDescent="0.2">
      <c r="B1193" t="str">
        <f t="shared" si="20"/>
        <v/>
      </c>
    </row>
    <row r="1194" spans="2:2" x14ac:dyDescent="0.2">
      <c r="B1194" t="str">
        <f t="shared" si="20"/>
        <v/>
      </c>
    </row>
    <row r="1195" spans="2:2" x14ac:dyDescent="0.2">
      <c r="B1195" t="str">
        <f t="shared" si="20"/>
        <v/>
      </c>
    </row>
    <row r="1196" spans="2:2" x14ac:dyDescent="0.2">
      <c r="B1196" t="str">
        <f t="shared" si="20"/>
        <v/>
      </c>
    </row>
    <row r="1197" spans="2:2" x14ac:dyDescent="0.2">
      <c r="B1197" t="str">
        <f t="shared" si="20"/>
        <v/>
      </c>
    </row>
    <row r="1198" spans="2:2" x14ac:dyDescent="0.2">
      <c r="B1198" t="str">
        <f t="shared" si="20"/>
        <v/>
      </c>
    </row>
    <row r="1199" spans="2:2" x14ac:dyDescent="0.2">
      <c r="B1199" t="str">
        <f t="shared" si="20"/>
        <v/>
      </c>
    </row>
    <row r="1200" spans="2:2" x14ac:dyDescent="0.2">
      <c r="B1200" t="str">
        <f t="shared" si="20"/>
        <v/>
      </c>
    </row>
    <row r="1201" spans="2:2" x14ac:dyDescent="0.2">
      <c r="B1201" t="str">
        <f t="shared" si="20"/>
        <v/>
      </c>
    </row>
    <row r="1202" spans="2:2" x14ac:dyDescent="0.2">
      <c r="B1202" t="str">
        <f t="shared" si="20"/>
        <v/>
      </c>
    </row>
    <row r="1203" spans="2:2" x14ac:dyDescent="0.2">
      <c r="B1203" t="str">
        <f t="shared" si="20"/>
        <v/>
      </c>
    </row>
    <row r="1204" spans="2:2" x14ac:dyDescent="0.2">
      <c r="B1204" t="str">
        <f t="shared" si="20"/>
        <v/>
      </c>
    </row>
    <row r="1205" spans="2:2" x14ac:dyDescent="0.2">
      <c r="B1205" t="str">
        <f t="shared" si="20"/>
        <v/>
      </c>
    </row>
    <row r="1206" spans="2:2" x14ac:dyDescent="0.2">
      <c r="B1206" t="str">
        <f t="shared" si="20"/>
        <v/>
      </c>
    </row>
    <row r="1207" spans="2:2" x14ac:dyDescent="0.2">
      <c r="B1207" t="str">
        <f t="shared" si="20"/>
        <v/>
      </c>
    </row>
    <row r="1208" spans="2:2" x14ac:dyDescent="0.2">
      <c r="B1208" t="str">
        <f t="shared" si="20"/>
        <v/>
      </c>
    </row>
    <row r="1209" spans="2:2" x14ac:dyDescent="0.2">
      <c r="B1209" t="str">
        <f t="shared" si="20"/>
        <v/>
      </c>
    </row>
    <row r="1210" spans="2:2" x14ac:dyDescent="0.2">
      <c r="B1210" t="str">
        <f t="shared" si="20"/>
        <v/>
      </c>
    </row>
    <row r="1211" spans="2:2" x14ac:dyDescent="0.2">
      <c r="B1211" t="str">
        <f t="shared" si="20"/>
        <v/>
      </c>
    </row>
    <row r="1212" spans="2:2" x14ac:dyDescent="0.2">
      <c r="B1212" t="str">
        <f t="shared" si="20"/>
        <v/>
      </c>
    </row>
    <row r="1213" spans="2:2" x14ac:dyDescent="0.2">
      <c r="B1213" t="str">
        <f t="shared" si="20"/>
        <v/>
      </c>
    </row>
    <row r="1214" spans="2:2" x14ac:dyDescent="0.2">
      <c r="B1214" t="str">
        <f t="shared" si="20"/>
        <v/>
      </c>
    </row>
    <row r="1215" spans="2:2" x14ac:dyDescent="0.2">
      <c r="B1215" t="str">
        <f t="shared" si="20"/>
        <v/>
      </c>
    </row>
    <row r="1216" spans="2:2" x14ac:dyDescent="0.2">
      <c r="B1216" t="str">
        <f t="shared" si="20"/>
        <v/>
      </c>
    </row>
    <row r="1217" spans="2:2" x14ac:dyDescent="0.2">
      <c r="B1217" t="str">
        <f t="shared" si="20"/>
        <v/>
      </c>
    </row>
    <row r="1218" spans="2:2" x14ac:dyDescent="0.2">
      <c r="B1218" t="str">
        <f t="shared" si="20"/>
        <v/>
      </c>
    </row>
    <row r="1219" spans="2:2" x14ac:dyDescent="0.2">
      <c r="B1219" t="str">
        <f t="shared" si="20"/>
        <v/>
      </c>
    </row>
    <row r="1220" spans="2:2" x14ac:dyDescent="0.2">
      <c r="B1220" t="str">
        <f t="shared" si="20"/>
        <v/>
      </c>
    </row>
    <row r="1221" spans="2:2" x14ac:dyDescent="0.2">
      <c r="B1221" t="str">
        <f t="shared" ref="B1221:B1284" si="21">D1221&amp;I1221</f>
        <v/>
      </c>
    </row>
    <row r="1222" spans="2:2" x14ac:dyDescent="0.2">
      <c r="B1222" t="str">
        <f t="shared" si="21"/>
        <v/>
      </c>
    </row>
    <row r="1223" spans="2:2" x14ac:dyDescent="0.2">
      <c r="B1223" t="str">
        <f t="shared" si="21"/>
        <v/>
      </c>
    </row>
    <row r="1224" spans="2:2" x14ac:dyDescent="0.2">
      <c r="B1224" t="str">
        <f t="shared" si="21"/>
        <v/>
      </c>
    </row>
    <row r="1225" spans="2:2" x14ac:dyDescent="0.2">
      <c r="B1225" t="str">
        <f t="shared" si="21"/>
        <v/>
      </c>
    </row>
    <row r="1226" spans="2:2" x14ac:dyDescent="0.2">
      <c r="B1226" t="str">
        <f t="shared" si="21"/>
        <v/>
      </c>
    </row>
    <row r="1227" spans="2:2" x14ac:dyDescent="0.2">
      <c r="B1227" t="str">
        <f t="shared" si="21"/>
        <v/>
      </c>
    </row>
    <row r="1228" spans="2:2" x14ac:dyDescent="0.2">
      <c r="B1228" t="str">
        <f t="shared" si="21"/>
        <v/>
      </c>
    </row>
    <row r="1229" spans="2:2" x14ac:dyDescent="0.2">
      <c r="B1229" t="str">
        <f t="shared" si="21"/>
        <v/>
      </c>
    </row>
    <row r="1230" spans="2:2" x14ac:dyDescent="0.2">
      <c r="B1230" t="str">
        <f t="shared" si="21"/>
        <v/>
      </c>
    </row>
    <row r="1231" spans="2:2" x14ac:dyDescent="0.2">
      <c r="B1231" t="str">
        <f t="shared" si="21"/>
        <v/>
      </c>
    </row>
    <row r="1232" spans="2:2" x14ac:dyDescent="0.2">
      <c r="B1232" t="str">
        <f t="shared" si="21"/>
        <v/>
      </c>
    </row>
    <row r="1233" spans="2:2" x14ac:dyDescent="0.2">
      <c r="B1233" t="str">
        <f t="shared" si="21"/>
        <v/>
      </c>
    </row>
    <row r="1234" spans="2:2" x14ac:dyDescent="0.2">
      <c r="B1234" t="str">
        <f t="shared" si="21"/>
        <v/>
      </c>
    </row>
    <row r="1235" spans="2:2" x14ac:dyDescent="0.2">
      <c r="B1235" t="str">
        <f t="shared" si="21"/>
        <v/>
      </c>
    </row>
    <row r="1236" spans="2:2" x14ac:dyDescent="0.2">
      <c r="B1236" t="str">
        <f t="shared" si="21"/>
        <v/>
      </c>
    </row>
    <row r="1237" spans="2:2" x14ac:dyDescent="0.2">
      <c r="B1237" t="str">
        <f t="shared" si="21"/>
        <v/>
      </c>
    </row>
    <row r="1238" spans="2:2" x14ac:dyDescent="0.2">
      <c r="B1238" t="str">
        <f t="shared" si="21"/>
        <v/>
      </c>
    </row>
    <row r="1239" spans="2:2" x14ac:dyDescent="0.2">
      <c r="B1239" t="str">
        <f t="shared" si="21"/>
        <v/>
      </c>
    </row>
    <row r="1240" spans="2:2" x14ac:dyDescent="0.2">
      <c r="B1240" t="str">
        <f t="shared" si="21"/>
        <v/>
      </c>
    </row>
    <row r="1241" spans="2:2" x14ac:dyDescent="0.2">
      <c r="B1241" t="str">
        <f t="shared" si="21"/>
        <v/>
      </c>
    </row>
    <row r="1242" spans="2:2" x14ac:dyDescent="0.2">
      <c r="B1242" t="str">
        <f t="shared" si="21"/>
        <v/>
      </c>
    </row>
    <row r="1243" spans="2:2" x14ac:dyDescent="0.2">
      <c r="B1243" t="str">
        <f t="shared" si="21"/>
        <v/>
      </c>
    </row>
    <row r="1244" spans="2:2" x14ac:dyDescent="0.2">
      <c r="B1244" t="str">
        <f t="shared" si="21"/>
        <v/>
      </c>
    </row>
    <row r="1245" spans="2:2" x14ac:dyDescent="0.2">
      <c r="B1245" t="str">
        <f t="shared" si="21"/>
        <v/>
      </c>
    </row>
    <row r="1246" spans="2:2" x14ac:dyDescent="0.2">
      <c r="B1246" t="str">
        <f t="shared" si="21"/>
        <v/>
      </c>
    </row>
    <row r="1247" spans="2:2" x14ac:dyDescent="0.2">
      <c r="B1247" t="str">
        <f t="shared" si="21"/>
        <v/>
      </c>
    </row>
    <row r="1248" spans="2:2" x14ac:dyDescent="0.2">
      <c r="B1248" t="str">
        <f t="shared" si="21"/>
        <v/>
      </c>
    </row>
    <row r="1249" spans="2:2" x14ac:dyDescent="0.2">
      <c r="B1249" t="str">
        <f t="shared" si="21"/>
        <v/>
      </c>
    </row>
    <row r="1250" spans="2:2" x14ac:dyDescent="0.2">
      <c r="B1250" t="str">
        <f t="shared" si="21"/>
        <v/>
      </c>
    </row>
    <row r="1251" spans="2:2" x14ac:dyDescent="0.2">
      <c r="B1251" t="str">
        <f t="shared" si="21"/>
        <v/>
      </c>
    </row>
    <row r="1252" spans="2:2" x14ac:dyDescent="0.2">
      <c r="B1252" t="str">
        <f t="shared" si="21"/>
        <v/>
      </c>
    </row>
    <row r="1253" spans="2:2" x14ac:dyDescent="0.2">
      <c r="B1253" t="str">
        <f t="shared" si="21"/>
        <v/>
      </c>
    </row>
    <row r="1254" spans="2:2" x14ac:dyDescent="0.2">
      <c r="B1254" t="str">
        <f t="shared" si="21"/>
        <v/>
      </c>
    </row>
    <row r="1255" spans="2:2" x14ac:dyDescent="0.2">
      <c r="B1255" t="str">
        <f t="shared" si="21"/>
        <v/>
      </c>
    </row>
    <row r="1256" spans="2:2" x14ac:dyDescent="0.2">
      <c r="B1256" t="str">
        <f t="shared" si="21"/>
        <v/>
      </c>
    </row>
    <row r="1257" spans="2:2" x14ac:dyDescent="0.2">
      <c r="B1257" t="str">
        <f t="shared" si="21"/>
        <v/>
      </c>
    </row>
    <row r="1258" spans="2:2" x14ac:dyDescent="0.2">
      <c r="B1258" t="str">
        <f t="shared" si="21"/>
        <v/>
      </c>
    </row>
    <row r="1259" spans="2:2" x14ac:dyDescent="0.2">
      <c r="B1259" t="str">
        <f t="shared" si="21"/>
        <v/>
      </c>
    </row>
    <row r="1260" spans="2:2" x14ac:dyDescent="0.2">
      <c r="B1260" t="str">
        <f t="shared" si="21"/>
        <v/>
      </c>
    </row>
    <row r="1261" spans="2:2" x14ac:dyDescent="0.2">
      <c r="B1261" t="str">
        <f t="shared" si="21"/>
        <v/>
      </c>
    </row>
    <row r="1262" spans="2:2" x14ac:dyDescent="0.2">
      <c r="B1262" t="str">
        <f t="shared" si="21"/>
        <v/>
      </c>
    </row>
    <row r="1263" spans="2:2" x14ac:dyDescent="0.2">
      <c r="B1263" t="str">
        <f t="shared" si="21"/>
        <v/>
      </c>
    </row>
    <row r="1264" spans="2:2" x14ac:dyDescent="0.2">
      <c r="B1264" t="str">
        <f t="shared" si="21"/>
        <v/>
      </c>
    </row>
    <row r="1265" spans="2:2" x14ac:dyDescent="0.2">
      <c r="B1265" t="str">
        <f t="shared" si="21"/>
        <v/>
      </c>
    </row>
    <row r="1266" spans="2:2" x14ac:dyDescent="0.2">
      <c r="B1266" t="str">
        <f t="shared" si="21"/>
        <v/>
      </c>
    </row>
    <row r="1267" spans="2:2" x14ac:dyDescent="0.2">
      <c r="B1267" t="str">
        <f t="shared" si="21"/>
        <v/>
      </c>
    </row>
    <row r="1268" spans="2:2" x14ac:dyDescent="0.2">
      <c r="B1268" t="str">
        <f t="shared" si="21"/>
        <v/>
      </c>
    </row>
    <row r="1269" spans="2:2" x14ac:dyDescent="0.2">
      <c r="B1269" t="str">
        <f t="shared" si="21"/>
        <v/>
      </c>
    </row>
    <row r="1270" spans="2:2" x14ac:dyDescent="0.2">
      <c r="B1270" t="str">
        <f t="shared" si="21"/>
        <v/>
      </c>
    </row>
    <row r="1271" spans="2:2" x14ac:dyDescent="0.2">
      <c r="B1271" t="str">
        <f t="shared" si="21"/>
        <v/>
      </c>
    </row>
    <row r="1272" spans="2:2" x14ac:dyDescent="0.2">
      <c r="B1272" t="str">
        <f t="shared" si="21"/>
        <v/>
      </c>
    </row>
    <row r="1273" spans="2:2" x14ac:dyDescent="0.2">
      <c r="B1273" t="str">
        <f t="shared" si="21"/>
        <v/>
      </c>
    </row>
    <row r="1274" spans="2:2" x14ac:dyDescent="0.2">
      <c r="B1274" t="str">
        <f t="shared" si="21"/>
        <v/>
      </c>
    </row>
    <row r="1275" spans="2:2" x14ac:dyDescent="0.2">
      <c r="B1275" t="str">
        <f t="shared" si="21"/>
        <v/>
      </c>
    </row>
    <row r="1276" spans="2:2" x14ac:dyDescent="0.2">
      <c r="B1276" t="str">
        <f t="shared" si="21"/>
        <v/>
      </c>
    </row>
    <row r="1277" spans="2:2" x14ac:dyDescent="0.2">
      <c r="B1277" t="str">
        <f t="shared" si="21"/>
        <v/>
      </c>
    </row>
    <row r="1278" spans="2:2" x14ac:dyDescent="0.2">
      <c r="B1278" t="str">
        <f t="shared" si="21"/>
        <v/>
      </c>
    </row>
    <row r="1279" spans="2:2" x14ac:dyDescent="0.2">
      <c r="B1279" t="str">
        <f t="shared" si="21"/>
        <v/>
      </c>
    </row>
    <row r="1280" spans="2:2" x14ac:dyDescent="0.2">
      <c r="B1280" t="str">
        <f t="shared" si="21"/>
        <v/>
      </c>
    </row>
    <row r="1281" spans="2:2" x14ac:dyDescent="0.2">
      <c r="B1281" t="str">
        <f t="shared" si="21"/>
        <v/>
      </c>
    </row>
    <row r="1282" spans="2:2" x14ac:dyDescent="0.2">
      <c r="B1282" t="str">
        <f t="shared" si="21"/>
        <v/>
      </c>
    </row>
    <row r="1283" spans="2:2" x14ac:dyDescent="0.2">
      <c r="B1283" t="str">
        <f t="shared" si="21"/>
        <v/>
      </c>
    </row>
    <row r="1284" spans="2:2" x14ac:dyDescent="0.2">
      <c r="B1284" t="str">
        <f t="shared" si="21"/>
        <v/>
      </c>
    </row>
    <row r="1285" spans="2:2" x14ac:dyDescent="0.2">
      <c r="B1285" t="str">
        <f t="shared" ref="B1285:B1348" si="22">D1285&amp;I1285</f>
        <v/>
      </c>
    </row>
    <row r="1286" spans="2:2" x14ac:dyDescent="0.2">
      <c r="B1286" t="str">
        <f t="shared" si="22"/>
        <v/>
      </c>
    </row>
    <row r="1287" spans="2:2" x14ac:dyDescent="0.2">
      <c r="B1287" t="str">
        <f t="shared" si="22"/>
        <v/>
      </c>
    </row>
    <row r="1288" spans="2:2" x14ac:dyDescent="0.2">
      <c r="B1288" t="str">
        <f t="shared" si="22"/>
        <v/>
      </c>
    </row>
    <row r="1289" spans="2:2" x14ac:dyDescent="0.2">
      <c r="B1289" t="str">
        <f t="shared" si="22"/>
        <v/>
      </c>
    </row>
    <row r="1290" spans="2:2" x14ac:dyDescent="0.2">
      <c r="B1290" t="str">
        <f t="shared" si="22"/>
        <v/>
      </c>
    </row>
    <row r="1291" spans="2:2" x14ac:dyDescent="0.2">
      <c r="B1291" t="str">
        <f t="shared" si="22"/>
        <v/>
      </c>
    </row>
    <row r="1292" spans="2:2" x14ac:dyDescent="0.2">
      <c r="B1292" t="str">
        <f t="shared" si="22"/>
        <v/>
      </c>
    </row>
    <row r="1293" spans="2:2" x14ac:dyDescent="0.2">
      <c r="B1293" t="str">
        <f t="shared" si="22"/>
        <v/>
      </c>
    </row>
    <row r="1294" spans="2:2" x14ac:dyDescent="0.2">
      <c r="B1294" t="str">
        <f t="shared" si="22"/>
        <v/>
      </c>
    </row>
    <row r="1295" spans="2:2" x14ac:dyDescent="0.2">
      <c r="B1295" t="str">
        <f t="shared" si="22"/>
        <v/>
      </c>
    </row>
    <row r="1296" spans="2:2" x14ac:dyDescent="0.2">
      <c r="B1296" t="str">
        <f t="shared" si="22"/>
        <v/>
      </c>
    </row>
    <row r="1297" spans="2:2" x14ac:dyDescent="0.2">
      <c r="B1297" t="str">
        <f t="shared" si="22"/>
        <v/>
      </c>
    </row>
    <row r="1298" spans="2:2" x14ac:dyDescent="0.2">
      <c r="B1298" t="str">
        <f t="shared" si="22"/>
        <v/>
      </c>
    </row>
    <row r="1299" spans="2:2" x14ac:dyDescent="0.2">
      <c r="B1299" t="str">
        <f t="shared" si="22"/>
        <v/>
      </c>
    </row>
    <row r="1300" spans="2:2" x14ac:dyDescent="0.2">
      <c r="B1300" t="str">
        <f t="shared" si="22"/>
        <v/>
      </c>
    </row>
    <row r="1301" spans="2:2" x14ac:dyDescent="0.2">
      <c r="B1301" t="str">
        <f t="shared" si="22"/>
        <v/>
      </c>
    </row>
    <row r="1302" spans="2:2" x14ac:dyDescent="0.2">
      <c r="B1302" t="str">
        <f t="shared" si="22"/>
        <v/>
      </c>
    </row>
    <row r="1303" spans="2:2" x14ac:dyDescent="0.2">
      <c r="B1303" t="str">
        <f t="shared" si="22"/>
        <v/>
      </c>
    </row>
    <row r="1304" spans="2:2" x14ac:dyDescent="0.2">
      <c r="B1304" t="str">
        <f t="shared" si="22"/>
        <v/>
      </c>
    </row>
    <row r="1305" spans="2:2" x14ac:dyDescent="0.2">
      <c r="B1305" t="str">
        <f t="shared" si="22"/>
        <v/>
      </c>
    </row>
    <row r="1306" spans="2:2" x14ac:dyDescent="0.2">
      <c r="B1306" t="str">
        <f t="shared" si="22"/>
        <v/>
      </c>
    </row>
    <row r="1307" spans="2:2" x14ac:dyDescent="0.2">
      <c r="B1307" t="str">
        <f t="shared" si="22"/>
        <v/>
      </c>
    </row>
    <row r="1308" spans="2:2" x14ac:dyDescent="0.2">
      <c r="B1308" t="str">
        <f t="shared" si="22"/>
        <v/>
      </c>
    </row>
    <row r="1309" spans="2:2" x14ac:dyDescent="0.2">
      <c r="B1309" t="str">
        <f t="shared" si="22"/>
        <v/>
      </c>
    </row>
    <row r="1310" spans="2:2" x14ac:dyDescent="0.2">
      <c r="B1310" t="str">
        <f t="shared" si="22"/>
        <v/>
      </c>
    </row>
    <row r="1311" spans="2:2" x14ac:dyDescent="0.2">
      <c r="B1311" t="str">
        <f t="shared" si="22"/>
        <v/>
      </c>
    </row>
    <row r="1312" spans="2:2" x14ac:dyDescent="0.2">
      <c r="B1312" t="str">
        <f t="shared" si="22"/>
        <v/>
      </c>
    </row>
    <row r="1313" spans="2:2" x14ac:dyDescent="0.2">
      <c r="B1313" t="str">
        <f t="shared" si="22"/>
        <v/>
      </c>
    </row>
    <row r="1314" spans="2:2" x14ac:dyDescent="0.2">
      <c r="B1314" t="str">
        <f t="shared" si="22"/>
        <v/>
      </c>
    </row>
    <row r="1315" spans="2:2" x14ac:dyDescent="0.2">
      <c r="B1315" t="str">
        <f t="shared" si="22"/>
        <v/>
      </c>
    </row>
    <row r="1316" spans="2:2" x14ac:dyDescent="0.2">
      <c r="B1316" t="str">
        <f t="shared" si="22"/>
        <v/>
      </c>
    </row>
    <row r="1317" spans="2:2" x14ac:dyDescent="0.2">
      <c r="B1317" t="str">
        <f t="shared" si="22"/>
        <v/>
      </c>
    </row>
    <row r="1318" spans="2:2" x14ac:dyDescent="0.2">
      <c r="B1318" t="str">
        <f t="shared" si="22"/>
        <v/>
      </c>
    </row>
    <row r="1319" spans="2:2" x14ac:dyDescent="0.2">
      <c r="B1319" t="str">
        <f t="shared" si="22"/>
        <v/>
      </c>
    </row>
    <row r="1320" spans="2:2" x14ac:dyDescent="0.2">
      <c r="B1320" t="str">
        <f t="shared" si="22"/>
        <v/>
      </c>
    </row>
    <row r="1321" spans="2:2" x14ac:dyDescent="0.2">
      <c r="B1321" t="str">
        <f t="shared" si="22"/>
        <v/>
      </c>
    </row>
    <row r="1322" spans="2:2" x14ac:dyDescent="0.2">
      <c r="B1322" t="str">
        <f t="shared" si="22"/>
        <v/>
      </c>
    </row>
    <row r="1323" spans="2:2" x14ac:dyDescent="0.2">
      <c r="B1323" t="str">
        <f t="shared" si="22"/>
        <v/>
      </c>
    </row>
    <row r="1324" spans="2:2" x14ac:dyDescent="0.2">
      <c r="B1324" t="str">
        <f t="shared" si="22"/>
        <v/>
      </c>
    </row>
    <row r="1325" spans="2:2" x14ac:dyDescent="0.2">
      <c r="B1325" t="str">
        <f t="shared" si="22"/>
        <v/>
      </c>
    </row>
    <row r="1326" spans="2:2" x14ac:dyDescent="0.2">
      <c r="B1326" t="str">
        <f t="shared" si="22"/>
        <v/>
      </c>
    </row>
    <row r="1327" spans="2:2" x14ac:dyDescent="0.2">
      <c r="B1327" t="str">
        <f t="shared" si="22"/>
        <v/>
      </c>
    </row>
    <row r="1328" spans="2:2" x14ac:dyDescent="0.2">
      <c r="B1328" t="str">
        <f t="shared" si="22"/>
        <v/>
      </c>
    </row>
    <row r="1329" spans="2:2" x14ac:dyDescent="0.2">
      <c r="B1329" t="str">
        <f t="shared" si="22"/>
        <v/>
      </c>
    </row>
    <row r="1330" spans="2:2" x14ac:dyDescent="0.2">
      <c r="B1330" t="str">
        <f t="shared" si="22"/>
        <v/>
      </c>
    </row>
    <row r="1331" spans="2:2" x14ac:dyDescent="0.2">
      <c r="B1331" t="str">
        <f t="shared" si="22"/>
        <v/>
      </c>
    </row>
    <row r="1332" spans="2:2" x14ac:dyDescent="0.2">
      <c r="B1332" t="str">
        <f t="shared" si="22"/>
        <v/>
      </c>
    </row>
    <row r="1333" spans="2:2" x14ac:dyDescent="0.2">
      <c r="B1333" t="str">
        <f t="shared" si="22"/>
        <v/>
      </c>
    </row>
    <row r="1334" spans="2:2" x14ac:dyDescent="0.2">
      <c r="B1334" t="str">
        <f t="shared" si="22"/>
        <v/>
      </c>
    </row>
    <row r="1335" spans="2:2" x14ac:dyDescent="0.2">
      <c r="B1335" t="str">
        <f t="shared" si="22"/>
        <v/>
      </c>
    </row>
    <row r="1336" spans="2:2" x14ac:dyDescent="0.2">
      <c r="B1336" t="str">
        <f t="shared" si="22"/>
        <v/>
      </c>
    </row>
    <row r="1337" spans="2:2" x14ac:dyDescent="0.2">
      <c r="B1337" t="str">
        <f t="shared" si="22"/>
        <v/>
      </c>
    </row>
    <row r="1338" spans="2:2" x14ac:dyDescent="0.2">
      <c r="B1338" t="str">
        <f t="shared" si="22"/>
        <v/>
      </c>
    </row>
    <row r="1339" spans="2:2" x14ac:dyDescent="0.2">
      <c r="B1339" t="str">
        <f t="shared" si="22"/>
        <v/>
      </c>
    </row>
    <row r="1340" spans="2:2" x14ac:dyDescent="0.2">
      <c r="B1340" t="str">
        <f t="shared" si="22"/>
        <v/>
      </c>
    </row>
    <row r="1341" spans="2:2" x14ac:dyDescent="0.2">
      <c r="B1341" t="str">
        <f t="shared" si="22"/>
        <v/>
      </c>
    </row>
    <row r="1342" spans="2:2" x14ac:dyDescent="0.2">
      <c r="B1342" t="str">
        <f t="shared" si="22"/>
        <v/>
      </c>
    </row>
    <row r="1343" spans="2:2" x14ac:dyDescent="0.2">
      <c r="B1343" t="str">
        <f t="shared" si="22"/>
        <v/>
      </c>
    </row>
    <row r="1344" spans="2:2" x14ac:dyDescent="0.2">
      <c r="B1344" t="str">
        <f t="shared" si="22"/>
        <v/>
      </c>
    </row>
    <row r="1345" spans="2:2" x14ac:dyDescent="0.2">
      <c r="B1345" t="str">
        <f t="shared" si="22"/>
        <v/>
      </c>
    </row>
    <row r="1346" spans="2:2" x14ac:dyDescent="0.2">
      <c r="B1346" t="str">
        <f t="shared" si="22"/>
        <v/>
      </c>
    </row>
    <row r="1347" spans="2:2" x14ac:dyDescent="0.2">
      <c r="B1347" t="str">
        <f t="shared" si="22"/>
        <v/>
      </c>
    </row>
    <row r="1348" spans="2:2" x14ac:dyDescent="0.2">
      <c r="B1348" t="str">
        <f t="shared" si="22"/>
        <v/>
      </c>
    </row>
    <row r="1349" spans="2:2" x14ac:dyDescent="0.2">
      <c r="B1349" t="str">
        <f t="shared" ref="B1349:B1412" si="23">D1349&amp;I1349</f>
        <v/>
      </c>
    </row>
    <row r="1350" spans="2:2" x14ac:dyDescent="0.2">
      <c r="B1350" t="str">
        <f t="shared" si="23"/>
        <v/>
      </c>
    </row>
    <row r="1351" spans="2:2" x14ac:dyDescent="0.2">
      <c r="B1351" t="str">
        <f t="shared" si="23"/>
        <v/>
      </c>
    </row>
    <row r="1352" spans="2:2" x14ac:dyDescent="0.2">
      <c r="B1352" t="str">
        <f t="shared" si="23"/>
        <v/>
      </c>
    </row>
    <row r="1353" spans="2:2" x14ac:dyDescent="0.2">
      <c r="B1353" t="str">
        <f t="shared" si="23"/>
        <v/>
      </c>
    </row>
    <row r="1354" spans="2:2" x14ac:dyDescent="0.2">
      <c r="B1354" t="str">
        <f t="shared" si="23"/>
        <v/>
      </c>
    </row>
    <row r="1355" spans="2:2" x14ac:dyDescent="0.2">
      <c r="B1355" t="str">
        <f t="shared" si="23"/>
        <v/>
      </c>
    </row>
    <row r="1356" spans="2:2" x14ac:dyDescent="0.2">
      <c r="B1356" t="str">
        <f t="shared" si="23"/>
        <v/>
      </c>
    </row>
    <row r="1357" spans="2:2" x14ac:dyDescent="0.2">
      <c r="B1357" t="str">
        <f t="shared" si="23"/>
        <v/>
      </c>
    </row>
    <row r="1358" spans="2:2" x14ac:dyDescent="0.2">
      <c r="B1358" t="str">
        <f t="shared" si="23"/>
        <v/>
      </c>
    </row>
    <row r="1359" spans="2:2" x14ac:dyDescent="0.2">
      <c r="B1359" t="str">
        <f t="shared" si="23"/>
        <v/>
      </c>
    </row>
    <row r="1360" spans="2:2" x14ac:dyDescent="0.2">
      <c r="B1360" t="str">
        <f t="shared" si="23"/>
        <v/>
      </c>
    </row>
    <row r="1361" spans="2:2" x14ac:dyDescent="0.2">
      <c r="B1361" t="str">
        <f t="shared" si="23"/>
        <v/>
      </c>
    </row>
    <row r="1362" spans="2:2" x14ac:dyDescent="0.2">
      <c r="B1362" t="str">
        <f t="shared" si="23"/>
        <v/>
      </c>
    </row>
    <row r="1363" spans="2:2" x14ac:dyDescent="0.2">
      <c r="B1363" t="str">
        <f t="shared" si="23"/>
        <v/>
      </c>
    </row>
    <row r="1364" spans="2:2" x14ac:dyDescent="0.2">
      <c r="B1364" t="str">
        <f t="shared" si="23"/>
        <v/>
      </c>
    </row>
    <row r="1365" spans="2:2" x14ac:dyDescent="0.2">
      <c r="B1365" t="str">
        <f t="shared" si="23"/>
        <v/>
      </c>
    </row>
    <row r="1366" spans="2:2" x14ac:dyDescent="0.2">
      <c r="B1366" t="str">
        <f t="shared" si="23"/>
        <v/>
      </c>
    </row>
    <row r="1367" spans="2:2" x14ac:dyDescent="0.2">
      <c r="B1367" t="str">
        <f t="shared" si="23"/>
        <v/>
      </c>
    </row>
    <row r="1368" spans="2:2" x14ac:dyDescent="0.2">
      <c r="B1368" t="str">
        <f t="shared" si="23"/>
        <v/>
      </c>
    </row>
    <row r="1369" spans="2:2" x14ac:dyDescent="0.2">
      <c r="B1369" t="str">
        <f t="shared" si="23"/>
        <v/>
      </c>
    </row>
    <row r="1370" spans="2:2" x14ac:dyDescent="0.2">
      <c r="B1370" t="str">
        <f t="shared" si="23"/>
        <v/>
      </c>
    </row>
    <row r="1371" spans="2:2" x14ac:dyDescent="0.2">
      <c r="B1371" t="str">
        <f t="shared" si="23"/>
        <v/>
      </c>
    </row>
    <row r="1372" spans="2:2" x14ac:dyDescent="0.2">
      <c r="B1372" t="str">
        <f t="shared" si="23"/>
        <v/>
      </c>
    </row>
    <row r="1373" spans="2:2" x14ac:dyDescent="0.2">
      <c r="B1373" t="str">
        <f t="shared" si="23"/>
        <v/>
      </c>
    </row>
    <row r="1374" spans="2:2" x14ac:dyDescent="0.2">
      <c r="B1374" t="str">
        <f t="shared" si="23"/>
        <v/>
      </c>
    </row>
    <row r="1375" spans="2:2" x14ac:dyDescent="0.2">
      <c r="B1375" t="str">
        <f t="shared" si="23"/>
        <v/>
      </c>
    </row>
    <row r="1376" spans="2:2" x14ac:dyDescent="0.2">
      <c r="B1376" t="str">
        <f t="shared" si="23"/>
        <v/>
      </c>
    </row>
    <row r="1377" spans="2:2" x14ac:dyDescent="0.2">
      <c r="B1377" t="str">
        <f t="shared" si="23"/>
        <v/>
      </c>
    </row>
    <row r="1378" spans="2:2" x14ac:dyDescent="0.2">
      <c r="B1378" t="str">
        <f t="shared" si="23"/>
        <v/>
      </c>
    </row>
    <row r="1379" spans="2:2" x14ac:dyDescent="0.2">
      <c r="B1379" t="str">
        <f t="shared" si="23"/>
        <v/>
      </c>
    </row>
    <row r="1380" spans="2:2" x14ac:dyDescent="0.2">
      <c r="B1380" t="str">
        <f t="shared" si="23"/>
        <v/>
      </c>
    </row>
    <row r="1381" spans="2:2" x14ac:dyDescent="0.2">
      <c r="B1381" t="str">
        <f t="shared" si="23"/>
        <v/>
      </c>
    </row>
    <row r="1382" spans="2:2" x14ac:dyDescent="0.2">
      <c r="B1382" t="str">
        <f t="shared" si="23"/>
        <v/>
      </c>
    </row>
    <row r="1383" spans="2:2" x14ac:dyDescent="0.2">
      <c r="B1383" t="str">
        <f t="shared" si="23"/>
        <v/>
      </c>
    </row>
    <row r="1384" spans="2:2" x14ac:dyDescent="0.2">
      <c r="B1384" t="str">
        <f t="shared" si="23"/>
        <v/>
      </c>
    </row>
    <row r="1385" spans="2:2" x14ac:dyDescent="0.2">
      <c r="B1385" t="str">
        <f t="shared" si="23"/>
        <v/>
      </c>
    </row>
    <row r="1386" spans="2:2" x14ac:dyDescent="0.2">
      <c r="B1386" t="str">
        <f t="shared" si="23"/>
        <v/>
      </c>
    </row>
    <row r="1387" spans="2:2" x14ac:dyDescent="0.2">
      <c r="B1387" t="str">
        <f t="shared" si="23"/>
        <v/>
      </c>
    </row>
    <row r="1388" spans="2:2" x14ac:dyDescent="0.2">
      <c r="B1388" t="str">
        <f t="shared" si="23"/>
        <v/>
      </c>
    </row>
    <row r="1389" spans="2:2" x14ac:dyDescent="0.2">
      <c r="B1389" t="str">
        <f t="shared" si="23"/>
        <v/>
      </c>
    </row>
    <row r="1390" spans="2:2" x14ac:dyDescent="0.2">
      <c r="B1390" t="str">
        <f t="shared" si="23"/>
        <v/>
      </c>
    </row>
    <row r="1391" spans="2:2" x14ac:dyDescent="0.2">
      <c r="B1391" t="str">
        <f t="shared" si="23"/>
        <v/>
      </c>
    </row>
    <row r="1392" spans="2:2" x14ac:dyDescent="0.2">
      <c r="B1392" t="str">
        <f t="shared" si="23"/>
        <v/>
      </c>
    </row>
    <row r="1393" spans="2:2" x14ac:dyDescent="0.2">
      <c r="B1393" t="str">
        <f t="shared" si="23"/>
        <v/>
      </c>
    </row>
    <row r="1394" spans="2:2" x14ac:dyDescent="0.2">
      <c r="B1394" t="str">
        <f t="shared" si="23"/>
        <v/>
      </c>
    </row>
    <row r="1395" spans="2:2" x14ac:dyDescent="0.2">
      <c r="B1395" t="str">
        <f t="shared" si="23"/>
        <v/>
      </c>
    </row>
    <row r="1396" spans="2:2" x14ac:dyDescent="0.2">
      <c r="B1396" t="str">
        <f t="shared" si="23"/>
        <v/>
      </c>
    </row>
    <row r="1397" spans="2:2" x14ac:dyDescent="0.2">
      <c r="B1397" t="str">
        <f t="shared" si="23"/>
        <v/>
      </c>
    </row>
    <row r="1398" spans="2:2" x14ac:dyDescent="0.2">
      <c r="B1398" t="str">
        <f t="shared" si="23"/>
        <v/>
      </c>
    </row>
    <row r="1399" spans="2:2" x14ac:dyDescent="0.2">
      <c r="B1399" t="str">
        <f t="shared" si="23"/>
        <v/>
      </c>
    </row>
    <row r="1400" spans="2:2" x14ac:dyDescent="0.2">
      <c r="B1400" t="str">
        <f t="shared" si="23"/>
        <v/>
      </c>
    </row>
    <row r="1401" spans="2:2" x14ac:dyDescent="0.2">
      <c r="B1401" t="str">
        <f t="shared" si="23"/>
        <v/>
      </c>
    </row>
    <row r="1402" spans="2:2" x14ac:dyDescent="0.2">
      <c r="B1402" t="str">
        <f t="shared" si="23"/>
        <v/>
      </c>
    </row>
    <row r="1403" spans="2:2" x14ac:dyDescent="0.2">
      <c r="B1403" t="str">
        <f t="shared" si="23"/>
        <v/>
      </c>
    </row>
    <row r="1404" spans="2:2" x14ac:dyDescent="0.2">
      <c r="B1404" t="str">
        <f t="shared" si="23"/>
        <v/>
      </c>
    </row>
    <row r="1405" spans="2:2" x14ac:dyDescent="0.2">
      <c r="B1405" t="str">
        <f t="shared" si="23"/>
        <v/>
      </c>
    </row>
    <row r="1406" spans="2:2" x14ac:dyDescent="0.2">
      <c r="B1406" t="str">
        <f t="shared" si="23"/>
        <v/>
      </c>
    </row>
    <row r="1407" spans="2:2" x14ac:dyDescent="0.2">
      <c r="B1407" t="str">
        <f t="shared" si="23"/>
        <v/>
      </c>
    </row>
    <row r="1408" spans="2:2" x14ac:dyDescent="0.2">
      <c r="B1408" t="str">
        <f t="shared" si="23"/>
        <v/>
      </c>
    </row>
    <row r="1409" spans="2:2" x14ac:dyDescent="0.2">
      <c r="B1409" t="str">
        <f t="shared" si="23"/>
        <v/>
      </c>
    </row>
    <row r="1410" spans="2:2" x14ac:dyDescent="0.2">
      <c r="B1410" t="str">
        <f t="shared" si="23"/>
        <v/>
      </c>
    </row>
    <row r="1411" spans="2:2" x14ac:dyDescent="0.2">
      <c r="B1411" t="str">
        <f t="shared" si="23"/>
        <v/>
      </c>
    </row>
    <row r="1412" spans="2:2" x14ac:dyDescent="0.2">
      <c r="B1412" t="str">
        <f t="shared" si="23"/>
        <v/>
      </c>
    </row>
    <row r="1413" spans="2:2" x14ac:dyDescent="0.2">
      <c r="B1413" t="str">
        <f t="shared" ref="B1413:B1476" si="24">D1413&amp;I1413</f>
        <v/>
      </c>
    </row>
    <row r="1414" spans="2:2" x14ac:dyDescent="0.2">
      <c r="B1414" t="str">
        <f t="shared" si="24"/>
        <v/>
      </c>
    </row>
    <row r="1415" spans="2:2" x14ac:dyDescent="0.2">
      <c r="B1415" t="str">
        <f t="shared" si="24"/>
        <v/>
      </c>
    </row>
    <row r="1416" spans="2:2" x14ac:dyDescent="0.2">
      <c r="B1416" t="str">
        <f t="shared" si="24"/>
        <v/>
      </c>
    </row>
    <row r="1417" spans="2:2" x14ac:dyDescent="0.2">
      <c r="B1417" t="str">
        <f t="shared" si="24"/>
        <v/>
      </c>
    </row>
    <row r="1418" spans="2:2" x14ac:dyDescent="0.2">
      <c r="B1418" t="str">
        <f t="shared" si="24"/>
        <v/>
      </c>
    </row>
    <row r="1419" spans="2:2" x14ac:dyDescent="0.2">
      <c r="B1419" t="str">
        <f t="shared" si="24"/>
        <v/>
      </c>
    </row>
    <row r="1420" spans="2:2" x14ac:dyDescent="0.2">
      <c r="B1420" t="str">
        <f t="shared" si="24"/>
        <v/>
      </c>
    </row>
    <row r="1421" spans="2:2" x14ac:dyDescent="0.2">
      <c r="B1421" t="str">
        <f t="shared" si="24"/>
        <v/>
      </c>
    </row>
    <row r="1422" spans="2:2" x14ac:dyDescent="0.2">
      <c r="B1422" t="str">
        <f t="shared" si="24"/>
        <v/>
      </c>
    </row>
    <row r="1423" spans="2:2" x14ac:dyDescent="0.2">
      <c r="B1423" t="str">
        <f t="shared" si="24"/>
        <v/>
      </c>
    </row>
    <row r="1424" spans="2:2" x14ac:dyDescent="0.2">
      <c r="B1424" t="str">
        <f t="shared" si="24"/>
        <v/>
      </c>
    </row>
    <row r="1425" spans="2:2" x14ac:dyDescent="0.2">
      <c r="B1425" t="str">
        <f t="shared" si="24"/>
        <v/>
      </c>
    </row>
    <row r="1426" spans="2:2" x14ac:dyDescent="0.2">
      <c r="B1426" t="str">
        <f t="shared" si="24"/>
        <v/>
      </c>
    </row>
    <row r="1427" spans="2:2" x14ac:dyDescent="0.2">
      <c r="B1427" t="str">
        <f t="shared" si="24"/>
        <v/>
      </c>
    </row>
    <row r="1428" spans="2:2" x14ac:dyDescent="0.2">
      <c r="B1428" t="str">
        <f t="shared" si="24"/>
        <v/>
      </c>
    </row>
    <row r="1429" spans="2:2" x14ac:dyDescent="0.2">
      <c r="B1429" t="str">
        <f t="shared" si="24"/>
        <v/>
      </c>
    </row>
    <row r="1430" spans="2:2" x14ac:dyDescent="0.2">
      <c r="B1430" t="str">
        <f t="shared" si="24"/>
        <v/>
      </c>
    </row>
    <row r="1431" spans="2:2" x14ac:dyDescent="0.2">
      <c r="B1431" t="str">
        <f t="shared" si="24"/>
        <v/>
      </c>
    </row>
    <row r="1432" spans="2:2" x14ac:dyDescent="0.2">
      <c r="B1432" t="str">
        <f t="shared" si="24"/>
        <v/>
      </c>
    </row>
    <row r="1433" spans="2:2" x14ac:dyDescent="0.2">
      <c r="B1433" t="str">
        <f t="shared" si="24"/>
        <v/>
      </c>
    </row>
    <row r="1434" spans="2:2" x14ac:dyDescent="0.2">
      <c r="B1434" t="str">
        <f t="shared" si="24"/>
        <v/>
      </c>
    </row>
    <row r="1435" spans="2:2" x14ac:dyDescent="0.2">
      <c r="B1435" t="str">
        <f t="shared" si="24"/>
        <v/>
      </c>
    </row>
    <row r="1436" spans="2:2" x14ac:dyDescent="0.2">
      <c r="B1436" t="str">
        <f t="shared" si="24"/>
        <v/>
      </c>
    </row>
    <row r="1437" spans="2:2" x14ac:dyDescent="0.2">
      <c r="B1437" t="str">
        <f t="shared" si="24"/>
        <v/>
      </c>
    </row>
    <row r="1438" spans="2:2" x14ac:dyDescent="0.2">
      <c r="B1438" t="str">
        <f t="shared" si="24"/>
        <v/>
      </c>
    </row>
    <row r="1439" spans="2:2" x14ac:dyDescent="0.2">
      <c r="B1439" t="str">
        <f t="shared" si="24"/>
        <v/>
      </c>
    </row>
    <row r="1440" spans="2:2" x14ac:dyDescent="0.2">
      <c r="B1440" t="str">
        <f t="shared" si="24"/>
        <v/>
      </c>
    </row>
    <row r="1441" spans="2:2" x14ac:dyDescent="0.2">
      <c r="B1441" t="str">
        <f t="shared" si="24"/>
        <v/>
      </c>
    </row>
    <row r="1442" spans="2:2" x14ac:dyDescent="0.2">
      <c r="B1442" t="str">
        <f t="shared" si="24"/>
        <v/>
      </c>
    </row>
    <row r="1443" spans="2:2" x14ac:dyDescent="0.2">
      <c r="B1443" t="str">
        <f t="shared" si="24"/>
        <v/>
      </c>
    </row>
    <row r="1444" spans="2:2" x14ac:dyDescent="0.2">
      <c r="B1444" t="str">
        <f t="shared" si="24"/>
        <v/>
      </c>
    </row>
    <row r="1445" spans="2:2" x14ac:dyDescent="0.2">
      <c r="B1445" t="str">
        <f t="shared" si="24"/>
        <v/>
      </c>
    </row>
    <row r="1446" spans="2:2" x14ac:dyDescent="0.2">
      <c r="B1446" t="str">
        <f t="shared" si="24"/>
        <v/>
      </c>
    </row>
    <row r="1447" spans="2:2" x14ac:dyDescent="0.2">
      <c r="B1447" t="str">
        <f t="shared" si="24"/>
        <v/>
      </c>
    </row>
    <row r="1448" spans="2:2" x14ac:dyDescent="0.2">
      <c r="B1448" t="str">
        <f t="shared" si="24"/>
        <v/>
      </c>
    </row>
    <row r="1449" spans="2:2" x14ac:dyDescent="0.2">
      <c r="B1449" t="str">
        <f t="shared" si="24"/>
        <v/>
      </c>
    </row>
    <row r="1450" spans="2:2" x14ac:dyDescent="0.2">
      <c r="B1450" t="str">
        <f t="shared" si="24"/>
        <v/>
      </c>
    </row>
    <row r="1451" spans="2:2" x14ac:dyDescent="0.2">
      <c r="B1451" t="str">
        <f t="shared" si="24"/>
        <v/>
      </c>
    </row>
    <row r="1452" spans="2:2" x14ac:dyDescent="0.2">
      <c r="B1452" t="str">
        <f t="shared" si="24"/>
        <v/>
      </c>
    </row>
    <row r="1453" spans="2:2" x14ac:dyDescent="0.2">
      <c r="B1453" t="str">
        <f t="shared" si="24"/>
        <v/>
      </c>
    </row>
    <row r="1454" spans="2:2" x14ac:dyDescent="0.2">
      <c r="B1454" t="str">
        <f t="shared" si="24"/>
        <v/>
      </c>
    </row>
    <row r="1455" spans="2:2" x14ac:dyDescent="0.2">
      <c r="B1455" t="str">
        <f t="shared" si="24"/>
        <v/>
      </c>
    </row>
    <row r="1456" spans="2:2" x14ac:dyDescent="0.2">
      <c r="B1456" t="str">
        <f t="shared" si="24"/>
        <v/>
      </c>
    </row>
    <row r="1457" spans="2:2" x14ac:dyDescent="0.2">
      <c r="B1457" t="str">
        <f t="shared" si="24"/>
        <v/>
      </c>
    </row>
    <row r="1458" spans="2:2" x14ac:dyDescent="0.2">
      <c r="B1458" t="str">
        <f t="shared" si="24"/>
        <v/>
      </c>
    </row>
    <row r="1459" spans="2:2" x14ac:dyDescent="0.2">
      <c r="B1459" t="str">
        <f t="shared" si="24"/>
        <v/>
      </c>
    </row>
    <row r="1460" spans="2:2" x14ac:dyDescent="0.2">
      <c r="B1460" t="str">
        <f t="shared" si="24"/>
        <v/>
      </c>
    </row>
    <row r="1461" spans="2:2" x14ac:dyDescent="0.2">
      <c r="B1461" t="str">
        <f t="shared" si="24"/>
        <v/>
      </c>
    </row>
    <row r="1462" spans="2:2" x14ac:dyDescent="0.2">
      <c r="B1462" t="str">
        <f t="shared" si="24"/>
        <v/>
      </c>
    </row>
    <row r="1463" spans="2:2" x14ac:dyDescent="0.2">
      <c r="B1463" t="str">
        <f t="shared" si="24"/>
        <v/>
      </c>
    </row>
    <row r="1464" spans="2:2" x14ac:dyDescent="0.2">
      <c r="B1464" t="str">
        <f t="shared" si="24"/>
        <v/>
      </c>
    </row>
    <row r="1465" spans="2:2" x14ac:dyDescent="0.2">
      <c r="B1465" t="str">
        <f t="shared" si="24"/>
        <v/>
      </c>
    </row>
    <row r="1466" spans="2:2" x14ac:dyDescent="0.2">
      <c r="B1466" t="str">
        <f t="shared" si="24"/>
        <v/>
      </c>
    </row>
    <row r="1467" spans="2:2" x14ac:dyDescent="0.2">
      <c r="B1467" t="str">
        <f t="shared" si="24"/>
        <v/>
      </c>
    </row>
    <row r="1468" spans="2:2" x14ac:dyDescent="0.2">
      <c r="B1468" t="str">
        <f t="shared" si="24"/>
        <v/>
      </c>
    </row>
    <row r="1469" spans="2:2" x14ac:dyDescent="0.2">
      <c r="B1469" t="str">
        <f t="shared" si="24"/>
        <v/>
      </c>
    </row>
    <row r="1470" spans="2:2" x14ac:dyDescent="0.2">
      <c r="B1470" t="str">
        <f t="shared" si="24"/>
        <v/>
      </c>
    </row>
    <row r="1471" spans="2:2" x14ac:dyDescent="0.2">
      <c r="B1471" t="str">
        <f t="shared" si="24"/>
        <v/>
      </c>
    </row>
    <row r="1472" spans="2:2" x14ac:dyDescent="0.2">
      <c r="B1472" t="str">
        <f t="shared" si="24"/>
        <v/>
      </c>
    </row>
    <row r="1473" spans="2:2" x14ac:dyDescent="0.2">
      <c r="B1473" t="str">
        <f t="shared" si="24"/>
        <v/>
      </c>
    </row>
    <row r="1474" spans="2:2" x14ac:dyDescent="0.2">
      <c r="B1474" t="str">
        <f t="shared" si="24"/>
        <v/>
      </c>
    </row>
    <row r="1475" spans="2:2" x14ac:dyDescent="0.2">
      <c r="B1475" t="str">
        <f t="shared" si="24"/>
        <v/>
      </c>
    </row>
    <row r="1476" spans="2:2" x14ac:dyDescent="0.2">
      <c r="B1476" t="str">
        <f t="shared" si="24"/>
        <v/>
      </c>
    </row>
    <row r="1477" spans="2:2" x14ac:dyDescent="0.2">
      <c r="B1477" t="str">
        <f t="shared" ref="B1477:B1540" si="25">D1477&amp;I1477</f>
        <v/>
      </c>
    </row>
    <row r="1478" spans="2:2" x14ac:dyDescent="0.2">
      <c r="B1478" t="str">
        <f t="shared" si="25"/>
        <v/>
      </c>
    </row>
    <row r="1479" spans="2:2" x14ac:dyDescent="0.2">
      <c r="B1479" t="str">
        <f t="shared" si="25"/>
        <v/>
      </c>
    </row>
    <row r="1480" spans="2:2" x14ac:dyDescent="0.2">
      <c r="B1480" t="str">
        <f t="shared" si="25"/>
        <v/>
      </c>
    </row>
    <row r="1481" spans="2:2" x14ac:dyDescent="0.2">
      <c r="B1481" t="str">
        <f t="shared" si="25"/>
        <v/>
      </c>
    </row>
    <row r="1482" spans="2:2" x14ac:dyDescent="0.2">
      <c r="B1482" t="str">
        <f t="shared" si="25"/>
        <v/>
      </c>
    </row>
    <row r="1483" spans="2:2" x14ac:dyDescent="0.2">
      <c r="B1483" t="str">
        <f t="shared" si="25"/>
        <v/>
      </c>
    </row>
    <row r="1484" spans="2:2" x14ac:dyDescent="0.2">
      <c r="B1484" t="str">
        <f t="shared" si="25"/>
        <v/>
      </c>
    </row>
    <row r="1485" spans="2:2" x14ac:dyDescent="0.2">
      <c r="B1485" t="str">
        <f t="shared" si="25"/>
        <v/>
      </c>
    </row>
    <row r="1486" spans="2:2" x14ac:dyDescent="0.2">
      <c r="B1486" t="str">
        <f t="shared" si="25"/>
        <v/>
      </c>
    </row>
    <row r="1487" spans="2:2" x14ac:dyDescent="0.2">
      <c r="B1487" t="str">
        <f t="shared" si="25"/>
        <v/>
      </c>
    </row>
    <row r="1488" spans="2:2" x14ac:dyDescent="0.2">
      <c r="B1488" t="str">
        <f t="shared" si="25"/>
        <v/>
      </c>
    </row>
    <row r="1489" spans="2:2" x14ac:dyDescent="0.2">
      <c r="B1489" t="str">
        <f t="shared" si="25"/>
        <v/>
      </c>
    </row>
    <row r="1490" spans="2:2" x14ac:dyDescent="0.2">
      <c r="B1490" t="str">
        <f t="shared" si="25"/>
        <v/>
      </c>
    </row>
    <row r="1491" spans="2:2" x14ac:dyDescent="0.2">
      <c r="B1491" t="str">
        <f t="shared" si="25"/>
        <v/>
      </c>
    </row>
    <row r="1492" spans="2:2" x14ac:dyDescent="0.2">
      <c r="B1492" t="str">
        <f t="shared" si="25"/>
        <v/>
      </c>
    </row>
    <row r="1493" spans="2:2" x14ac:dyDescent="0.2">
      <c r="B1493" t="str">
        <f t="shared" si="25"/>
        <v/>
      </c>
    </row>
    <row r="1494" spans="2:2" x14ac:dyDescent="0.2">
      <c r="B1494" t="str">
        <f t="shared" si="25"/>
        <v/>
      </c>
    </row>
    <row r="1495" spans="2:2" x14ac:dyDescent="0.2">
      <c r="B1495" t="str">
        <f t="shared" si="25"/>
        <v/>
      </c>
    </row>
    <row r="1496" spans="2:2" x14ac:dyDescent="0.2">
      <c r="B1496" t="str">
        <f t="shared" si="25"/>
        <v/>
      </c>
    </row>
    <row r="1497" spans="2:2" x14ac:dyDescent="0.2">
      <c r="B1497" t="str">
        <f t="shared" si="25"/>
        <v/>
      </c>
    </row>
    <row r="1498" spans="2:2" x14ac:dyDescent="0.2">
      <c r="B1498" t="str">
        <f t="shared" si="25"/>
        <v/>
      </c>
    </row>
    <row r="1499" spans="2:2" x14ac:dyDescent="0.2">
      <c r="B1499" t="str">
        <f t="shared" si="25"/>
        <v/>
      </c>
    </row>
    <row r="1500" spans="2:2" x14ac:dyDescent="0.2">
      <c r="B1500" t="str">
        <f t="shared" si="25"/>
        <v/>
      </c>
    </row>
    <row r="1501" spans="2:2" x14ac:dyDescent="0.2">
      <c r="B1501" t="str">
        <f t="shared" si="25"/>
        <v/>
      </c>
    </row>
    <row r="1502" spans="2:2" x14ac:dyDescent="0.2">
      <c r="B1502" t="str">
        <f t="shared" si="25"/>
        <v/>
      </c>
    </row>
    <row r="1503" spans="2:2" x14ac:dyDescent="0.2">
      <c r="B1503" t="str">
        <f t="shared" si="25"/>
        <v/>
      </c>
    </row>
    <row r="1504" spans="2:2" x14ac:dyDescent="0.2">
      <c r="B1504" t="str">
        <f t="shared" si="25"/>
        <v/>
      </c>
    </row>
    <row r="1505" spans="2:2" x14ac:dyDescent="0.2">
      <c r="B1505" t="str">
        <f t="shared" si="25"/>
        <v/>
      </c>
    </row>
    <row r="1506" spans="2:2" x14ac:dyDescent="0.2">
      <c r="B1506" t="str">
        <f t="shared" si="25"/>
        <v/>
      </c>
    </row>
    <row r="1507" spans="2:2" x14ac:dyDescent="0.2">
      <c r="B1507" t="str">
        <f t="shared" si="25"/>
        <v/>
      </c>
    </row>
    <row r="1508" spans="2:2" x14ac:dyDescent="0.2">
      <c r="B1508" t="str">
        <f t="shared" si="25"/>
        <v/>
      </c>
    </row>
    <row r="1509" spans="2:2" x14ac:dyDescent="0.2">
      <c r="B1509" t="str">
        <f t="shared" si="25"/>
        <v/>
      </c>
    </row>
    <row r="1510" spans="2:2" x14ac:dyDescent="0.2">
      <c r="B1510" t="str">
        <f t="shared" si="25"/>
        <v/>
      </c>
    </row>
    <row r="1511" spans="2:2" x14ac:dyDescent="0.2">
      <c r="B1511" t="str">
        <f t="shared" si="25"/>
        <v/>
      </c>
    </row>
    <row r="1512" spans="2:2" x14ac:dyDescent="0.2">
      <c r="B1512" t="str">
        <f t="shared" si="25"/>
        <v/>
      </c>
    </row>
    <row r="1513" spans="2:2" x14ac:dyDescent="0.2">
      <c r="B1513" t="str">
        <f t="shared" si="25"/>
        <v/>
      </c>
    </row>
    <row r="1514" spans="2:2" x14ac:dyDescent="0.2">
      <c r="B1514" t="str">
        <f t="shared" si="25"/>
        <v/>
      </c>
    </row>
    <row r="1515" spans="2:2" x14ac:dyDescent="0.2">
      <c r="B1515" t="str">
        <f t="shared" si="25"/>
        <v/>
      </c>
    </row>
    <row r="1516" spans="2:2" x14ac:dyDescent="0.2">
      <c r="B1516" t="str">
        <f t="shared" si="25"/>
        <v/>
      </c>
    </row>
    <row r="1517" spans="2:2" x14ac:dyDescent="0.2">
      <c r="B1517" t="str">
        <f t="shared" si="25"/>
        <v/>
      </c>
    </row>
    <row r="1518" spans="2:2" x14ac:dyDescent="0.2">
      <c r="B1518" t="str">
        <f t="shared" si="25"/>
        <v/>
      </c>
    </row>
    <row r="1519" spans="2:2" x14ac:dyDescent="0.2">
      <c r="B1519" t="str">
        <f t="shared" si="25"/>
        <v/>
      </c>
    </row>
    <row r="1520" spans="2:2" x14ac:dyDescent="0.2">
      <c r="B1520" t="str">
        <f t="shared" si="25"/>
        <v/>
      </c>
    </row>
    <row r="1521" spans="2:2" x14ac:dyDescent="0.2">
      <c r="B1521" t="str">
        <f t="shared" si="25"/>
        <v/>
      </c>
    </row>
    <row r="1522" spans="2:2" x14ac:dyDescent="0.2">
      <c r="B1522" t="str">
        <f t="shared" si="25"/>
        <v/>
      </c>
    </row>
    <row r="1523" spans="2:2" x14ac:dyDescent="0.2">
      <c r="B1523" t="str">
        <f t="shared" si="25"/>
        <v/>
      </c>
    </row>
    <row r="1524" spans="2:2" x14ac:dyDescent="0.2">
      <c r="B1524" t="str">
        <f t="shared" si="25"/>
        <v/>
      </c>
    </row>
    <row r="1525" spans="2:2" x14ac:dyDescent="0.2">
      <c r="B1525" t="str">
        <f t="shared" si="25"/>
        <v/>
      </c>
    </row>
    <row r="1526" spans="2:2" x14ac:dyDescent="0.2">
      <c r="B1526" t="str">
        <f t="shared" si="25"/>
        <v/>
      </c>
    </row>
    <row r="1527" spans="2:2" x14ac:dyDescent="0.2">
      <c r="B1527" t="str">
        <f t="shared" si="25"/>
        <v/>
      </c>
    </row>
    <row r="1528" spans="2:2" x14ac:dyDescent="0.2">
      <c r="B1528" t="str">
        <f t="shared" si="25"/>
        <v/>
      </c>
    </row>
    <row r="1529" spans="2:2" x14ac:dyDescent="0.2">
      <c r="B1529" t="str">
        <f t="shared" si="25"/>
        <v/>
      </c>
    </row>
    <row r="1530" spans="2:2" x14ac:dyDescent="0.2">
      <c r="B1530" t="str">
        <f t="shared" si="25"/>
        <v/>
      </c>
    </row>
    <row r="1531" spans="2:2" x14ac:dyDescent="0.2">
      <c r="B1531" t="str">
        <f t="shared" si="25"/>
        <v/>
      </c>
    </row>
    <row r="1532" spans="2:2" x14ac:dyDescent="0.2">
      <c r="B1532" t="str">
        <f t="shared" si="25"/>
        <v/>
      </c>
    </row>
    <row r="1533" spans="2:2" x14ac:dyDescent="0.2">
      <c r="B1533" t="str">
        <f t="shared" si="25"/>
        <v/>
      </c>
    </row>
    <row r="1534" spans="2:2" x14ac:dyDescent="0.2">
      <c r="B1534" t="str">
        <f t="shared" si="25"/>
        <v/>
      </c>
    </row>
    <row r="1535" spans="2:2" x14ac:dyDescent="0.2">
      <c r="B1535" t="str">
        <f t="shared" si="25"/>
        <v/>
      </c>
    </row>
    <row r="1536" spans="2:2" x14ac:dyDescent="0.2">
      <c r="B1536" t="str">
        <f t="shared" si="25"/>
        <v/>
      </c>
    </row>
    <row r="1537" spans="2:2" x14ac:dyDescent="0.2">
      <c r="B1537" t="str">
        <f t="shared" si="25"/>
        <v/>
      </c>
    </row>
    <row r="1538" spans="2:2" x14ac:dyDescent="0.2">
      <c r="B1538" t="str">
        <f t="shared" si="25"/>
        <v/>
      </c>
    </row>
    <row r="1539" spans="2:2" x14ac:dyDescent="0.2">
      <c r="B1539" t="str">
        <f t="shared" si="25"/>
        <v/>
      </c>
    </row>
    <row r="1540" spans="2:2" x14ac:dyDescent="0.2">
      <c r="B1540" t="str">
        <f t="shared" si="25"/>
        <v/>
      </c>
    </row>
    <row r="1541" spans="2:2" x14ac:dyDescent="0.2">
      <c r="B1541" t="str">
        <f t="shared" ref="B1541:B1604" si="26">D1541&amp;I1541</f>
        <v/>
      </c>
    </row>
    <row r="1542" spans="2:2" x14ac:dyDescent="0.2">
      <c r="B1542" t="str">
        <f t="shared" si="26"/>
        <v/>
      </c>
    </row>
    <row r="1543" spans="2:2" x14ac:dyDescent="0.2">
      <c r="B1543" t="str">
        <f t="shared" si="26"/>
        <v/>
      </c>
    </row>
    <row r="1544" spans="2:2" x14ac:dyDescent="0.2">
      <c r="B1544" t="str">
        <f t="shared" si="26"/>
        <v/>
      </c>
    </row>
    <row r="1545" spans="2:2" x14ac:dyDescent="0.2">
      <c r="B1545" t="str">
        <f t="shared" si="26"/>
        <v/>
      </c>
    </row>
    <row r="1546" spans="2:2" x14ac:dyDescent="0.2">
      <c r="B1546" t="str">
        <f t="shared" si="26"/>
        <v/>
      </c>
    </row>
    <row r="1547" spans="2:2" x14ac:dyDescent="0.2">
      <c r="B1547" t="str">
        <f t="shared" si="26"/>
        <v/>
      </c>
    </row>
    <row r="1548" spans="2:2" x14ac:dyDescent="0.2">
      <c r="B1548" t="str">
        <f t="shared" si="26"/>
        <v/>
      </c>
    </row>
    <row r="1549" spans="2:2" x14ac:dyDescent="0.2">
      <c r="B1549" t="str">
        <f t="shared" si="26"/>
        <v/>
      </c>
    </row>
    <row r="1550" spans="2:2" x14ac:dyDescent="0.2">
      <c r="B1550" t="str">
        <f t="shared" si="26"/>
        <v/>
      </c>
    </row>
    <row r="1551" spans="2:2" x14ac:dyDescent="0.2">
      <c r="B1551" t="str">
        <f t="shared" si="26"/>
        <v/>
      </c>
    </row>
    <row r="1552" spans="2:2" x14ac:dyDescent="0.2">
      <c r="B1552" t="str">
        <f t="shared" si="26"/>
        <v/>
      </c>
    </row>
    <row r="1553" spans="2:2" x14ac:dyDescent="0.2">
      <c r="B1553" t="str">
        <f t="shared" si="26"/>
        <v/>
      </c>
    </row>
    <row r="1554" spans="2:2" x14ac:dyDescent="0.2">
      <c r="B1554" t="str">
        <f t="shared" si="26"/>
        <v/>
      </c>
    </row>
    <row r="1555" spans="2:2" x14ac:dyDescent="0.2">
      <c r="B1555" t="str">
        <f t="shared" si="26"/>
        <v/>
      </c>
    </row>
    <row r="1556" spans="2:2" x14ac:dyDescent="0.2">
      <c r="B1556" t="str">
        <f t="shared" si="26"/>
        <v/>
      </c>
    </row>
    <row r="1557" spans="2:2" x14ac:dyDescent="0.2">
      <c r="B1557" t="str">
        <f t="shared" si="26"/>
        <v/>
      </c>
    </row>
    <row r="1558" spans="2:2" x14ac:dyDescent="0.2">
      <c r="B1558" t="str">
        <f t="shared" si="26"/>
        <v/>
      </c>
    </row>
    <row r="1559" spans="2:2" x14ac:dyDescent="0.2">
      <c r="B1559" t="str">
        <f t="shared" si="26"/>
        <v/>
      </c>
    </row>
    <row r="1560" spans="2:2" x14ac:dyDescent="0.2">
      <c r="B1560" t="str">
        <f t="shared" si="26"/>
        <v/>
      </c>
    </row>
    <row r="1561" spans="2:2" x14ac:dyDescent="0.2">
      <c r="B1561" t="str">
        <f t="shared" si="26"/>
        <v/>
      </c>
    </row>
    <row r="1562" spans="2:2" x14ac:dyDescent="0.2">
      <c r="B1562" t="str">
        <f t="shared" si="26"/>
        <v/>
      </c>
    </row>
    <row r="1563" spans="2:2" x14ac:dyDescent="0.2">
      <c r="B1563" t="str">
        <f t="shared" si="26"/>
        <v/>
      </c>
    </row>
    <row r="1564" spans="2:2" x14ac:dyDescent="0.2">
      <c r="B1564" t="str">
        <f t="shared" si="26"/>
        <v/>
      </c>
    </row>
    <row r="1565" spans="2:2" x14ac:dyDescent="0.2">
      <c r="B1565" t="str">
        <f t="shared" si="26"/>
        <v/>
      </c>
    </row>
    <row r="1566" spans="2:2" x14ac:dyDescent="0.2">
      <c r="B1566" t="str">
        <f t="shared" si="26"/>
        <v/>
      </c>
    </row>
    <row r="1567" spans="2:2" x14ac:dyDescent="0.2">
      <c r="B1567" t="str">
        <f t="shared" si="26"/>
        <v/>
      </c>
    </row>
    <row r="1568" spans="2:2" x14ac:dyDescent="0.2">
      <c r="B1568" t="str">
        <f t="shared" si="26"/>
        <v/>
      </c>
    </row>
    <row r="1569" spans="2:2" x14ac:dyDescent="0.2">
      <c r="B1569" t="str">
        <f t="shared" si="26"/>
        <v/>
      </c>
    </row>
    <row r="1570" spans="2:2" x14ac:dyDescent="0.2">
      <c r="B1570" t="str">
        <f t="shared" si="26"/>
        <v/>
      </c>
    </row>
    <row r="1571" spans="2:2" x14ac:dyDescent="0.2">
      <c r="B1571" t="str">
        <f t="shared" si="26"/>
        <v/>
      </c>
    </row>
    <row r="1572" spans="2:2" x14ac:dyDescent="0.2">
      <c r="B1572" t="str">
        <f t="shared" si="26"/>
        <v/>
      </c>
    </row>
    <row r="1573" spans="2:2" x14ac:dyDescent="0.2">
      <c r="B1573" t="str">
        <f t="shared" si="26"/>
        <v/>
      </c>
    </row>
    <row r="1574" spans="2:2" x14ac:dyDescent="0.2">
      <c r="B1574" t="str">
        <f t="shared" si="26"/>
        <v/>
      </c>
    </row>
    <row r="1575" spans="2:2" x14ac:dyDescent="0.2">
      <c r="B1575" t="str">
        <f t="shared" si="26"/>
        <v/>
      </c>
    </row>
    <row r="1576" spans="2:2" x14ac:dyDescent="0.2">
      <c r="B1576" t="str">
        <f t="shared" si="26"/>
        <v/>
      </c>
    </row>
    <row r="1577" spans="2:2" x14ac:dyDescent="0.2">
      <c r="B1577" t="str">
        <f t="shared" si="26"/>
        <v/>
      </c>
    </row>
    <row r="1578" spans="2:2" x14ac:dyDescent="0.2">
      <c r="B1578" t="str">
        <f t="shared" si="26"/>
        <v/>
      </c>
    </row>
    <row r="1579" spans="2:2" x14ac:dyDescent="0.2">
      <c r="B1579" t="str">
        <f t="shared" si="26"/>
        <v/>
      </c>
    </row>
    <row r="1580" spans="2:2" x14ac:dyDescent="0.2">
      <c r="B1580" t="str">
        <f t="shared" si="26"/>
        <v/>
      </c>
    </row>
    <row r="1581" spans="2:2" x14ac:dyDescent="0.2">
      <c r="B1581" t="str">
        <f t="shared" si="26"/>
        <v/>
      </c>
    </row>
    <row r="1582" spans="2:2" x14ac:dyDescent="0.2">
      <c r="B1582" t="str">
        <f t="shared" si="26"/>
        <v/>
      </c>
    </row>
    <row r="1583" spans="2:2" x14ac:dyDescent="0.2">
      <c r="B1583" t="str">
        <f t="shared" si="26"/>
        <v/>
      </c>
    </row>
    <row r="1584" spans="2:2" x14ac:dyDescent="0.2">
      <c r="B1584" t="str">
        <f t="shared" si="26"/>
        <v/>
      </c>
    </row>
    <row r="1585" spans="2:2" x14ac:dyDescent="0.2">
      <c r="B1585" t="str">
        <f t="shared" si="26"/>
        <v/>
      </c>
    </row>
    <row r="1586" spans="2:2" x14ac:dyDescent="0.2">
      <c r="B1586" t="str">
        <f t="shared" si="26"/>
        <v/>
      </c>
    </row>
    <row r="1587" spans="2:2" x14ac:dyDescent="0.2">
      <c r="B1587" t="str">
        <f t="shared" si="26"/>
        <v/>
      </c>
    </row>
    <row r="1588" spans="2:2" x14ac:dyDescent="0.2">
      <c r="B1588" t="str">
        <f t="shared" si="26"/>
        <v/>
      </c>
    </row>
    <row r="1589" spans="2:2" x14ac:dyDescent="0.2">
      <c r="B1589" t="str">
        <f t="shared" si="26"/>
        <v/>
      </c>
    </row>
    <row r="1590" spans="2:2" x14ac:dyDescent="0.2">
      <c r="B1590" t="str">
        <f t="shared" si="26"/>
        <v/>
      </c>
    </row>
    <row r="1591" spans="2:2" x14ac:dyDescent="0.2">
      <c r="B1591" t="str">
        <f t="shared" si="26"/>
        <v/>
      </c>
    </row>
    <row r="1592" spans="2:2" x14ac:dyDescent="0.2">
      <c r="B1592" t="str">
        <f t="shared" si="26"/>
        <v/>
      </c>
    </row>
    <row r="1593" spans="2:2" x14ac:dyDescent="0.2">
      <c r="B1593" t="str">
        <f t="shared" si="26"/>
        <v/>
      </c>
    </row>
    <row r="1594" spans="2:2" x14ac:dyDescent="0.2">
      <c r="B1594" t="str">
        <f t="shared" si="26"/>
        <v/>
      </c>
    </row>
    <row r="1595" spans="2:2" x14ac:dyDescent="0.2">
      <c r="B1595" t="str">
        <f t="shared" si="26"/>
        <v/>
      </c>
    </row>
    <row r="1596" spans="2:2" x14ac:dyDescent="0.2">
      <c r="B1596" t="str">
        <f t="shared" si="26"/>
        <v/>
      </c>
    </row>
    <row r="1597" spans="2:2" x14ac:dyDescent="0.2">
      <c r="B1597" t="str">
        <f t="shared" si="26"/>
        <v/>
      </c>
    </row>
    <row r="1598" spans="2:2" x14ac:dyDescent="0.2">
      <c r="B1598" t="str">
        <f t="shared" si="26"/>
        <v/>
      </c>
    </row>
    <row r="1599" spans="2:2" x14ac:dyDescent="0.2">
      <c r="B1599" t="str">
        <f t="shared" si="26"/>
        <v/>
      </c>
    </row>
    <row r="1600" spans="2:2" x14ac:dyDescent="0.2">
      <c r="B1600" t="str">
        <f t="shared" si="26"/>
        <v/>
      </c>
    </row>
    <row r="1601" spans="2:2" x14ac:dyDescent="0.2">
      <c r="B1601" t="str">
        <f t="shared" si="26"/>
        <v/>
      </c>
    </row>
    <row r="1602" spans="2:2" x14ac:dyDescent="0.2">
      <c r="B1602" t="str">
        <f t="shared" si="26"/>
        <v/>
      </c>
    </row>
    <row r="1603" spans="2:2" x14ac:dyDescent="0.2">
      <c r="B1603" t="str">
        <f t="shared" si="26"/>
        <v/>
      </c>
    </row>
    <row r="1604" spans="2:2" x14ac:dyDescent="0.2">
      <c r="B1604" t="str">
        <f t="shared" si="26"/>
        <v/>
      </c>
    </row>
    <row r="1605" spans="2:2" x14ac:dyDescent="0.2">
      <c r="B1605" t="str">
        <f t="shared" ref="B1605:B1668" si="27">D1605&amp;I1605</f>
        <v/>
      </c>
    </row>
    <row r="1606" spans="2:2" x14ac:dyDescent="0.2">
      <c r="B1606" t="str">
        <f t="shared" si="27"/>
        <v/>
      </c>
    </row>
    <row r="1607" spans="2:2" x14ac:dyDescent="0.2">
      <c r="B1607" t="str">
        <f t="shared" si="27"/>
        <v/>
      </c>
    </row>
    <row r="1608" spans="2:2" x14ac:dyDescent="0.2">
      <c r="B1608" t="str">
        <f t="shared" si="27"/>
        <v/>
      </c>
    </row>
    <row r="1609" spans="2:2" x14ac:dyDescent="0.2">
      <c r="B1609" t="str">
        <f t="shared" si="27"/>
        <v/>
      </c>
    </row>
    <row r="1610" spans="2:2" x14ac:dyDescent="0.2">
      <c r="B1610" t="str">
        <f t="shared" si="27"/>
        <v/>
      </c>
    </row>
    <row r="1611" spans="2:2" x14ac:dyDescent="0.2">
      <c r="B1611" t="str">
        <f t="shared" si="27"/>
        <v/>
      </c>
    </row>
    <row r="1612" spans="2:2" x14ac:dyDescent="0.2">
      <c r="B1612" t="str">
        <f t="shared" si="27"/>
        <v/>
      </c>
    </row>
    <row r="1613" spans="2:2" x14ac:dyDescent="0.2">
      <c r="B1613" t="str">
        <f t="shared" si="27"/>
        <v/>
      </c>
    </row>
    <row r="1614" spans="2:2" x14ac:dyDescent="0.2">
      <c r="B1614" t="str">
        <f t="shared" si="27"/>
        <v/>
      </c>
    </row>
    <row r="1615" spans="2:2" x14ac:dyDescent="0.2">
      <c r="B1615" t="str">
        <f t="shared" si="27"/>
        <v/>
      </c>
    </row>
    <row r="1616" spans="2:2" x14ac:dyDescent="0.2">
      <c r="B1616" t="str">
        <f t="shared" si="27"/>
        <v/>
      </c>
    </row>
    <row r="1617" spans="2:2" x14ac:dyDescent="0.2">
      <c r="B1617" t="str">
        <f t="shared" si="27"/>
        <v/>
      </c>
    </row>
    <row r="1618" spans="2:2" x14ac:dyDescent="0.2">
      <c r="B1618" t="str">
        <f t="shared" si="27"/>
        <v/>
      </c>
    </row>
    <row r="1619" spans="2:2" x14ac:dyDescent="0.2">
      <c r="B1619" t="str">
        <f t="shared" si="27"/>
        <v/>
      </c>
    </row>
    <row r="1620" spans="2:2" x14ac:dyDescent="0.2">
      <c r="B1620" t="str">
        <f t="shared" si="27"/>
        <v/>
      </c>
    </row>
    <row r="1621" spans="2:2" x14ac:dyDescent="0.2">
      <c r="B1621" t="str">
        <f t="shared" si="27"/>
        <v/>
      </c>
    </row>
    <row r="1622" spans="2:2" x14ac:dyDescent="0.2">
      <c r="B1622" t="str">
        <f t="shared" si="27"/>
        <v/>
      </c>
    </row>
    <row r="1623" spans="2:2" x14ac:dyDescent="0.2">
      <c r="B1623" t="str">
        <f t="shared" si="27"/>
        <v/>
      </c>
    </row>
    <row r="1624" spans="2:2" x14ac:dyDescent="0.2">
      <c r="B1624" t="str">
        <f t="shared" si="27"/>
        <v/>
      </c>
    </row>
    <row r="1625" spans="2:2" x14ac:dyDescent="0.2">
      <c r="B1625" t="str">
        <f t="shared" si="27"/>
        <v/>
      </c>
    </row>
    <row r="1626" spans="2:2" x14ac:dyDescent="0.2">
      <c r="B1626" t="str">
        <f t="shared" si="27"/>
        <v/>
      </c>
    </row>
    <row r="1627" spans="2:2" x14ac:dyDescent="0.2">
      <c r="B1627" t="str">
        <f t="shared" si="27"/>
        <v/>
      </c>
    </row>
    <row r="1628" spans="2:2" x14ac:dyDescent="0.2">
      <c r="B1628" t="str">
        <f t="shared" si="27"/>
        <v/>
      </c>
    </row>
    <row r="1629" spans="2:2" x14ac:dyDescent="0.2">
      <c r="B1629" t="str">
        <f t="shared" si="27"/>
        <v/>
      </c>
    </row>
    <row r="1630" spans="2:2" x14ac:dyDescent="0.2">
      <c r="B1630" t="str">
        <f t="shared" si="27"/>
        <v/>
      </c>
    </row>
    <row r="1631" spans="2:2" x14ac:dyDescent="0.2">
      <c r="B1631" t="str">
        <f t="shared" si="27"/>
        <v/>
      </c>
    </row>
    <row r="1632" spans="2:2" x14ac:dyDescent="0.2">
      <c r="B1632" t="str">
        <f t="shared" si="27"/>
        <v/>
      </c>
    </row>
    <row r="1633" spans="2:2" x14ac:dyDescent="0.2">
      <c r="B1633" t="str">
        <f t="shared" si="27"/>
        <v/>
      </c>
    </row>
    <row r="1634" spans="2:2" x14ac:dyDescent="0.2">
      <c r="B1634" t="str">
        <f t="shared" si="27"/>
        <v/>
      </c>
    </row>
    <row r="1635" spans="2:2" x14ac:dyDescent="0.2">
      <c r="B1635" t="str">
        <f t="shared" si="27"/>
        <v/>
      </c>
    </row>
    <row r="1636" spans="2:2" x14ac:dyDescent="0.2">
      <c r="B1636" t="str">
        <f t="shared" si="27"/>
        <v/>
      </c>
    </row>
    <row r="1637" spans="2:2" x14ac:dyDescent="0.2">
      <c r="B1637" t="str">
        <f t="shared" si="27"/>
        <v/>
      </c>
    </row>
    <row r="1638" spans="2:2" x14ac:dyDescent="0.2">
      <c r="B1638" t="str">
        <f t="shared" si="27"/>
        <v/>
      </c>
    </row>
    <row r="1639" spans="2:2" x14ac:dyDescent="0.2">
      <c r="B1639" t="str">
        <f t="shared" si="27"/>
        <v/>
      </c>
    </row>
    <row r="1640" spans="2:2" x14ac:dyDescent="0.2">
      <c r="B1640" t="str">
        <f t="shared" si="27"/>
        <v/>
      </c>
    </row>
    <row r="1641" spans="2:2" x14ac:dyDescent="0.2">
      <c r="B1641" t="str">
        <f t="shared" si="27"/>
        <v/>
      </c>
    </row>
    <row r="1642" spans="2:2" x14ac:dyDescent="0.2">
      <c r="B1642" t="str">
        <f t="shared" si="27"/>
        <v/>
      </c>
    </row>
    <row r="1643" spans="2:2" x14ac:dyDescent="0.2">
      <c r="B1643" t="str">
        <f t="shared" si="27"/>
        <v/>
      </c>
    </row>
    <row r="1644" spans="2:2" x14ac:dyDescent="0.2">
      <c r="B1644" t="str">
        <f t="shared" si="27"/>
        <v/>
      </c>
    </row>
    <row r="1645" spans="2:2" x14ac:dyDescent="0.2">
      <c r="B1645" t="str">
        <f t="shared" si="27"/>
        <v/>
      </c>
    </row>
    <row r="1646" spans="2:2" x14ac:dyDescent="0.2">
      <c r="B1646" t="str">
        <f t="shared" si="27"/>
        <v/>
      </c>
    </row>
    <row r="1647" spans="2:2" x14ac:dyDescent="0.2">
      <c r="B1647" t="str">
        <f t="shared" si="27"/>
        <v/>
      </c>
    </row>
    <row r="1648" spans="2:2" x14ac:dyDescent="0.2">
      <c r="B1648" t="str">
        <f t="shared" si="27"/>
        <v/>
      </c>
    </row>
    <row r="1649" spans="2:2" x14ac:dyDescent="0.2">
      <c r="B1649" t="str">
        <f t="shared" si="27"/>
        <v/>
      </c>
    </row>
    <row r="1650" spans="2:2" x14ac:dyDescent="0.2">
      <c r="B1650" t="str">
        <f t="shared" si="27"/>
        <v/>
      </c>
    </row>
    <row r="1651" spans="2:2" x14ac:dyDescent="0.2">
      <c r="B1651" t="str">
        <f t="shared" si="27"/>
        <v/>
      </c>
    </row>
    <row r="1652" spans="2:2" x14ac:dyDescent="0.2">
      <c r="B1652" t="str">
        <f t="shared" si="27"/>
        <v/>
      </c>
    </row>
    <row r="1653" spans="2:2" x14ac:dyDescent="0.2">
      <c r="B1653" t="str">
        <f t="shared" si="27"/>
        <v/>
      </c>
    </row>
    <row r="1654" spans="2:2" x14ac:dyDescent="0.2">
      <c r="B1654" t="str">
        <f t="shared" si="27"/>
        <v/>
      </c>
    </row>
    <row r="1655" spans="2:2" x14ac:dyDescent="0.2">
      <c r="B1655" t="str">
        <f t="shared" si="27"/>
        <v/>
      </c>
    </row>
    <row r="1656" spans="2:2" x14ac:dyDescent="0.2">
      <c r="B1656" t="str">
        <f t="shared" si="27"/>
        <v/>
      </c>
    </row>
    <row r="1657" spans="2:2" x14ac:dyDescent="0.2">
      <c r="B1657" t="str">
        <f t="shared" si="27"/>
        <v/>
      </c>
    </row>
    <row r="1658" spans="2:2" x14ac:dyDescent="0.2">
      <c r="B1658" t="str">
        <f t="shared" si="27"/>
        <v/>
      </c>
    </row>
    <row r="1659" spans="2:2" x14ac:dyDescent="0.2">
      <c r="B1659" t="str">
        <f t="shared" si="27"/>
        <v/>
      </c>
    </row>
    <row r="1660" spans="2:2" x14ac:dyDescent="0.2">
      <c r="B1660" t="str">
        <f t="shared" si="27"/>
        <v/>
      </c>
    </row>
    <row r="1661" spans="2:2" x14ac:dyDescent="0.2">
      <c r="B1661" t="str">
        <f t="shared" si="27"/>
        <v/>
      </c>
    </row>
    <row r="1662" spans="2:2" x14ac:dyDescent="0.2">
      <c r="B1662" t="str">
        <f t="shared" si="27"/>
        <v/>
      </c>
    </row>
    <row r="1663" spans="2:2" x14ac:dyDescent="0.2">
      <c r="B1663" t="str">
        <f t="shared" si="27"/>
        <v/>
      </c>
    </row>
    <row r="1664" spans="2:2" x14ac:dyDescent="0.2">
      <c r="B1664" t="str">
        <f t="shared" si="27"/>
        <v/>
      </c>
    </row>
    <row r="1665" spans="2:2" x14ac:dyDescent="0.2">
      <c r="B1665" t="str">
        <f t="shared" si="27"/>
        <v/>
      </c>
    </row>
    <row r="1666" spans="2:2" x14ac:dyDescent="0.2">
      <c r="B1666" t="str">
        <f t="shared" si="27"/>
        <v/>
      </c>
    </row>
    <row r="1667" spans="2:2" x14ac:dyDescent="0.2">
      <c r="B1667" t="str">
        <f t="shared" si="27"/>
        <v/>
      </c>
    </row>
    <row r="1668" spans="2:2" x14ac:dyDescent="0.2">
      <c r="B1668" t="str">
        <f t="shared" si="27"/>
        <v/>
      </c>
    </row>
    <row r="1669" spans="2:2" x14ac:dyDescent="0.2">
      <c r="B1669" t="str">
        <f t="shared" ref="B1669:B1732" si="28">D1669&amp;I1669</f>
        <v/>
      </c>
    </row>
    <row r="1670" spans="2:2" x14ac:dyDescent="0.2">
      <c r="B1670" t="str">
        <f t="shared" si="28"/>
        <v/>
      </c>
    </row>
    <row r="1671" spans="2:2" x14ac:dyDescent="0.2">
      <c r="B1671" t="str">
        <f t="shared" si="28"/>
        <v/>
      </c>
    </row>
    <row r="1672" spans="2:2" x14ac:dyDescent="0.2">
      <c r="B1672" t="str">
        <f t="shared" si="28"/>
        <v/>
      </c>
    </row>
    <row r="1673" spans="2:2" x14ac:dyDescent="0.2">
      <c r="B1673" t="str">
        <f t="shared" si="28"/>
        <v/>
      </c>
    </row>
    <row r="1674" spans="2:2" x14ac:dyDescent="0.2">
      <c r="B1674" t="str">
        <f t="shared" si="28"/>
        <v/>
      </c>
    </row>
    <row r="1675" spans="2:2" x14ac:dyDescent="0.2">
      <c r="B1675" t="str">
        <f t="shared" si="28"/>
        <v/>
      </c>
    </row>
    <row r="1676" spans="2:2" x14ac:dyDescent="0.2">
      <c r="B1676" t="str">
        <f t="shared" si="28"/>
        <v/>
      </c>
    </row>
    <row r="1677" spans="2:2" x14ac:dyDescent="0.2">
      <c r="B1677" t="str">
        <f t="shared" si="28"/>
        <v/>
      </c>
    </row>
    <row r="1678" spans="2:2" x14ac:dyDescent="0.2">
      <c r="B1678" t="str">
        <f t="shared" si="28"/>
        <v/>
      </c>
    </row>
    <row r="1679" spans="2:2" x14ac:dyDescent="0.2">
      <c r="B1679" t="str">
        <f t="shared" si="28"/>
        <v/>
      </c>
    </row>
    <row r="1680" spans="2:2" x14ac:dyDescent="0.2">
      <c r="B1680" t="str">
        <f t="shared" si="28"/>
        <v/>
      </c>
    </row>
    <row r="1681" spans="2:2" x14ac:dyDescent="0.2">
      <c r="B1681" t="str">
        <f t="shared" si="28"/>
        <v/>
      </c>
    </row>
    <row r="1682" spans="2:2" x14ac:dyDescent="0.2">
      <c r="B1682" t="str">
        <f t="shared" si="28"/>
        <v/>
      </c>
    </row>
    <row r="1683" spans="2:2" x14ac:dyDescent="0.2">
      <c r="B1683" t="str">
        <f t="shared" si="28"/>
        <v/>
      </c>
    </row>
    <row r="1684" spans="2:2" x14ac:dyDescent="0.2">
      <c r="B1684" t="str">
        <f t="shared" si="28"/>
        <v/>
      </c>
    </row>
    <row r="1685" spans="2:2" x14ac:dyDescent="0.2">
      <c r="B1685" t="str">
        <f t="shared" si="28"/>
        <v/>
      </c>
    </row>
    <row r="1686" spans="2:2" x14ac:dyDescent="0.2">
      <c r="B1686" t="str">
        <f t="shared" si="28"/>
        <v/>
      </c>
    </row>
    <row r="1687" spans="2:2" x14ac:dyDescent="0.2">
      <c r="B1687" t="str">
        <f t="shared" si="28"/>
        <v/>
      </c>
    </row>
    <row r="1688" spans="2:2" x14ac:dyDescent="0.2">
      <c r="B1688" t="str">
        <f t="shared" si="28"/>
        <v/>
      </c>
    </row>
    <row r="1689" spans="2:2" x14ac:dyDescent="0.2">
      <c r="B1689" t="str">
        <f t="shared" si="28"/>
        <v/>
      </c>
    </row>
    <row r="1690" spans="2:2" x14ac:dyDescent="0.2">
      <c r="B1690" t="str">
        <f t="shared" si="28"/>
        <v/>
      </c>
    </row>
    <row r="1691" spans="2:2" x14ac:dyDescent="0.2">
      <c r="B1691" t="str">
        <f t="shared" si="28"/>
        <v/>
      </c>
    </row>
    <row r="1692" spans="2:2" x14ac:dyDescent="0.2">
      <c r="B1692" t="str">
        <f t="shared" si="28"/>
        <v/>
      </c>
    </row>
    <row r="1693" spans="2:2" x14ac:dyDescent="0.2">
      <c r="B1693" t="str">
        <f t="shared" si="28"/>
        <v/>
      </c>
    </row>
    <row r="1694" spans="2:2" x14ac:dyDescent="0.2">
      <c r="B1694" t="str">
        <f t="shared" si="28"/>
        <v/>
      </c>
    </row>
    <row r="1695" spans="2:2" x14ac:dyDescent="0.2">
      <c r="B1695" t="str">
        <f t="shared" si="28"/>
        <v/>
      </c>
    </row>
    <row r="1696" spans="2:2" x14ac:dyDescent="0.2">
      <c r="B1696" t="str">
        <f t="shared" si="28"/>
        <v/>
      </c>
    </row>
    <row r="1697" spans="2:2" x14ac:dyDescent="0.2">
      <c r="B1697" t="str">
        <f t="shared" si="28"/>
        <v/>
      </c>
    </row>
    <row r="1698" spans="2:2" x14ac:dyDescent="0.2">
      <c r="B1698" t="str">
        <f t="shared" si="28"/>
        <v/>
      </c>
    </row>
    <row r="1699" spans="2:2" x14ac:dyDescent="0.2">
      <c r="B1699" t="str">
        <f t="shared" si="28"/>
        <v/>
      </c>
    </row>
    <row r="1700" spans="2:2" x14ac:dyDescent="0.2">
      <c r="B1700" t="str">
        <f t="shared" si="28"/>
        <v/>
      </c>
    </row>
    <row r="1701" spans="2:2" x14ac:dyDescent="0.2">
      <c r="B1701" t="str">
        <f t="shared" si="28"/>
        <v/>
      </c>
    </row>
    <row r="1702" spans="2:2" x14ac:dyDescent="0.2">
      <c r="B1702" t="str">
        <f t="shared" si="28"/>
        <v/>
      </c>
    </row>
    <row r="1703" spans="2:2" x14ac:dyDescent="0.2">
      <c r="B1703" t="str">
        <f t="shared" si="28"/>
        <v/>
      </c>
    </row>
    <row r="1704" spans="2:2" x14ac:dyDescent="0.2">
      <c r="B1704" t="str">
        <f t="shared" si="28"/>
        <v/>
      </c>
    </row>
    <row r="1705" spans="2:2" x14ac:dyDescent="0.2">
      <c r="B1705" t="str">
        <f t="shared" si="28"/>
        <v/>
      </c>
    </row>
    <row r="1706" spans="2:2" x14ac:dyDescent="0.2">
      <c r="B1706" t="str">
        <f t="shared" si="28"/>
        <v/>
      </c>
    </row>
    <row r="1707" spans="2:2" x14ac:dyDescent="0.2">
      <c r="B1707" t="str">
        <f t="shared" si="28"/>
        <v/>
      </c>
    </row>
    <row r="1708" spans="2:2" x14ac:dyDescent="0.2">
      <c r="B1708" t="str">
        <f t="shared" si="28"/>
        <v/>
      </c>
    </row>
    <row r="1709" spans="2:2" x14ac:dyDescent="0.2">
      <c r="B1709" t="str">
        <f t="shared" si="28"/>
        <v/>
      </c>
    </row>
    <row r="1710" spans="2:2" x14ac:dyDescent="0.2">
      <c r="B1710" t="str">
        <f t="shared" si="28"/>
        <v/>
      </c>
    </row>
    <row r="1711" spans="2:2" x14ac:dyDescent="0.2">
      <c r="B1711" t="str">
        <f t="shared" si="28"/>
        <v/>
      </c>
    </row>
    <row r="1712" spans="2:2" x14ac:dyDescent="0.2">
      <c r="B1712" t="str">
        <f t="shared" si="28"/>
        <v/>
      </c>
    </row>
    <row r="1713" spans="2:2" x14ac:dyDescent="0.2">
      <c r="B1713" t="str">
        <f t="shared" si="28"/>
        <v/>
      </c>
    </row>
    <row r="1714" spans="2:2" x14ac:dyDescent="0.2">
      <c r="B1714" t="str">
        <f t="shared" si="28"/>
        <v/>
      </c>
    </row>
    <row r="1715" spans="2:2" x14ac:dyDescent="0.2">
      <c r="B1715" t="str">
        <f t="shared" si="28"/>
        <v/>
      </c>
    </row>
    <row r="1716" spans="2:2" x14ac:dyDescent="0.2">
      <c r="B1716" t="str">
        <f t="shared" si="28"/>
        <v/>
      </c>
    </row>
    <row r="1717" spans="2:2" x14ac:dyDescent="0.2">
      <c r="B1717" t="str">
        <f t="shared" si="28"/>
        <v/>
      </c>
    </row>
    <row r="1718" spans="2:2" x14ac:dyDescent="0.2">
      <c r="B1718" t="str">
        <f t="shared" si="28"/>
        <v/>
      </c>
    </row>
    <row r="1719" spans="2:2" x14ac:dyDescent="0.2">
      <c r="B1719" t="str">
        <f t="shared" si="28"/>
        <v/>
      </c>
    </row>
    <row r="1720" spans="2:2" x14ac:dyDescent="0.2">
      <c r="B1720" t="str">
        <f t="shared" si="28"/>
        <v/>
      </c>
    </row>
    <row r="1721" spans="2:2" x14ac:dyDescent="0.2">
      <c r="B1721" t="str">
        <f t="shared" si="28"/>
        <v/>
      </c>
    </row>
    <row r="1722" spans="2:2" x14ac:dyDescent="0.2">
      <c r="B1722" t="str">
        <f t="shared" si="28"/>
        <v/>
      </c>
    </row>
    <row r="1723" spans="2:2" x14ac:dyDescent="0.2">
      <c r="B1723" t="str">
        <f t="shared" si="28"/>
        <v/>
      </c>
    </row>
    <row r="1724" spans="2:2" x14ac:dyDescent="0.2">
      <c r="B1724" t="str">
        <f t="shared" si="28"/>
        <v/>
      </c>
    </row>
    <row r="1725" spans="2:2" x14ac:dyDescent="0.2">
      <c r="B1725" t="str">
        <f t="shared" si="28"/>
        <v/>
      </c>
    </row>
    <row r="1726" spans="2:2" x14ac:dyDescent="0.2">
      <c r="B1726" t="str">
        <f t="shared" si="28"/>
        <v/>
      </c>
    </row>
    <row r="1727" spans="2:2" x14ac:dyDescent="0.2">
      <c r="B1727" t="str">
        <f t="shared" si="28"/>
        <v/>
      </c>
    </row>
    <row r="1728" spans="2:2" x14ac:dyDescent="0.2">
      <c r="B1728" t="str">
        <f t="shared" si="28"/>
        <v/>
      </c>
    </row>
    <row r="1729" spans="2:2" x14ac:dyDescent="0.2">
      <c r="B1729" t="str">
        <f t="shared" si="28"/>
        <v/>
      </c>
    </row>
    <row r="1730" spans="2:2" x14ac:dyDescent="0.2">
      <c r="B1730" t="str">
        <f t="shared" si="28"/>
        <v/>
      </c>
    </row>
    <row r="1731" spans="2:2" x14ac:dyDescent="0.2">
      <c r="B1731" t="str">
        <f t="shared" si="28"/>
        <v/>
      </c>
    </row>
    <row r="1732" spans="2:2" x14ac:dyDescent="0.2">
      <c r="B1732" t="str">
        <f t="shared" si="28"/>
        <v/>
      </c>
    </row>
    <row r="1733" spans="2:2" x14ac:dyDescent="0.2">
      <c r="B1733" t="str">
        <f t="shared" ref="B1733:B1796" si="29">D1733&amp;I1733</f>
        <v/>
      </c>
    </row>
    <row r="1734" spans="2:2" x14ac:dyDescent="0.2">
      <c r="B1734" t="str">
        <f t="shared" si="29"/>
        <v/>
      </c>
    </row>
    <row r="1735" spans="2:2" x14ac:dyDescent="0.2">
      <c r="B1735" t="str">
        <f t="shared" si="29"/>
        <v/>
      </c>
    </row>
    <row r="1736" spans="2:2" x14ac:dyDescent="0.2">
      <c r="B1736" t="str">
        <f t="shared" si="29"/>
        <v/>
      </c>
    </row>
    <row r="1737" spans="2:2" x14ac:dyDescent="0.2">
      <c r="B1737" t="str">
        <f t="shared" si="29"/>
        <v/>
      </c>
    </row>
    <row r="1738" spans="2:2" x14ac:dyDescent="0.2">
      <c r="B1738" t="str">
        <f t="shared" si="29"/>
        <v/>
      </c>
    </row>
    <row r="1739" spans="2:2" x14ac:dyDescent="0.2">
      <c r="B1739" t="str">
        <f t="shared" si="29"/>
        <v/>
      </c>
    </row>
    <row r="1740" spans="2:2" x14ac:dyDescent="0.2">
      <c r="B1740" t="str">
        <f t="shared" si="29"/>
        <v/>
      </c>
    </row>
    <row r="1741" spans="2:2" x14ac:dyDescent="0.2">
      <c r="B1741" t="str">
        <f t="shared" si="29"/>
        <v/>
      </c>
    </row>
    <row r="1742" spans="2:2" x14ac:dyDescent="0.2">
      <c r="B1742" t="str">
        <f t="shared" si="29"/>
        <v/>
      </c>
    </row>
    <row r="1743" spans="2:2" x14ac:dyDescent="0.2">
      <c r="B1743" t="str">
        <f t="shared" si="29"/>
        <v/>
      </c>
    </row>
    <row r="1744" spans="2:2" x14ac:dyDescent="0.2">
      <c r="B1744" t="str">
        <f t="shared" si="29"/>
        <v/>
      </c>
    </row>
    <row r="1745" spans="2:2" x14ac:dyDescent="0.2">
      <c r="B1745" t="str">
        <f t="shared" si="29"/>
        <v/>
      </c>
    </row>
    <row r="1746" spans="2:2" x14ac:dyDescent="0.2">
      <c r="B1746" t="str">
        <f t="shared" si="29"/>
        <v/>
      </c>
    </row>
    <row r="1747" spans="2:2" x14ac:dyDescent="0.2">
      <c r="B1747" t="str">
        <f t="shared" si="29"/>
        <v/>
      </c>
    </row>
    <row r="1748" spans="2:2" x14ac:dyDescent="0.2">
      <c r="B1748" t="str">
        <f t="shared" si="29"/>
        <v/>
      </c>
    </row>
    <row r="1749" spans="2:2" x14ac:dyDescent="0.2">
      <c r="B1749" t="str">
        <f t="shared" si="29"/>
        <v/>
      </c>
    </row>
    <row r="1750" spans="2:2" x14ac:dyDescent="0.2">
      <c r="B1750" t="str">
        <f t="shared" si="29"/>
        <v/>
      </c>
    </row>
    <row r="1751" spans="2:2" x14ac:dyDescent="0.2">
      <c r="B1751" t="str">
        <f t="shared" si="29"/>
        <v/>
      </c>
    </row>
    <row r="1752" spans="2:2" x14ac:dyDescent="0.2">
      <c r="B1752" t="str">
        <f t="shared" si="29"/>
        <v/>
      </c>
    </row>
    <row r="1753" spans="2:2" x14ac:dyDescent="0.2">
      <c r="B1753" t="str">
        <f t="shared" si="29"/>
        <v/>
      </c>
    </row>
    <row r="1754" spans="2:2" x14ac:dyDescent="0.2">
      <c r="B1754" t="str">
        <f t="shared" si="29"/>
        <v/>
      </c>
    </row>
    <row r="1755" spans="2:2" x14ac:dyDescent="0.2">
      <c r="B1755" t="str">
        <f t="shared" si="29"/>
        <v/>
      </c>
    </row>
    <row r="1756" spans="2:2" x14ac:dyDescent="0.2">
      <c r="B1756" t="str">
        <f t="shared" si="29"/>
        <v/>
      </c>
    </row>
    <row r="1757" spans="2:2" x14ac:dyDescent="0.2">
      <c r="B1757" t="str">
        <f t="shared" si="29"/>
        <v/>
      </c>
    </row>
    <row r="1758" spans="2:2" x14ac:dyDescent="0.2">
      <c r="B1758" t="str">
        <f t="shared" si="29"/>
        <v/>
      </c>
    </row>
    <row r="1759" spans="2:2" x14ac:dyDescent="0.2">
      <c r="B1759" t="str">
        <f t="shared" si="29"/>
        <v/>
      </c>
    </row>
    <row r="1760" spans="2:2" x14ac:dyDescent="0.2">
      <c r="B1760" t="str">
        <f t="shared" si="29"/>
        <v/>
      </c>
    </row>
    <row r="1761" spans="2:2" x14ac:dyDescent="0.2">
      <c r="B1761" t="str">
        <f t="shared" si="29"/>
        <v/>
      </c>
    </row>
    <row r="1762" spans="2:2" x14ac:dyDescent="0.2">
      <c r="B1762" t="str">
        <f t="shared" si="29"/>
        <v/>
      </c>
    </row>
    <row r="1763" spans="2:2" x14ac:dyDescent="0.2">
      <c r="B1763" t="str">
        <f t="shared" si="29"/>
        <v/>
      </c>
    </row>
    <row r="1764" spans="2:2" x14ac:dyDescent="0.2">
      <c r="B1764" t="str">
        <f t="shared" si="29"/>
        <v/>
      </c>
    </row>
    <row r="1765" spans="2:2" x14ac:dyDescent="0.2">
      <c r="B1765" t="str">
        <f t="shared" si="29"/>
        <v/>
      </c>
    </row>
    <row r="1766" spans="2:2" x14ac:dyDescent="0.2">
      <c r="B1766" t="str">
        <f t="shared" si="29"/>
        <v/>
      </c>
    </row>
    <row r="1767" spans="2:2" x14ac:dyDescent="0.2">
      <c r="B1767" t="str">
        <f t="shared" si="29"/>
        <v/>
      </c>
    </row>
    <row r="1768" spans="2:2" x14ac:dyDescent="0.2">
      <c r="B1768" t="str">
        <f t="shared" si="29"/>
        <v/>
      </c>
    </row>
    <row r="1769" spans="2:2" x14ac:dyDescent="0.2">
      <c r="B1769" t="str">
        <f t="shared" si="29"/>
        <v/>
      </c>
    </row>
    <row r="1770" spans="2:2" x14ac:dyDescent="0.2">
      <c r="B1770" t="str">
        <f t="shared" si="29"/>
        <v/>
      </c>
    </row>
    <row r="1771" spans="2:2" x14ac:dyDescent="0.2">
      <c r="B1771" t="str">
        <f t="shared" si="29"/>
        <v/>
      </c>
    </row>
    <row r="1772" spans="2:2" x14ac:dyDescent="0.2">
      <c r="B1772" t="str">
        <f t="shared" si="29"/>
        <v/>
      </c>
    </row>
    <row r="1773" spans="2:2" x14ac:dyDescent="0.2">
      <c r="B1773" t="str">
        <f t="shared" si="29"/>
        <v/>
      </c>
    </row>
    <row r="1774" spans="2:2" x14ac:dyDescent="0.2">
      <c r="B1774" t="str">
        <f t="shared" si="29"/>
        <v/>
      </c>
    </row>
    <row r="1775" spans="2:2" x14ac:dyDescent="0.2">
      <c r="B1775" t="str">
        <f t="shared" si="29"/>
        <v/>
      </c>
    </row>
    <row r="1776" spans="2:2" x14ac:dyDescent="0.2">
      <c r="B1776" t="str">
        <f t="shared" si="29"/>
        <v/>
      </c>
    </row>
    <row r="1777" spans="2:2" x14ac:dyDescent="0.2">
      <c r="B1777" t="str">
        <f t="shared" si="29"/>
        <v/>
      </c>
    </row>
    <row r="1778" spans="2:2" x14ac:dyDescent="0.2">
      <c r="B1778" t="str">
        <f t="shared" si="29"/>
        <v/>
      </c>
    </row>
    <row r="1779" spans="2:2" x14ac:dyDescent="0.2">
      <c r="B1779" t="str">
        <f t="shared" si="29"/>
        <v/>
      </c>
    </row>
    <row r="1780" spans="2:2" x14ac:dyDescent="0.2">
      <c r="B1780" t="str">
        <f t="shared" si="29"/>
        <v/>
      </c>
    </row>
    <row r="1781" spans="2:2" x14ac:dyDescent="0.2">
      <c r="B1781" t="str">
        <f t="shared" si="29"/>
        <v/>
      </c>
    </row>
    <row r="1782" spans="2:2" x14ac:dyDescent="0.2">
      <c r="B1782" t="str">
        <f t="shared" si="29"/>
        <v/>
      </c>
    </row>
    <row r="1783" spans="2:2" x14ac:dyDescent="0.2">
      <c r="B1783" t="str">
        <f t="shared" si="29"/>
        <v/>
      </c>
    </row>
    <row r="1784" spans="2:2" x14ac:dyDescent="0.2">
      <c r="B1784" t="str">
        <f t="shared" si="29"/>
        <v/>
      </c>
    </row>
    <row r="1785" spans="2:2" x14ac:dyDescent="0.2">
      <c r="B1785" t="str">
        <f t="shared" si="29"/>
        <v/>
      </c>
    </row>
    <row r="1786" spans="2:2" x14ac:dyDescent="0.2">
      <c r="B1786" t="str">
        <f t="shared" si="29"/>
        <v/>
      </c>
    </row>
    <row r="1787" spans="2:2" x14ac:dyDescent="0.2">
      <c r="B1787" t="str">
        <f t="shared" si="29"/>
        <v/>
      </c>
    </row>
    <row r="1788" spans="2:2" x14ac:dyDescent="0.2">
      <c r="B1788" t="str">
        <f t="shared" si="29"/>
        <v/>
      </c>
    </row>
    <row r="1789" spans="2:2" x14ac:dyDescent="0.2">
      <c r="B1789" t="str">
        <f t="shared" si="29"/>
        <v/>
      </c>
    </row>
    <row r="1790" spans="2:2" x14ac:dyDescent="0.2">
      <c r="B1790" t="str">
        <f t="shared" si="29"/>
        <v/>
      </c>
    </row>
    <row r="1791" spans="2:2" x14ac:dyDescent="0.2">
      <c r="B1791" t="str">
        <f t="shared" si="29"/>
        <v/>
      </c>
    </row>
    <row r="1792" spans="2:2" x14ac:dyDescent="0.2">
      <c r="B1792" t="str">
        <f t="shared" si="29"/>
        <v/>
      </c>
    </row>
    <row r="1793" spans="2:2" x14ac:dyDescent="0.2">
      <c r="B1793" t="str">
        <f t="shared" si="29"/>
        <v/>
      </c>
    </row>
    <row r="1794" spans="2:2" x14ac:dyDescent="0.2">
      <c r="B1794" t="str">
        <f t="shared" si="29"/>
        <v/>
      </c>
    </row>
    <row r="1795" spans="2:2" x14ac:dyDescent="0.2">
      <c r="B1795" t="str">
        <f t="shared" si="29"/>
        <v/>
      </c>
    </row>
    <row r="1796" spans="2:2" x14ac:dyDescent="0.2">
      <c r="B1796" t="str">
        <f t="shared" si="29"/>
        <v/>
      </c>
    </row>
    <row r="1797" spans="2:2" x14ac:dyDescent="0.2">
      <c r="B1797" t="str">
        <f t="shared" ref="B1797:B1860" si="30">D1797&amp;I1797</f>
        <v/>
      </c>
    </row>
    <row r="1798" spans="2:2" x14ac:dyDescent="0.2">
      <c r="B1798" t="str">
        <f t="shared" si="30"/>
        <v/>
      </c>
    </row>
    <row r="1799" spans="2:2" x14ac:dyDescent="0.2">
      <c r="B1799" t="str">
        <f t="shared" si="30"/>
        <v/>
      </c>
    </row>
    <row r="1800" spans="2:2" x14ac:dyDescent="0.2">
      <c r="B1800" t="str">
        <f t="shared" si="30"/>
        <v/>
      </c>
    </row>
    <row r="1801" spans="2:2" x14ac:dyDescent="0.2">
      <c r="B1801" t="str">
        <f t="shared" si="30"/>
        <v/>
      </c>
    </row>
    <row r="1802" spans="2:2" x14ac:dyDescent="0.2">
      <c r="B1802" t="str">
        <f t="shared" si="30"/>
        <v/>
      </c>
    </row>
    <row r="1803" spans="2:2" x14ac:dyDescent="0.2">
      <c r="B1803" t="str">
        <f t="shared" si="30"/>
        <v/>
      </c>
    </row>
    <row r="1804" spans="2:2" x14ac:dyDescent="0.2">
      <c r="B1804" t="str">
        <f t="shared" si="30"/>
        <v/>
      </c>
    </row>
    <row r="1805" spans="2:2" x14ac:dyDescent="0.2">
      <c r="B1805" t="str">
        <f t="shared" si="30"/>
        <v/>
      </c>
    </row>
    <row r="1806" spans="2:2" x14ac:dyDescent="0.2">
      <c r="B1806" t="str">
        <f t="shared" si="30"/>
        <v/>
      </c>
    </row>
    <row r="1807" spans="2:2" x14ac:dyDescent="0.2">
      <c r="B1807" t="str">
        <f t="shared" si="30"/>
        <v/>
      </c>
    </row>
    <row r="1808" spans="2:2" x14ac:dyDescent="0.2">
      <c r="B1808" t="str">
        <f t="shared" si="30"/>
        <v/>
      </c>
    </row>
    <row r="1809" spans="2:2" x14ac:dyDescent="0.2">
      <c r="B1809" t="str">
        <f t="shared" si="30"/>
        <v/>
      </c>
    </row>
    <row r="1810" spans="2:2" x14ac:dyDescent="0.2">
      <c r="B1810" t="str">
        <f t="shared" si="30"/>
        <v/>
      </c>
    </row>
    <row r="1811" spans="2:2" x14ac:dyDescent="0.2">
      <c r="B1811" t="str">
        <f t="shared" si="30"/>
        <v/>
      </c>
    </row>
    <row r="1812" spans="2:2" x14ac:dyDescent="0.2">
      <c r="B1812" t="str">
        <f t="shared" si="30"/>
        <v/>
      </c>
    </row>
    <row r="1813" spans="2:2" x14ac:dyDescent="0.2">
      <c r="B1813" t="str">
        <f t="shared" si="30"/>
        <v/>
      </c>
    </row>
    <row r="1814" spans="2:2" x14ac:dyDescent="0.2">
      <c r="B1814" t="str">
        <f t="shared" si="30"/>
        <v/>
      </c>
    </row>
    <row r="1815" spans="2:2" x14ac:dyDescent="0.2">
      <c r="B1815" t="str">
        <f t="shared" si="30"/>
        <v/>
      </c>
    </row>
    <row r="1816" spans="2:2" x14ac:dyDescent="0.2">
      <c r="B1816" t="str">
        <f t="shared" si="30"/>
        <v/>
      </c>
    </row>
    <row r="1817" spans="2:2" x14ac:dyDescent="0.2">
      <c r="B1817" t="str">
        <f t="shared" si="30"/>
        <v/>
      </c>
    </row>
    <row r="1818" spans="2:2" x14ac:dyDescent="0.2">
      <c r="B1818" t="str">
        <f t="shared" si="30"/>
        <v/>
      </c>
    </row>
    <row r="1819" spans="2:2" x14ac:dyDescent="0.2">
      <c r="B1819" t="str">
        <f t="shared" si="30"/>
        <v/>
      </c>
    </row>
    <row r="1820" spans="2:2" x14ac:dyDescent="0.2">
      <c r="B1820" t="str">
        <f t="shared" si="30"/>
        <v/>
      </c>
    </row>
    <row r="1821" spans="2:2" x14ac:dyDescent="0.2">
      <c r="B1821" t="str">
        <f t="shared" si="30"/>
        <v/>
      </c>
    </row>
    <row r="1822" spans="2:2" x14ac:dyDescent="0.2">
      <c r="B1822" t="str">
        <f t="shared" si="30"/>
        <v/>
      </c>
    </row>
    <row r="1823" spans="2:2" x14ac:dyDescent="0.2">
      <c r="B1823" t="str">
        <f t="shared" si="30"/>
        <v/>
      </c>
    </row>
    <row r="1824" spans="2:2" x14ac:dyDescent="0.2">
      <c r="B1824" t="str">
        <f t="shared" si="30"/>
        <v/>
      </c>
    </row>
    <row r="1825" spans="2:2" x14ac:dyDescent="0.2">
      <c r="B1825" t="str">
        <f t="shared" si="30"/>
        <v/>
      </c>
    </row>
    <row r="1826" spans="2:2" x14ac:dyDescent="0.2">
      <c r="B1826" t="str">
        <f t="shared" si="30"/>
        <v/>
      </c>
    </row>
    <row r="1827" spans="2:2" x14ac:dyDescent="0.2">
      <c r="B1827" t="str">
        <f t="shared" si="30"/>
        <v/>
      </c>
    </row>
    <row r="1828" spans="2:2" x14ac:dyDescent="0.2">
      <c r="B1828" t="str">
        <f t="shared" si="30"/>
        <v/>
      </c>
    </row>
    <row r="1829" spans="2:2" x14ac:dyDescent="0.2">
      <c r="B1829" t="str">
        <f t="shared" si="30"/>
        <v/>
      </c>
    </row>
    <row r="1830" spans="2:2" x14ac:dyDescent="0.2">
      <c r="B1830" t="str">
        <f t="shared" si="30"/>
        <v/>
      </c>
    </row>
    <row r="1831" spans="2:2" x14ac:dyDescent="0.2">
      <c r="B1831" t="str">
        <f t="shared" si="30"/>
        <v/>
      </c>
    </row>
    <row r="1832" spans="2:2" x14ac:dyDescent="0.2">
      <c r="B1832" t="str">
        <f t="shared" si="30"/>
        <v/>
      </c>
    </row>
    <row r="1833" spans="2:2" x14ac:dyDescent="0.2">
      <c r="B1833" t="str">
        <f t="shared" si="30"/>
        <v/>
      </c>
    </row>
    <row r="1834" spans="2:2" x14ac:dyDescent="0.2">
      <c r="B1834" t="str">
        <f t="shared" si="30"/>
        <v/>
      </c>
    </row>
    <row r="1835" spans="2:2" x14ac:dyDescent="0.2">
      <c r="B1835" t="str">
        <f t="shared" si="30"/>
        <v/>
      </c>
    </row>
    <row r="1836" spans="2:2" x14ac:dyDescent="0.2">
      <c r="B1836" t="str">
        <f t="shared" si="30"/>
        <v/>
      </c>
    </row>
    <row r="1837" spans="2:2" x14ac:dyDescent="0.2">
      <c r="B1837" t="str">
        <f t="shared" si="30"/>
        <v/>
      </c>
    </row>
    <row r="1838" spans="2:2" x14ac:dyDescent="0.2">
      <c r="B1838" t="str">
        <f t="shared" si="30"/>
        <v/>
      </c>
    </row>
    <row r="1839" spans="2:2" x14ac:dyDescent="0.2">
      <c r="B1839" t="str">
        <f t="shared" si="30"/>
        <v/>
      </c>
    </row>
    <row r="1840" spans="2:2" x14ac:dyDescent="0.2">
      <c r="B1840" t="str">
        <f t="shared" si="30"/>
        <v/>
      </c>
    </row>
    <row r="1841" spans="2:2" x14ac:dyDescent="0.2">
      <c r="B1841" t="str">
        <f t="shared" si="30"/>
        <v/>
      </c>
    </row>
    <row r="1842" spans="2:2" x14ac:dyDescent="0.2">
      <c r="B1842" t="str">
        <f t="shared" si="30"/>
        <v/>
      </c>
    </row>
    <row r="1843" spans="2:2" x14ac:dyDescent="0.2">
      <c r="B1843" t="str">
        <f t="shared" si="30"/>
        <v/>
      </c>
    </row>
    <row r="1844" spans="2:2" x14ac:dyDescent="0.2">
      <c r="B1844" t="str">
        <f t="shared" si="30"/>
        <v/>
      </c>
    </row>
    <row r="1845" spans="2:2" x14ac:dyDescent="0.2">
      <c r="B1845" t="str">
        <f t="shared" si="30"/>
        <v/>
      </c>
    </row>
    <row r="1846" spans="2:2" x14ac:dyDescent="0.2">
      <c r="B1846" t="str">
        <f t="shared" si="30"/>
        <v/>
      </c>
    </row>
    <row r="1847" spans="2:2" x14ac:dyDescent="0.2">
      <c r="B1847" t="str">
        <f t="shared" si="30"/>
        <v/>
      </c>
    </row>
    <row r="1848" spans="2:2" x14ac:dyDescent="0.2">
      <c r="B1848" t="str">
        <f t="shared" si="30"/>
        <v/>
      </c>
    </row>
    <row r="1849" spans="2:2" x14ac:dyDescent="0.2">
      <c r="B1849" t="str">
        <f t="shared" si="30"/>
        <v/>
      </c>
    </row>
    <row r="1850" spans="2:2" x14ac:dyDescent="0.2">
      <c r="B1850" t="str">
        <f t="shared" si="30"/>
        <v/>
      </c>
    </row>
    <row r="1851" spans="2:2" x14ac:dyDescent="0.2">
      <c r="B1851" t="str">
        <f t="shared" si="30"/>
        <v/>
      </c>
    </row>
    <row r="1852" spans="2:2" x14ac:dyDescent="0.2">
      <c r="B1852" t="str">
        <f t="shared" si="30"/>
        <v/>
      </c>
    </row>
    <row r="1853" spans="2:2" x14ac:dyDescent="0.2">
      <c r="B1853" t="str">
        <f t="shared" si="30"/>
        <v/>
      </c>
    </row>
    <row r="1854" spans="2:2" x14ac:dyDescent="0.2">
      <c r="B1854" t="str">
        <f t="shared" si="30"/>
        <v/>
      </c>
    </row>
    <row r="1855" spans="2:2" x14ac:dyDescent="0.2">
      <c r="B1855" t="str">
        <f t="shared" si="30"/>
        <v/>
      </c>
    </row>
    <row r="1856" spans="2:2" x14ac:dyDescent="0.2">
      <c r="B1856" t="str">
        <f t="shared" si="30"/>
        <v/>
      </c>
    </row>
    <row r="1857" spans="2:2" x14ac:dyDescent="0.2">
      <c r="B1857" t="str">
        <f t="shared" si="30"/>
        <v/>
      </c>
    </row>
    <row r="1858" spans="2:2" x14ac:dyDescent="0.2">
      <c r="B1858" t="str">
        <f t="shared" si="30"/>
        <v/>
      </c>
    </row>
    <row r="1859" spans="2:2" x14ac:dyDescent="0.2">
      <c r="B1859" t="str">
        <f t="shared" si="30"/>
        <v/>
      </c>
    </row>
    <row r="1860" spans="2:2" x14ac:dyDescent="0.2">
      <c r="B1860" t="str">
        <f t="shared" si="30"/>
        <v/>
      </c>
    </row>
    <row r="1861" spans="2:2" x14ac:dyDescent="0.2">
      <c r="B1861" t="str">
        <f t="shared" ref="B1861:B1924" si="31">D1861&amp;I1861</f>
        <v/>
      </c>
    </row>
    <row r="1862" spans="2:2" x14ac:dyDescent="0.2">
      <c r="B1862" t="str">
        <f t="shared" si="31"/>
        <v/>
      </c>
    </row>
    <row r="1863" spans="2:2" x14ac:dyDescent="0.2">
      <c r="B1863" t="str">
        <f t="shared" si="31"/>
        <v/>
      </c>
    </row>
    <row r="1864" spans="2:2" x14ac:dyDescent="0.2">
      <c r="B1864" t="str">
        <f t="shared" si="31"/>
        <v/>
      </c>
    </row>
    <row r="1865" spans="2:2" x14ac:dyDescent="0.2">
      <c r="B1865" t="str">
        <f t="shared" si="31"/>
        <v/>
      </c>
    </row>
    <row r="1866" spans="2:2" x14ac:dyDescent="0.2">
      <c r="B1866" t="str">
        <f t="shared" si="31"/>
        <v/>
      </c>
    </row>
    <row r="1867" spans="2:2" x14ac:dyDescent="0.2">
      <c r="B1867" t="str">
        <f t="shared" si="31"/>
        <v/>
      </c>
    </row>
    <row r="1868" spans="2:2" x14ac:dyDescent="0.2">
      <c r="B1868" t="str">
        <f t="shared" si="31"/>
        <v/>
      </c>
    </row>
    <row r="1869" spans="2:2" x14ac:dyDescent="0.2">
      <c r="B1869" t="str">
        <f t="shared" si="31"/>
        <v/>
      </c>
    </row>
    <row r="1870" spans="2:2" x14ac:dyDescent="0.2">
      <c r="B1870" t="str">
        <f t="shared" si="31"/>
        <v/>
      </c>
    </row>
    <row r="1871" spans="2:2" x14ac:dyDescent="0.2">
      <c r="B1871" t="str">
        <f t="shared" si="31"/>
        <v/>
      </c>
    </row>
    <row r="1872" spans="2:2" x14ac:dyDescent="0.2">
      <c r="B1872" t="str">
        <f t="shared" si="31"/>
        <v/>
      </c>
    </row>
    <row r="1873" spans="2:2" x14ac:dyDescent="0.2">
      <c r="B1873" t="str">
        <f t="shared" si="31"/>
        <v/>
      </c>
    </row>
    <row r="1874" spans="2:2" x14ac:dyDescent="0.2">
      <c r="B1874" t="str">
        <f t="shared" si="31"/>
        <v/>
      </c>
    </row>
    <row r="1875" spans="2:2" x14ac:dyDescent="0.2">
      <c r="B1875" t="str">
        <f t="shared" si="31"/>
        <v/>
      </c>
    </row>
    <row r="1876" spans="2:2" x14ac:dyDescent="0.2">
      <c r="B1876" t="str">
        <f t="shared" si="31"/>
        <v/>
      </c>
    </row>
    <row r="1877" spans="2:2" x14ac:dyDescent="0.2">
      <c r="B1877" t="str">
        <f t="shared" si="31"/>
        <v/>
      </c>
    </row>
    <row r="1878" spans="2:2" x14ac:dyDescent="0.2">
      <c r="B1878" t="str">
        <f t="shared" si="31"/>
        <v/>
      </c>
    </row>
    <row r="1879" spans="2:2" x14ac:dyDescent="0.2">
      <c r="B1879" t="str">
        <f t="shared" si="31"/>
        <v/>
      </c>
    </row>
    <row r="1880" spans="2:2" x14ac:dyDescent="0.2">
      <c r="B1880" t="str">
        <f t="shared" si="31"/>
        <v/>
      </c>
    </row>
    <row r="1881" spans="2:2" x14ac:dyDescent="0.2">
      <c r="B1881" t="str">
        <f t="shared" si="31"/>
        <v/>
      </c>
    </row>
    <row r="1882" spans="2:2" x14ac:dyDescent="0.2">
      <c r="B1882" t="str">
        <f t="shared" si="31"/>
        <v/>
      </c>
    </row>
    <row r="1883" spans="2:2" x14ac:dyDescent="0.2">
      <c r="B1883" t="str">
        <f t="shared" si="31"/>
        <v/>
      </c>
    </row>
    <row r="1884" spans="2:2" x14ac:dyDescent="0.2">
      <c r="B1884" t="str">
        <f t="shared" si="31"/>
        <v/>
      </c>
    </row>
    <row r="1885" spans="2:2" x14ac:dyDescent="0.2">
      <c r="B1885" t="str">
        <f t="shared" si="31"/>
        <v/>
      </c>
    </row>
    <row r="1886" spans="2:2" x14ac:dyDescent="0.2">
      <c r="B1886" t="str">
        <f t="shared" si="31"/>
        <v/>
      </c>
    </row>
    <row r="1887" spans="2:2" x14ac:dyDescent="0.2">
      <c r="B1887" t="str">
        <f t="shared" si="31"/>
        <v/>
      </c>
    </row>
    <row r="1888" spans="2:2" x14ac:dyDescent="0.2">
      <c r="B1888" t="str">
        <f t="shared" si="31"/>
        <v/>
      </c>
    </row>
    <row r="1889" spans="2:2" x14ac:dyDescent="0.2">
      <c r="B1889" t="str">
        <f t="shared" si="31"/>
        <v/>
      </c>
    </row>
    <row r="1890" spans="2:2" x14ac:dyDescent="0.2">
      <c r="B1890" t="str">
        <f t="shared" si="31"/>
        <v/>
      </c>
    </row>
    <row r="1891" spans="2:2" x14ac:dyDescent="0.2">
      <c r="B1891" t="str">
        <f t="shared" si="31"/>
        <v/>
      </c>
    </row>
    <row r="1892" spans="2:2" x14ac:dyDescent="0.2">
      <c r="B1892" t="str">
        <f t="shared" si="31"/>
        <v/>
      </c>
    </row>
    <row r="1893" spans="2:2" x14ac:dyDescent="0.2">
      <c r="B1893" t="str">
        <f t="shared" si="31"/>
        <v/>
      </c>
    </row>
    <row r="1894" spans="2:2" x14ac:dyDescent="0.2">
      <c r="B1894" t="str">
        <f t="shared" si="31"/>
        <v/>
      </c>
    </row>
    <row r="1895" spans="2:2" x14ac:dyDescent="0.2">
      <c r="B1895" t="str">
        <f t="shared" si="31"/>
        <v/>
      </c>
    </row>
    <row r="1896" spans="2:2" x14ac:dyDescent="0.2">
      <c r="B1896" t="str">
        <f t="shared" si="31"/>
        <v/>
      </c>
    </row>
    <row r="1897" spans="2:2" x14ac:dyDescent="0.2">
      <c r="B1897" t="str">
        <f t="shared" si="31"/>
        <v/>
      </c>
    </row>
    <row r="1898" spans="2:2" x14ac:dyDescent="0.2">
      <c r="B1898" t="str">
        <f t="shared" si="31"/>
        <v/>
      </c>
    </row>
    <row r="1899" spans="2:2" x14ac:dyDescent="0.2">
      <c r="B1899" t="str">
        <f t="shared" si="31"/>
        <v/>
      </c>
    </row>
    <row r="1900" spans="2:2" x14ac:dyDescent="0.2">
      <c r="B1900" t="str">
        <f t="shared" si="31"/>
        <v/>
      </c>
    </row>
    <row r="1901" spans="2:2" x14ac:dyDescent="0.2">
      <c r="B1901" t="str">
        <f t="shared" si="31"/>
        <v/>
      </c>
    </row>
    <row r="1902" spans="2:2" x14ac:dyDescent="0.2">
      <c r="B1902" t="str">
        <f t="shared" si="31"/>
        <v/>
      </c>
    </row>
    <row r="1903" spans="2:2" x14ac:dyDescent="0.2">
      <c r="B1903" t="str">
        <f t="shared" si="31"/>
        <v/>
      </c>
    </row>
    <row r="1904" spans="2:2" x14ac:dyDescent="0.2">
      <c r="B1904" t="str">
        <f t="shared" si="31"/>
        <v/>
      </c>
    </row>
    <row r="1905" spans="2:2" x14ac:dyDescent="0.2">
      <c r="B1905" t="str">
        <f t="shared" si="31"/>
        <v/>
      </c>
    </row>
    <row r="1906" spans="2:2" x14ac:dyDescent="0.2">
      <c r="B1906" t="str">
        <f t="shared" si="31"/>
        <v/>
      </c>
    </row>
    <row r="1907" spans="2:2" x14ac:dyDescent="0.2">
      <c r="B1907" t="str">
        <f t="shared" si="31"/>
        <v/>
      </c>
    </row>
    <row r="1908" spans="2:2" x14ac:dyDescent="0.2">
      <c r="B1908" t="str">
        <f t="shared" si="31"/>
        <v/>
      </c>
    </row>
    <row r="1909" spans="2:2" x14ac:dyDescent="0.2">
      <c r="B1909" t="str">
        <f t="shared" si="31"/>
        <v/>
      </c>
    </row>
    <row r="1910" spans="2:2" x14ac:dyDescent="0.2">
      <c r="B1910" t="str">
        <f t="shared" si="31"/>
        <v/>
      </c>
    </row>
    <row r="1911" spans="2:2" x14ac:dyDescent="0.2">
      <c r="B1911" t="str">
        <f t="shared" si="31"/>
        <v/>
      </c>
    </row>
    <row r="1912" spans="2:2" x14ac:dyDescent="0.2">
      <c r="B1912" t="str">
        <f t="shared" si="31"/>
        <v/>
      </c>
    </row>
    <row r="1913" spans="2:2" x14ac:dyDescent="0.2">
      <c r="B1913" t="str">
        <f t="shared" si="31"/>
        <v/>
      </c>
    </row>
    <row r="1914" spans="2:2" x14ac:dyDescent="0.2">
      <c r="B1914" t="str">
        <f t="shared" si="31"/>
        <v/>
      </c>
    </row>
    <row r="1915" spans="2:2" x14ac:dyDescent="0.2">
      <c r="B1915" t="str">
        <f t="shared" si="31"/>
        <v/>
      </c>
    </row>
    <row r="1916" spans="2:2" x14ac:dyDescent="0.2">
      <c r="B1916" t="str">
        <f t="shared" si="31"/>
        <v/>
      </c>
    </row>
    <row r="1917" spans="2:2" x14ac:dyDescent="0.2">
      <c r="B1917" t="str">
        <f t="shared" si="31"/>
        <v/>
      </c>
    </row>
    <row r="1918" spans="2:2" x14ac:dyDescent="0.2">
      <c r="B1918" t="str">
        <f t="shared" si="31"/>
        <v/>
      </c>
    </row>
    <row r="1919" spans="2:2" x14ac:dyDescent="0.2">
      <c r="B1919" t="str">
        <f t="shared" si="31"/>
        <v/>
      </c>
    </row>
    <row r="1920" spans="2:2" x14ac:dyDescent="0.2">
      <c r="B1920" t="str">
        <f t="shared" si="31"/>
        <v/>
      </c>
    </row>
    <row r="1921" spans="2:2" x14ac:dyDescent="0.2">
      <c r="B1921" t="str">
        <f t="shared" si="31"/>
        <v/>
      </c>
    </row>
    <row r="1922" spans="2:2" x14ac:dyDescent="0.2">
      <c r="B1922" t="str">
        <f t="shared" si="31"/>
        <v/>
      </c>
    </row>
    <row r="1923" spans="2:2" x14ac:dyDescent="0.2">
      <c r="B1923" t="str">
        <f t="shared" si="31"/>
        <v/>
      </c>
    </row>
    <row r="1924" spans="2:2" x14ac:dyDescent="0.2">
      <c r="B1924" t="str">
        <f t="shared" si="31"/>
        <v/>
      </c>
    </row>
    <row r="1925" spans="2:2" x14ac:dyDescent="0.2">
      <c r="B1925" t="str">
        <f t="shared" ref="B1925:B1988" si="32">D1925&amp;I1925</f>
        <v/>
      </c>
    </row>
    <row r="1926" spans="2:2" x14ac:dyDescent="0.2">
      <c r="B1926" t="str">
        <f t="shared" si="32"/>
        <v/>
      </c>
    </row>
    <row r="1927" spans="2:2" x14ac:dyDescent="0.2">
      <c r="B1927" t="str">
        <f t="shared" si="32"/>
        <v/>
      </c>
    </row>
    <row r="1928" spans="2:2" x14ac:dyDescent="0.2">
      <c r="B1928" t="str">
        <f t="shared" si="32"/>
        <v/>
      </c>
    </row>
    <row r="1929" spans="2:2" x14ac:dyDescent="0.2">
      <c r="B1929" t="str">
        <f t="shared" si="32"/>
        <v/>
      </c>
    </row>
    <row r="1930" spans="2:2" x14ac:dyDescent="0.2">
      <c r="B1930" t="str">
        <f t="shared" si="32"/>
        <v/>
      </c>
    </row>
    <row r="1931" spans="2:2" x14ac:dyDescent="0.2">
      <c r="B1931" t="str">
        <f t="shared" si="32"/>
        <v/>
      </c>
    </row>
    <row r="1932" spans="2:2" x14ac:dyDescent="0.2">
      <c r="B1932" t="str">
        <f t="shared" si="32"/>
        <v/>
      </c>
    </row>
    <row r="1933" spans="2:2" x14ac:dyDescent="0.2">
      <c r="B1933" t="str">
        <f t="shared" si="32"/>
        <v/>
      </c>
    </row>
    <row r="1934" spans="2:2" x14ac:dyDescent="0.2">
      <c r="B1934" t="str">
        <f t="shared" si="32"/>
        <v/>
      </c>
    </row>
    <row r="1935" spans="2:2" x14ac:dyDescent="0.2">
      <c r="B1935" t="str">
        <f t="shared" si="32"/>
        <v/>
      </c>
    </row>
    <row r="1936" spans="2:2" x14ac:dyDescent="0.2">
      <c r="B1936" t="str">
        <f t="shared" si="32"/>
        <v/>
      </c>
    </row>
    <row r="1937" spans="2:2" x14ac:dyDescent="0.2">
      <c r="B1937" t="str">
        <f t="shared" si="32"/>
        <v/>
      </c>
    </row>
    <row r="1938" spans="2:2" x14ac:dyDescent="0.2">
      <c r="B1938" t="str">
        <f t="shared" si="32"/>
        <v/>
      </c>
    </row>
    <row r="1939" spans="2:2" x14ac:dyDescent="0.2">
      <c r="B1939" t="str">
        <f t="shared" si="32"/>
        <v/>
      </c>
    </row>
    <row r="1940" spans="2:2" x14ac:dyDescent="0.2">
      <c r="B1940" t="str">
        <f t="shared" si="32"/>
        <v/>
      </c>
    </row>
    <row r="1941" spans="2:2" x14ac:dyDescent="0.2">
      <c r="B1941" t="str">
        <f t="shared" si="32"/>
        <v/>
      </c>
    </row>
    <row r="1942" spans="2:2" x14ac:dyDescent="0.2">
      <c r="B1942" t="str">
        <f t="shared" si="32"/>
        <v/>
      </c>
    </row>
    <row r="1943" spans="2:2" x14ac:dyDescent="0.2">
      <c r="B1943" t="str">
        <f t="shared" si="32"/>
        <v/>
      </c>
    </row>
    <row r="1944" spans="2:2" x14ac:dyDescent="0.2">
      <c r="B1944" t="str">
        <f t="shared" si="32"/>
        <v/>
      </c>
    </row>
    <row r="1945" spans="2:2" x14ac:dyDescent="0.2">
      <c r="B1945" t="str">
        <f t="shared" si="32"/>
        <v/>
      </c>
    </row>
    <row r="1946" spans="2:2" x14ac:dyDescent="0.2">
      <c r="B1946" t="str">
        <f t="shared" si="32"/>
        <v/>
      </c>
    </row>
    <row r="1947" spans="2:2" x14ac:dyDescent="0.2">
      <c r="B1947" t="str">
        <f t="shared" si="32"/>
        <v/>
      </c>
    </row>
    <row r="1948" spans="2:2" x14ac:dyDescent="0.2">
      <c r="B1948" t="str">
        <f t="shared" si="32"/>
        <v/>
      </c>
    </row>
    <row r="1949" spans="2:2" x14ac:dyDescent="0.2">
      <c r="B1949" t="str">
        <f t="shared" si="32"/>
        <v/>
      </c>
    </row>
    <row r="1950" spans="2:2" x14ac:dyDescent="0.2">
      <c r="B1950" t="str">
        <f t="shared" si="32"/>
        <v/>
      </c>
    </row>
    <row r="1951" spans="2:2" x14ac:dyDescent="0.2">
      <c r="B1951" t="str">
        <f t="shared" si="32"/>
        <v/>
      </c>
    </row>
    <row r="1952" spans="2:2" x14ac:dyDescent="0.2">
      <c r="B1952" t="str">
        <f t="shared" si="32"/>
        <v/>
      </c>
    </row>
    <row r="1953" spans="2:2" x14ac:dyDescent="0.2">
      <c r="B1953" t="str">
        <f t="shared" si="32"/>
        <v/>
      </c>
    </row>
    <row r="1954" spans="2:2" x14ac:dyDescent="0.2">
      <c r="B1954" t="str">
        <f t="shared" si="32"/>
        <v/>
      </c>
    </row>
    <row r="1955" spans="2:2" x14ac:dyDescent="0.2">
      <c r="B1955" t="str">
        <f t="shared" si="32"/>
        <v/>
      </c>
    </row>
    <row r="1956" spans="2:2" x14ac:dyDescent="0.2">
      <c r="B1956" t="str">
        <f t="shared" si="32"/>
        <v/>
      </c>
    </row>
    <row r="1957" spans="2:2" x14ac:dyDescent="0.2">
      <c r="B1957" t="str">
        <f t="shared" si="32"/>
        <v/>
      </c>
    </row>
    <row r="1958" spans="2:2" x14ac:dyDescent="0.2">
      <c r="B1958" t="str">
        <f t="shared" si="32"/>
        <v/>
      </c>
    </row>
    <row r="1959" spans="2:2" x14ac:dyDescent="0.2">
      <c r="B1959" t="str">
        <f t="shared" si="32"/>
        <v/>
      </c>
    </row>
    <row r="1960" spans="2:2" x14ac:dyDescent="0.2">
      <c r="B1960" t="str">
        <f t="shared" si="32"/>
        <v/>
      </c>
    </row>
    <row r="1961" spans="2:2" x14ac:dyDescent="0.2">
      <c r="B1961" t="str">
        <f t="shared" si="32"/>
        <v/>
      </c>
    </row>
    <row r="1962" spans="2:2" x14ac:dyDescent="0.2">
      <c r="B1962" t="str">
        <f t="shared" si="32"/>
        <v/>
      </c>
    </row>
    <row r="1963" spans="2:2" x14ac:dyDescent="0.2">
      <c r="B1963" t="str">
        <f t="shared" si="32"/>
        <v/>
      </c>
    </row>
    <row r="1964" spans="2:2" x14ac:dyDescent="0.2">
      <c r="B1964" t="str">
        <f t="shared" si="32"/>
        <v/>
      </c>
    </row>
    <row r="1965" spans="2:2" x14ac:dyDescent="0.2">
      <c r="B1965" t="str">
        <f t="shared" si="32"/>
        <v/>
      </c>
    </row>
    <row r="1966" spans="2:2" x14ac:dyDescent="0.2">
      <c r="B1966" t="str">
        <f t="shared" si="32"/>
        <v/>
      </c>
    </row>
    <row r="1967" spans="2:2" x14ac:dyDescent="0.2">
      <c r="B1967" t="str">
        <f t="shared" si="32"/>
        <v/>
      </c>
    </row>
    <row r="1968" spans="2:2" x14ac:dyDescent="0.2">
      <c r="B1968" t="str">
        <f t="shared" si="32"/>
        <v/>
      </c>
    </row>
    <row r="1969" spans="2:2" x14ac:dyDescent="0.2">
      <c r="B1969" t="str">
        <f t="shared" si="32"/>
        <v/>
      </c>
    </row>
    <row r="1970" spans="2:2" x14ac:dyDescent="0.2">
      <c r="B1970" t="str">
        <f t="shared" si="32"/>
        <v/>
      </c>
    </row>
    <row r="1971" spans="2:2" x14ac:dyDescent="0.2">
      <c r="B1971" t="str">
        <f t="shared" si="32"/>
        <v/>
      </c>
    </row>
    <row r="1972" spans="2:2" x14ac:dyDescent="0.2">
      <c r="B1972" t="str">
        <f t="shared" si="32"/>
        <v/>
      </c>
    </row>
    <row r="1973" spans="2:2" x14ac:dyDescent="0.2">
      <c r="B1973" t="str">
        <f t="shared" si="32"/>
        <v/>
      </c>
    </row>
    <row r="1974" spans="2:2" x14ac:dyDescent="0.2">
      <c r="B1974" t="str">
        <f t="shared" si="32"/>
        <v/>
      </c>
    </row>
    <row r="1975" spans="2:2" x14ac:dyDescent="0.2">
      <c r="B1975" t="str">
        <f t="shared" si="32"/>
        <v/>
      </c>
    </row>
    <row r="1976" spans="2:2" x14ac:dyDescent="0.2">
      <c r="B1976" t="str">
        <f t="shared" si="32"/>
        <v/>
      </c>
    </row>
    <row r="1977" spans="2:2" x14ac:dyDescent="0.2">
      <c r="B1977" t="str">
        <f t="shared" si="32"/>
        <v/>
      </c>
    </row>
    <row r="1978" spans="2:2" x14ac:dyDescent="0.2">
      <c r="B1978" t="str">
        <f t="shared" si="32"/>
        <v/>
      </c>
    </row>
    <row r="1979" spans="2:2" x14ac:dyDescent="0.2">
      <c r="B1979" t="str">
        <f t="shared" si="32"/>
        <v/>
      </c>
    </row>
    <row r="1980" spans="2:2" x14ac:dyDescent="0.2">
      <c r="B1980" t="str">
        <f t="shared" si="32"/>
        <v/>
      </c>
    </row>
    <row r="1981" spans="2:2" x14ac:dyDescent="0.2">
      <c r="B1981" t="str">
        <f t="shared" si="32"/>
        <v/>
      </c>
    </row>
    <row r="1982" spans="2:2" x14ac:dyDescent="0.2">
      <c r="B1982" t="str">
        <f t="shared" si="32"/>
        <v/>
      </c>
    </row>
    <row r="1983" spans="2:2" x14ac:dyDescent="0.2">
      <c r="B1983" t="str">
        <f t="shared" si="32"/>
        <v/>
      </c>
    </row>
    <row r="1984" spans="2:2" x14ac:dyDescent="0.2">
      <c r="B1984" t="str">
        <f t="shared" si="32"/>
        <v/>
      </c>
    </row>
    <row r="1985" spans="2:2" x14ac:dyDescent="0.2">
      <c r="B1985" t="str">
        <f t="shared" si="32"/>
        <v/>
      </c>
    </row>
    <row r="1986" spans="2:2" x14ac:dyDescent="0.2">
      <c r="B1986" t="str">
        <f t="shared" si="32"/>
        <v/>
      </c>
    </row>
    <row r="1987" spans="2:2" x14ac:dyDescent="0.2">
      <c r="B1987" t="str">
        <f t="shared" si="32"/>
        <v/>
      </c>
    </row>
    <row r="1988" spans="2:2" x14ac:dyDescent="0.2">
      <c r="B1988" t="str">
        <f t="shared" si="32"/>
        <v/>
      </c>
    </row>
    <row r="1989" spans="2:2" x14ac:dyDescent="0.2">
      <c r="B1989" t="str">
        <f t="shared" ref="B1989:B2052" si="33">D1989&amp;I1989</f>
        <v/>
      </c>
    </row>
    <row r="1990" spans="2:2" x14ac:dyDescent="0.2">
      <c r="B1990" t="str">
        <f t="shared" si="33"/>
        <v/>
      </c>
    </row>
    <row r="1991" spans="2:2" x14ac:dyDescent="0.2">
      <c r="B1991" t="str">
        <f t="shared" si="33"/>
        <v/>
      </c>
    </row>
    <row r="1992" spans="2:2" x14ac:dyDescent="0.2">
      <c r="B1992" t="str">
        <f t="shared" si="33"/>
        <v/>
      </c>
    </row>
    <row r="1993" spans="2:2" x14ac:dyDescent="0.2">
      <c r="B1993" t="str">
        <f t="shared" si="33"/>
        <v/>
      </c>
    </row>
    <row r="1994" spans="2:2" x14ac:dyDescent="0.2">
      <c r="B1994" t="str">
        <f t="shared" si="33"/>
        <v/>
      </c>
    </row>
    <row r="1995" spans="2:2" x14ac:dyDescent="0.2">
      <c r="B1995" t="str">
        <f t="shared" si="33"/>
        <v/>
      </c>
    </row>
    <row r="1996" spans="2:2" x14ac:dyDescent="0.2">
      <c r="B1996" t="str">
        <f t="shared" si="33"/>
        <v/>
      </c>
    </row>
    <row r="1997" spans="2:2" x14ac:dyDescent="0.2">
      <c r="B1997" t="str">
        <f t="shared" si="33"/>
        <v/>
      </c>
    </row>
    <row r="1998" spans="2:2" x14ac:dyDescent="0.2">
      <c r="B1998" t="str">
        <f t="shared" si="33"/>
        <v/>
      </c>
    </row>
    <row r="1999" spans="2:2" x14ac:dyDescent="0.2">
      <c r="B1999" t="str">
        <f t="shared" si="33"/>
        <v/>
      </c>
    </row>
    <row r="2000" spans="2:2" x14ac:dyDescent="0.2">
      <c r="B2000" t="str">
        <f t="shared" si="33"/>
        <v/>
      </c>
    </row>
    <row r="2001" spans="2:2" x14ac:dyDescent="0.2">
      <c r="B2001" t="str">
        <f t="shared" si="33"/>
        <v/>
      </c>
    </row>
    <row r="2002" spans="2:2" x14ac:dyDescent="0.2">
      <c r="B2002" t="str">
        <f t="shared" si="33"/>
        <v/>
      </c>
    </row>
    <row r="2003" spans="2:2" x14ac:dyDescent="0.2">
      <c r="B2003" t="str">
        <f t="shared" si="33"/>
        <v/>
      </c>
    </row>
    <row r="2004" spans="2:2" x14ac:dyDescent="0.2">
      <c r="B2004" t="str">
        <f t="shared" si="33"/>
        <v/>
      </c>
    </row>
    <row r="2005" spans="2:2" x14ac:dyDescent="0.2">
      <c r="B2005" t="str">
        <f t="shared" si="33"/>
        <v/>
      </c>
    </row>
    <row r="2006" spans="2:2" x14ac:dyDescent="0.2">
      <c r="B2006" t="str">
        <f t="shared" si="33"/>
        <v/>
      </c>
    </row>
    <row r="2007" spans="2:2" x14ac:dyDescent="0.2">
      <c r="B2007" t="str">
        <f t="shared" si="33"/>
        <v/>
      </c>
    </row>
    <row r="2008" spans="2:2" x14ac:dyDescent="0.2">
      <c r="B2008" t="str">
        <f t="shared" si="33"/>
        <v/>
      </c>
    </row>
    <row r="2009" spans="2:2" x14ac:dyDescent="0.2">
      <c r="B2009" t="str">
        <f t="shared" si="33"/>
        <v/>
      </c>
    </row>
    <row r="2010" spans="2:2" x14ac:dyDescent="0.2">
      <c r="B2010" t="str">
        <f t="shared" si="33"/>
        <v/>
      </c>
    </row>
    <row r="2011" spans="2:2" x14ac:dyDescent="0.2">
      <c r="B2011" t="str">
        <f t="shared" si="33"/>
        <v/>
      </c>
    </row>
    <row r="2012" spans="2:2" x14ac:dyDescent="0.2">
      <c r="B2012" t="str">
        <f t="shared" si="33"/>
        <v/>
      </c>
    </row>
    <row r="2013" spans="2:2" x14ac:dyDescent="0.2">
      <c r="B2013" t="str">
        <f t="shared" si="33"/>
        <v/>
      </c>
    </row>
    <row r="2014" spans="2:2" x14ac:dyDescent="0.2">
      <c r="B2014" t="str">
        <f t="shared" si="33"/>
        <v/>
      </c>
    </row>
    <row r="2015" spans="2:2" x14ac:dyDescent="0.2">
      <c r="B2015" t="str">
        <f t="shared" si="33"/>
        <v/>
      </c>
    </row>
    <row r="2016" spans="2:2" x14ac:dyDescent="0.2">
      <c r="B2016" t="str">
        <f t="shared" si="33"/>
        <v/>
      </c>
    </row>
    <row r="2017" spans="2:2" x14ac:dyDescent="0.2">
      <c r="B2017" t="str">
        <f t="shared" si="33"/>
        <v/>
      </c>
    </row>
    <row r="2018" spans="2:2" x14ac:dyDescent="0.2">
      <c r="B2018" t="str">
        <f t="shared" si="33"/>
        <v/>
      </c>
    </row>
    <row r="2019" spans="2:2" x14ac:dyDescent="0.2">
      <c r="B2019" t="str">
        <f t="shared" si="33"/>
        <v/>
      </c>
    </row>
    <row r="2020" spans="2:2" x14ac:dyDescent="0.2">
      <c r="B2020" t="str">
        <f t="shared" si="33"/>
        <v/>
      </c>
    </row>
    <row r="2021" spans="2:2" x14ac:dyDescent="0.2">
      <c r="B2021" t="str">
        <f t="shared" si="33"/>
        <v/>
      </c>
    </row>
    <row r="2022" spans="2:2" x14ac:dyDescent="0.2">
      <c r="B2022" t="str">
        <f t="shared" si="33"/>
        <v/>
      </c>
    </row>
    <row r="2023" spans="2:2" x14ac:dyDescent="0.2">
      <c r="B2023" t="str">
        <f t="shared" si="33"/>
        <v/>
      </c>
    </row>
    <row r="2024" spans="2:2" x14ac:dyDescent="0.2">
      <c r="B2024" t="str">
        <f t="shared" si="33"/>
        <v/>
      </c>
    </row>
    <row r="2025" spans="2:2" x14ac:dyDescent="0.2">
      <c r="B2025" t="str">
        <f t="shared" si="33"/>
        <v/>
      </c>
    </row>
    <row r="2026" spans="2:2" x14ac:dyDescent="0.2">
      <c r="B2026" t="str">
        <f t="shared" si="33"/>
        <v/>
      </c>
    </row>
    <row r="2027" spans="2:2" x14ac:dyDescent="0.2">
      <c r="B2027" t="str">
        <f t="shared" si="33"/>
        <v/>
      </c>
    </row>
    <row r="2028" spans="2:2" x14ac:dyDescent="0.2">
      <c r="B2028" t="str">
        <f t="shared" si="33"/>
        <v/>
      </c>
    </row>
    <row r="2029" spans="2:2" x14ac:dyDescent="0.2">
      <c r="B2029" t="str">
        <f t="shared" si="33"/>
        <v/>
      </c>
    </row>
    <row r="2030" spans="2:2" x14ac:dyDescent="0.2">
      <c r="B2030" t="str">
        <f t="shared" si="33"/>
        <v/>
      </c>
    </row>
    <row r="2031" spans="2:2" x14ac:dyDescent="0.2">
      <c r="B2031" t="str">
        <f t="shared" si="33"/>
        <v/>
      </c>
    </row>
    <row r="2032" spans="2:2" x14ac:dyDescent="0.2">
      <c r="B2032" t="str">
        <f t="shared" si="33"/>
        <v/>
      </c>
    </row>
    <row r="2033" spans="2:2" x14ac:dyDescent="0.2">
      <c r="B2033" t="str">
        <f t="shared" si="33"/>
        <v/>
      </c>
    </row>
    <row r="2034" spans="2:2" x14ac:dyDescent="0.2">
      <c r="B2034" t="str">
        <f t="shared" si="33"/>
        <v/>
      </c>
    </row>
    <row r="2035" spans="2:2" x14ac:dyDescent="0.2">
      <c r="B2035" t="str">
        <f t="shared" si="33"/>
        <v/>
      </c>
    </row>
    <row r="2036" spans="2:2" x14ac:dyDescent="0.2">
      <c r="B2036" t="str">
        <f t="shared" si="33"/>
        <v/>
      </c>
    </row>
    <row r="2037" spans="2:2" x14ac:dyDescent="0.2">
      <c r="B2037" t="str">
        <f t="shared" si="33"/>
        <v/>
      </c>
    </row>
    <row r="2038" spans="2:2" x14ac:dyDescent="0.2">
      <c r="B2038" t="str">
        <f t="shared" si="33"/>
        <v/>
      </c>
    </row>
    <row r="2039" spans="2:2" x14ac:dyDescent="0.2">
      <c r="B2039" t="str">
        <f t="shared" si="33"/>
        <v/>
      </c>
    </row>
    <row r="2040" spans="2:2" x14ac:dyDescent="0.2">
      <c r="B2040" t="str">
        <f t="shared" si="33"/>
        <v/>
      </c>
    </row>
    <row r="2041" spans="2:2" x14ac:dyDescent="0.2">
      <c r="B2041" t="str">
        <f t="shared" si="33"/>
        <v/>
      </c>
    </row>
    <row r="2042" spans="2:2" x14ac:dyDescent="0.2">
      <c r="B2042" t="str">
        <f t="shared" si="33"/>
        <v/>
      </c>
    </row>
    <row r="2043" spans="2:2" x14ac:dyDescent="0.2">
      <c r="B2043" t="str">
        <f t="shared" si="33"/>
        <v/>
      </c>
    </row>
    <row r="2044" spans="2:2" x14ac:dyDescent="0.2">
      <c r="B2044" t="str">
        <f t="shared" si="33"/>
        <v/>
      </c>
    </row>
    <row r="2045" spans="2:2" x14ac:dyDescent="0.2">
      <c r="B2045" t="str">
        <f t="shared" si="33"/>
        <v/>
      </c>
    </row>
    <row r="2046" spans="2:2" x14ac:dyDescent="0.2">
      <c r="B2046" t="str">
        <f t="shared" si="33"/>
        <v/>
      </c>
    </row>
    <row r="2047" spans="2:2" x14ac:dyDescent="0.2">
      <c r="B2047" t="str">
        <f t="shared" si="33"/>
        <v/>
      </c>
    </row>
    <row r="2048" spans="2:2" x14ac:dyDescent="0.2">
      <c r="B2048" t="str">
        <f t="shared" si="33"/>
        <v/>
      </c>
    </row>
    <row r="2049" spans="2:2" x14ac:dyDescent="0.2">
      <c r="B2049" t="str">
        <f t="shared" si="33"/>
        <v/>
      </c>
    </row>
    <row r="2050" spans="2:2" x14ac:dyDescent="0.2">
      <c r="B2050" t="str">
        <f t="shared" si="33"/>
        <v/>
      </c>
    </row>
    <row r="2051" spans="2:2" x14ac:dyDescent="0.2">
      <c r="B2051" t="str">
        <f t="shared" si="33"/>
        <v/>
      </c>
    </row>
    <row r="2052" spans="2:2" x14ac:dyDescent="0.2">
      <c r="B2052" t="str">
        <f t="shared" si="33"/>
        <v/>
      </c>
    </row>
    <row r="2053" spans="2:2" x14ac:dyDescent="0.2">
      <c r="B2053" t="str">
        <f t="shared" ref="B2053:B2116" si="34">D2053&amp;I2053</f>
        <v/>
      </c>
    </row>
    <row r="2054" spans="2:2" x14ac:dyDescent="0.2">
      <c r="B2054" t="str">
        <f t="shared" si="34"/>
        <v/>
      </c>
    </row>
    <row r="2055" spans="2:2" x14ac:dyDescent="0.2">
      <c r="B2055" t="str">
        <f t="shared" si="34"/>
        <v/>
      </c>
    </row>
    <row r="2056" spans="2:2" x14ac:dyDescent="0.2">
      <c r="B2056" t="str">
        <f t="shared" si="34"/>
        <v/>
      </c>
    </row>
    <row r="2057" spans="2:2" x14ac:dyDescent="0.2">
      <c r="B2057" t="str">
        <f t="shared" si="34"/>
        <v/>
      </c>
    </row>
    <row r="2058" spans="2:2" x14ac:dyDescent="0.2">
      <c r="B2058" t="str">
        <f t="shared" si="34"/>
        <v/>
      </c>
    </row>
    <row r="2059" spans="2:2" x14ac:dyDescent="0.2">
      <c r="B2059" t="str">
        <f t="shared" si="34"/>
        <v/>
      </c>
    </row>
    <row r="2060" spans="2:2" x14ac:dyDescent="0.2">
      <c r="B2060" t="str">
        <f t="shared" si="34"/>
        <v/>
      </c>
    </row>
    <row r="2061" spans="2:2" x14ac:dyDescent="0.2">
      <c r="B2061" t="str">
        <f t="shared" si="34"/>
        <v/>
      </c>
    </row>
    <row r="2062" spans="2:2" x14ac:dyDescent="0.2">
      <c r="B2062" t="str">
        <f t="shared" si="34"/>
        <v/>
      </c>
    </row>
    <row r="2063" spans="2:2" x14ac:dyDescent="0.2">
      <c r="B2063" t="str">
        <f t="shared" si="34"/>
        <v/>
      </c>
    </row>
    <row r="2064" spans="2:2" x14ac:dyDescent="0.2">
      <c r="B2064" t="str">
        <f t="shared" si="34"/>
        <v/>
      </c>
    </row>
    <row r="2065" spans="2:2" x14ac:dyDescent="0.2">
      <c r="B2065" t="str">
        <f t="shared" si="34"/>
        <v/>
      </c>
    </row>
    <row r="2066" spans="2:2" x14ac:dyDescent="0.2">
      <c r="B2066" t="str">
        <f t="shared" si="34"/>
        <v/>
      </c>
    </row>
    <row r="2067" spans="2:2" x14ac:dyDescent="0.2">
      <c r="B2067" t="str">
        <f t="shared" si="34"/>
        <v/>
      </c>
    </row>
    <row r="2068" spans="2:2" x14ac:dyDescent="0.2">
      <c r="B2068" t="str">
        <f t="shared" si="34"/>
        <v/>
      </c>
    </row>
    <row r="2069" spans="2:2" x14ac:dyDescent="0.2">
      <c r="B2069" t="str">
        <f t="shared" si="34"/>
        <v/>
      </c>
    </row>
    <row r="2070" spans="2:2" x14ac:dyDescent="0.2">
      <c r="B2070" t="str">
        <f t="shared" si="34"/>
        <v/>
      </c>
    </row>
    <row r="2071" spans="2:2" x14ac:dyDescent="0.2">
      <c r="B2071" t="str">
        <f t="shared" si="34"/>
        <v/>
      </c>
    </row>
    <row r="2072" spans="2:2" x14ac:dyDescent="0.2">
      <c r="B2072" t="str">
        <f t="shared" si="34"/>
        <v/>
      </c>
    </row>
    <row r="2073" spans="2:2" x14ac:dyDescent="0.2">
      <c r="B2073" t="str">
        <f t="shared" si="34"/>
        <v/>
      </c>
    </row>
    <row r="2074" spans="2:2" x14ac:dyDescent="0.2">
      <c r="B2074" t="str">
        <f t="shared" si="34"/>
        <v/>
      </c>
    </row>
    <row r="2075" spans="2:2" x14ac:dyDescent="0.2">
      <c r="B2075" t="str">
        <f t="shared" si="34"/>
        <v/>
      </c>
    </row>
    <row r="2076" spans="2:2" x14ac:dyDescent="0.2">
      <c r="B2076" t="str">
        <f t="shared" si="34"/>
        <v/>
      </c>
    </row>
    <row r="2077" spans="2:2" x14ac:dyDescent="0.2">
      <c r="B2077" t="str">
        <f t="shared" si="34"/>
        <v/>
      </c>
    </row>
    <row r="2078" spans="2:2" x14ac:dyDescent="0.2">
      <c r="B2078" t="str">
        <f t="shared" si="34"/>
        <v/>
      </c>
    </row>
    <row r="2079" spans="2:2" x14ac:dyDescent="0.2">
      <c r="B2079" t="str">
        <f t="shared" si="34"/>
        <v/>
      </c>
    </row>
    <row r="2080" spans="2:2" x14ac:dyDescent="0.2">
      <c r="B2080" t="str">
        <f t="shared" si="34"/>
        <v/>
      </c>
    </row>
    <row r="2081" spans="2:2" x14ac:dyDescent="0.2">
      <c r="B2081" t="str">
        <f t="shared" si="34"/>
        <v/>
      </c>
    </row>
    <row r="2082" spans="2:2" x14ac:dyDescent="0.2">
      <c r="B2082" t="str">
        <f t="shared" si="34"/>
        <v/>
      </c>
    </row>
    <row r="2083" spans="2:2" x14ac:dyDescent="0.2">
      <c r="B2083" t="str">
        <f t="shared" si="34"/>
        <v/>
      </c>
    </row>
    <row r="2084" spans="2:2" x14ac:dyDescent="0.2">
      <c r="B2084" t="str">
        <f t="shared" si="34"/>
        <v/>
      </c>
    </row>
    <row r="2085" spans="2:2" x14ac:dyDescent="0.2">
      <c r="B2085" t="str">
        <f t="shared" si="34"/>
        <v/>
      </c>
    </row>
    <row r="2086" spans="2:2" x14ac:dyDescent="0.2">
      <c r="B2086" t="str">
        <f t="shared" si="34"/>
        <v/>
      </c>
    </row>
    <row r="2087" spans="2:2" x14ac:dyDescent="0.2">
      <c r="B2087" t="str">
        <f t="shared" si="34"/>
        <v/>
      </c>
    </row>
    <row r="2088" spans="2:2" x14ac:dyDescent="0.2">
      <c r="B2088" t="str">
        <f t="shared" si="34"/>
        <v/>
      </c>
    </row>
    <row r="2089" spans="2:2" x14ac:dyDescent="0.2">
      <c r="B2089" t="str">
        <f t="shared" si="34"/>
        <v/>
      </c>
    </row>
    <row r="2090" spans="2:2" x14ac:dyDescent="0.2">
      <c r="B2090" t="str">
        <f t="shared" si="34"/>
        <v/>
      </c>
    </row>
    <row r="2091" spans="2:2" x14ac:dyDescent="0.2">
      <c r="B2091" t="str">
        <f t="shared" si="34"/>
        <v/>
      </c>
    </row>
    <row r="2092" spans="2:2" x14ac:dyDescent="0.2">
      <c r="B2092" t="str">
        <f t="shared" si="34"/>
        <v/>
      </c>
    </row>
    <row r="2093" spans="2:2" x14ac:dyDescent="0.2">
      <c r="B2093" t="str">
        <f t="shared" si="34"/>
        <v/>
      </c>
    </row>
    <row r="2094" spans="2:2" x14ac:dyDescent="0.2">
      <c r="B2094" t="str">
        <f t="shared" si="34"/>
        <v/>
      </c>
    </row>
    <row r="2095" spans="2:2" x14ac:dyDescent="0.2">
      <c r="B2095" t="str">
        <f t="shared" si="34"/>
        <v/>
      </c>
    </row>
    <row r="2096" spans="2:2" x14ac:dyDescent="0.2">
      <c r="B2096" t="str">
        <f t="shared" si="34"/>
        <v/>
      </c>
    </row>
    <row r="2097" spans="2:2" x14ac:dyDescent="0.2">
      <c r="B2097" t="str">
        <f t="shared" si="34"/>
        <v/>
      </c>
    </row>
    <row r="2098" spans="2:2" x14ac:dyDescent="0.2">
      <c r="B2098" t="str">
        <f t="shared" si="34"/>
        <v/>
      </c>
    </row>
    <row r="2099" spans="2:2" x14ac:dyDescent="0.2">
      <c r="B2099" t="str">
        <f t="shared" si="34"/>
        <v/>
      </c>
    </row>
    <row r="2100" spans="2:2" x14ac:dyDescent="0.2">
      <c r="B2100" t="str">
        <f t="shared" si="34"/>
        <v/>
      </c>
    </row>
    <row r="2101" spans="2:2" x14ac:dyDescent="0.2">
      <c r="B2101" t="str">
        <f t="shared" si="34"/>
        <v/>
      </c>
    </row>
    <row r="2102" spans="2:2" x14ac:dyDescent="0.2">
      <c r="B2102" t="str">
        <f t="shared" si="34"/>
        <v/>
      </c>
    </row>
    <row r="2103" spans="2:2" x14ac:dyDescent="0.2">
      <c r="B2103" t="str">
        <f t="shared" si="34"/>
        <v/>
      </c>
    </row>
    <row r="2104" spans="2:2" x14ac:dyDescent="0.2">
      <c r="B2104" t="str">
        <f t="shared" si="34"/>
        <v/>
      </c>
    </row>
    <row r="2105" spans="2:2" x14ac:dyDescent="0.2">
      <c r="B2105" t="str">
        <f t="shared" si="34"/>
        <v/>
      </c>
    </row>
    <row r="2106" spans="2:2" x14ac:dyDescent="0.2">
      <c r="B2106" t="str">
        <f t="shared" si="34"/>
        <v/>
      </c>
    </row>
    <row r="2107" spans="2:2" x14ac:dyDescent="0.2">
      <c r="B2107" t="str">
        <f t="shared" si="34"/>
        <v/>
      </c>
    </row>
    <row r="2108" spans="2:2" x14ac:dyDescent="0.2">
      <c r="B2108" t="str">
        <f t="shared" si="34"/>
        <v/>
      </c>
    </row>
    <row r="2109" spans="2:2" x14ac:dyDescent="0.2">
      <c r="B2109" t="str">
        <f t="shared" si="34"/>
        <v/>
      </c>
    </row>
    <row r="2110" spans="2:2" x14ac:dyDescent="0.2">
      <c r="B2110" t="str">
        <f t="shared" si="34"/>
        <v/>
      </c>
    </row>
    <row r="2111" spans="2:2" x14ac:dyDescent="0.2">
      <c r="B2111" t="str">
        <f t="shared" si="34"/>
        <v/>
      </c>
    </row>
    <row r="2112" spans="2:2" x14ac:dyDescent="0.2">
      <c r="B2112" t="str">
        <f t="shared" si="34"/>
        <v/>
      </c>
    </row>
    <row r="2113" spans="2:2" x14ac:dyDescent="0.2">
      <c r="B2113" t="str">
        <f t="shared" si="34"/>
        <v/>
      </c>
    </row>
    <row r="2114" spans="2:2" x14ac:dyDescent="0.2">
      <c r="B2114" t="str">
        <f t="shared" si="34"/>
        <v/>
      </c>
    </row>
    <row r="2115" spans="2:2" x14ac:dyDescent="0.2">
      <c r="B2115" t="str">
        <f t="shared" si="34"/>
        <v/>
      </c>
    </row>
    <row r="2116" spans="2:2" x14ac:dyDescent="0.2">
      <c r="B2116" t="str">
        <f t="shared" si="34"/>
        <v/>
      </c>
    </row>
    <row r="2117" spans="2:2" x14ac:dyDescent="0.2">
      <c r="B2117" t="str">
        <f t="shared" ref="B2117:B2180" si="35">D2117&amp;I2117</f>
        <v/>
      </c>
    </row>
    <row r="2118" spans="2:2" x14ac:dyDescent="0.2">
      <c r="B2118" t="str">
        <f t="shared" si="35"/>
        <v/>
      </c>
    </row>
    <row r="2119" spans="2:2" x14ac:dyDescent="0.2">
      <c r="B2119" t="str">
        <f t="shared" si="35"/>
        <v/>
      </c>
    </row>
    <row r="2120" spans="2:2" x14ac:dyDescent="0.2">
      <c r="B2120" t="str">
        <f t="shared" si="35"/>
        <v/>
      </c>
    </row>
    <row r="2121" spans="2:2" x14ac:dyDescent="0.2">
      <c r="B2121" t="str">
        <f t="shared" si="35"/>
        <v/>
      </c>
    </row>
    <row r="2122" spans="2:2" x14ac:dyDescent="0.2">
      <c r="B2122" t="str">
        <f t="shared" si="35"/>
        <v/>
      </c>
    </row>
    <row r="2123" spans="2:2" x14ac:dyDescent="0.2">
      <c r="B2123" t="str">
        <f t="shared" si="35"/>
        <v/>
      </c>
    </row>
    <row r="2124" spans="2:2" x14ac:dyDescent="0.2">
      <c r="B2124" t="str">
        <f t="shared" si="35"/>
        <v/>
      </c>
    </row>
    <row r="2125" spans="2:2" x14ac:dyDescent="0.2">
      <c r="B2125" t="str">
        <f t="shared" si="35"/>
        <v/>
      </c>
    </row>
    <row r="2126" spans="2:2" x14ac:dyDescent="0.2">
      <c r="B2126" t="str">
        <f t="shared" si="35"/>
        <v/>
      </c>
    </row>
    <row r="2127" spans="2:2" x14ac:dyDescent="0.2">
      <c r="B2127" t="str">
        <f t="shared" si="35"/>
        <v/>
      </c>
    </row>
    <row r="2128" spans="2:2" x14ac:dyDescent="0.2">
      <c r="B2128" t="str">
        <f t="shared" si="35"/>
        <v/>
      </c>
    </row>
    <row r="2129" spans="2:2" x14ac:dyDescent="0.2">
      <c r="B2129" t="str">
        <f t="shared" si="35"/>
        <v/>
      </c>
    </row>
    <row r="2130" spans="2:2" x14ac:dyDescent="0.2">
      <c r="B2130" t="str">
        <f t="shared" si="35"/>
        <v/>
      </c>
    </row>
    <row r="2131" spans="2:2" x14ac:dyDescent="0.2">
      <c r="B2131" t="str">
        <f t="shared" si="35"/>
        <v/>
      </c>
    </row>
    <row r="2132" spans="2:2" x14ac:dyDescent="0.2">
      <c r="B2132" t="str">
        <f t="shared" si="35"/>
        <v/>
      </c>
    </row>
    <row r="2133" spans="2:2" x14ac:dyDescent="0.2">
      <c r="B2133" t="str">
        <f t="shared" si="35"/>
        <v/>
      </c>
    </row>
    <row r="2134" spans="2:2" x14ac:dyDescent="0.2">
      <c r="B2134" t="str">
        <f t="shared" si="35"/>
        <v/>
      </c>
    </row>
    <row r="2135" spans="2:2" x14ac:dyDescent="0.2">
      <c r="B2135" t="str">
        <f t="shared" si="35"/>
        <v/>
      </c>
    </row>
    <row r="2136" spans="2:2" x14ac:dyDescent="0.2">
      <c r="B2136" t="str">
        <f t="shared" si="35"/>
        <v/>
      </c>
    </row>
    <row r="2137" spans="2:2" x14ac:dyDescent="0.2">
      <c r="B2137" t="str">
        <f t="shared" si="35"/>
        <v/>
      </c>
    </row>
    <row r="2138" spans="2:2" x14ac:dyDescent="0.2">
      <c r="B2138" t="str">
        <f t="shared" si="35"/>
        <v/>
      </c>
    </row>
    <row r="2139" spans="2:2" x14ac:dyDescent="0.2">
      <c r="B2139" t="str">
        <f t="shared" si="35"/>
        <v/>
      </c>
    </row>
    <row r="2140" spans="2:2" x14ac:dyDescent="0.2">
      <c r="B2140" t="str">
        <f t="shared" si="35"/>
        <v/>
      </c>
    </row>
    <row r="2141" spans="2:2" x14ac:dyDescent="0.2">
      <c r="B2141" t="str">
        <f t="shared" si="35"/>
        <v/>
      </c>
    </row>
    <row r="2142" spans="2:2" x14ac:dyDescent="0.2">
      <c r="B2142" t="str">
        <f t="shared" si="35"/>
        <v/>
      </c>
    </row>
    <row r="2143" spans="2:2" x14ac:dyDescent="0.2">
      <c r="B2143" t="str">
        <f t="shared" si="35"/>
        <v/>
      </c>
    </row>
    <row r="2144" spans="2:2" x14ac:dyDescent="0.2">
      <c r="B2144" t="str">
        <f t="shared" si="35"/>
        <v/>
      </c>
    </row>
    <row r="2145" spans="2:2" x14ac:dyDescent="0.2">
      <c r="B2145" t="str">
        <f t="shared" si="35"/>
        <v/>
      </c>
    </row>
    <row r="2146" spans="2:2" x14ac:dyDescent="0.2">
      <c r="B2146" t="str">
        <f t="shared" si="35"/>
        <v/>
      </c>
    </row>
    <row r="2147" spans="2:2" x14ac:dyDescent="0.2">
      <c r="B2147" t="str">
        <f t="shared" si="35"/>
        <v/>
      </c>
    </row>
    <row r="2148" spans="2:2" x14ac:dyDescent="0.2">
      <c r="B2148" t="str">
        <f t="shared" si="35"/>
        <v/>
      </c>
    </row>
    <row r="2149" spans="2:2" x14ac:dyDescent="0.2">
      <c r="B2149" t="str">
        <f t="shared" si="35"/>
        <v/>
      </c>
    </row>
    <row r="2150" spans="2:2" x14ac:dyDescent="0.2">
      <c r="B2150" t="str">
        <f t="shared" si="35"/>
        <v/>
      </c>
    </row>
    <row r="2151" spans="2:2" x14ac:dyDescent="0.2">
      <c r="B2151" t="str">
        <f t="shared" si="35"/>
        <v/>
      </c>
    </row>
    <row r="2152" spans="2:2" x14ac:dyDescent="0.2">
      <c r="B2152" t="str">
        <f t="shared" si="35"/>
        <v/>
      </c>
    </row>
    <row r="2153" spans="2:2" x14ac:dyDescent="0.2">
      <c r="B2153" t="str">
        <f t="shared" si="35"/>
        <v/>
      </c>
    </row>
    <row r="2154" spans="2:2" x14ac:dyDescent="0.2">
      <c r="B2154" t="str">
        <f t="shared" si="35"/>
        <v/>
      </c>
    </row>
    <row r="2155" spans="2:2" x14ac:dyDescent="0.2">
      <c r="B2155" t="str">
        <f t="shared" si="35"/>
        <v/>
      </c>
    </row>
    <row r="2156" spans="2:2" x14ac:dyDescent="0.2">
      <c r="B2156" t="str">
        <f t="shared" si="35"/>
        <v/>
      </c>
    </row>
    <row r="2157" spans="2:2" x14ac:dyDescent="0.2">
      <c r="B2157" t="str">
        <f t="shared" si="35"/>
        <v/>
      </c>
    </row>
    <row r="2158" spans="2:2" x14ac:dyDescent="0.2">
      <c r="B2158" t="str">
        <f t="shared" si="35"/>
        <v/>
      </c>
    </row>
    <row r="2159" spans="2:2" x14ac:dyDescent="0.2">
      <c r="B2159" t="str">
        <f t="shared" si="35"/>
        <v/>
      </c>
    </row>
    <row r="2160" spans="2:2" x14ac:dyDescent="0.2">
      <c r="B2160" t="str">
        <f t="shared" si="35"/>
        <v/>
      </c>
    </row>
    <row r="2161" spans="2:2" x14ac:dyDescent="0.2">
      <c r="B2161" t="str">
        <f t="shared" si="35"/>
        <v/>
      </c>
    </row>
    <row r="2162" spans="2:2" x14ac:dyDescent="0.2">
      <c r="B2162" t="str">
        <f t="shared" si="35"/>
        <v/>
      </c>
    </row>
    <row r="2163" spans="2:2" x14ac:dyDescent="0.2">
      <c r="B2163" t="str">
        <f t="shared" si="35"/>
        <v/>
      </c>
    </row>
    <row r="2164" spans="2:2" x14ac:dyDescent="0.2">
      <c r="B2164" t="str">
        <f t="shared" si="35"/>
        <v/>
      </c>
    </row>
    <row r="2165" spans="2:2" x14ac:dyDescent="0.2">
      <c r="B2165" t="str">
        <f t="shared" si="35"/>
        <v/>
      </c>
    </row>
    <row r="2166" spans="2:2" x14ac:dyDescent="0.2">
      <c r="B2166" t="str">
        <f t="shared" si="35"/>
        <v/>
      </c>
    </row>
    <row r="2167" spans="2:2" x14ac:dyDescent="0.2">
      <c r="B2167" t="str">
        <f t="shared" si="35"/>
        <v/>
      </c>
    </row>
    <row r="2168" spans="2:2" x14ac:dyDescent="0.2">
      <c r="B2168" t="str">
        <f t="shared" si="35"/>
        <v/>
      </c>
    </row>
    <row r="2169" spans="2:2" x14ac:dyDescent="0.2">
      <c r="B2169" t="str">
        <f t="shared" si="35"/>
        <v/>
      </c>
    </row>
    <row r="2170" spans="2:2" x14ac:dyDescent="0.2">
      <c r="B2170" t="str">
        <f t="shared" si="35"/>
        <v/>
      </c>
    </row>
    <row r="2171" spans="2:2" x14ac:dyDescent="0.2">
      <c r="B2171" t="str">
        <f t="shared" si="35"/>
        <v/>
      </c>
    </row>
    <row r="2172" spans="2:2" x14ac:dyDescent="0.2">
      <c r="B2172" t="str">
        <f t="shared" si="35"/>
        <v/>
      </c>
    </row>
    <row r="2173" spans="2:2" x14ac:dyDescent="0.2">
      <c r="B2173" t="str">
        <f t="shared" si="35"/>
        <v/>
      </c>
    </row>
    <row r="2174" spans="2:2" x14ac:dyDescent="0.2">
      <c r="B2174" t="str">
        <f t="shared" si="35"/>
        <v/>
      </c>
    </row>
    <row r="2175" spans="2:2" x14ac:dyDescent="0.2">
      <c r="B2175" t="str">
        <f t="shared" si="35"/>
        <v/>
      </c>
    </row>
    <row r="2176" spans="2:2" x14ac:dyDescent="0.2">
      <c r="B2176" t="str">
        <f t="shared" si="35"/>
        <v/>
      </c>
    </row>
    <row r="2177" spans="2:2" x14ac:dyDescent="0.2">
      <c r="B2177" t="str">
        <f t="shared" si="35"/>
        <v/>
      </c>
    </row>
    <row r="2178" spans="2:2" x14ac:dyDescent="0.2">
      <c r="B2178" t="str">
        <f t="shared" si="35"/>
        <v/>
      </c>
    </row>
    <row r="2179" spans="2:2" x14ac:dyDescent="0.2">
      <c r="B2179" t="str">
        <f t="shared" si="35"/>
        <v/>
      </c>
    </row>
    <row r="2180" spans="2:2" x14ac:dyDescent="0.2">
      <c r="B2180" t="str">
        <f t="shared" si="35"/>
        <v/>
      </c>
    </row>
    <row r="2181" spans="2:2" x14ac:dyDescent="0.2">
      <c r="B2181" t="str">
        <f t="shared" ref="B2181:B2244" si="36">D2181&amp;I2181</f>
        <v/>
      </c>
    </row>
    <row r="2182" spans="2:2" x14ac:dyDescent="0.2">
      <c r="B2182" t="str">
        <f t="shared" si="36"/>
        <v/>
      </c>
    </row>
    <row r="2183" spans="2:2" x14ac:dyDescent="0.2">
      <c r="B2183" t="str">
        <f t="shared" si="36"/>
        <v/>
      </c>
    </row>
    <row r="2184" spans="2:2" x14ac:dyDescent="0.2">
      <c r="B2184" t="str">
        <f t="shared" si="36"/>
        <v/>
      </c>
    </row>
    <row r="2185" spans="2:2" x14ac:dyDescent="0.2">
      <c r="B2185" t="str">
        <f t="shared" si="36"/>
        <v/>
      </c>
    </row>
    <row r="2186" spans="2:2" x14ac:dyDescent="0.2">
      <c r="B2186" t="str">
        <f t="shared" si="36"/>
        <v/>
      </c>
    </row>
    <row r="2187" spans="2:2" x14ac:dyDescent="0.2">
      <c r="B2187" t="str">
        <f t="shared" si="36"/>
        <v/>
      </c>
    </row>
    <row r="2188" spans="2:2" x14ac:dyDescent="0.2">
      <c r="B2188" t="str">
        <f t="shared" si="36"/>
        <v/>
      </c>
    </row>
    <row r="2189" spans="2:2" x14ac:dyDescent="0.2">
      <c r="B2189" t="str">
        <f t="shared" si="36"/>
        <v/>
      </c>
    </row>
    <row r="2190" spans="2:2" x14ac:dyDescent="0.2">
      <c r="B2190" t="str">
        <f t="shared" si="36"/>
        <v/>
      </c>
    </row>
    <row r="2191" spans="2:2" x14ac:dyDescent="0.2">
      <c r="B2191" t="str">
        <f t="shared" si="36"/>
        <v/>
      </c>
    </row>
    <row r="2192" spans="2:2" x14ac:dyDescent="0.2">
      <c r="B2192" t="str">
        <f t="shared" si="36"/>
        <v/>
      </c>
    </row>
    <row r="2193" spans="2:2" x14ac:dyDescent="0.2">
      <c r="B2193" t="str">
        <f t="shared" si="36"/>
        <v/>
      </c>
    </row>
    <row r="2194" spans="2:2" x14ac:dyDescent="0.2">
      <c r="B2194" t="str">
        <f t="shared" si="36"/>
        <v/>
      </c>
    </row>
    <row r="2195" spans="2:2" x14ac:dyDescent="0.2">
      <c r="B2195" t="str">
        <f t="shared" si="36"/>
        <v/>
      </c>
    </row>
    <row r="2196" spans="2:2" x14ac:dyDescent="0.2">
      <c r="B2196" t="str">
        <f t="shared" si="36"/>
        <v/>
      </c>
    </row>
    <row r="2197" spans="2:2" x14ac:dyDescent="0.2">
      <c r="B2197" t="str">
        <f t="shared" si="36"/>
        <v/>
      </c>
    </row>
    <row r="2198" spans="2:2" x14ac:dyDescent="0.2">
      <c r="B2198" t="str">
        <f t="shared" si="36"/>
        <v/>
      </c>
    </row>
    <row r="2199" spans="2:2" x14ac:dyDescent="0.2">
      <c r="B2199" t="str">
        <f t="shared" si="36"/>
        <v/>
      </c>
    </row>
    <row r="2200" spans="2:2" x14ac:dyDescent="0.2">
      <c r="B2200" t="str">
        <f t="shared" si="36"/>
        <v/>
      </c>
    </row>
    <row r="2201" spans="2:2" x14ac:dyDescent="0.2">
      <c r="B2201" t="str">
        <f t="shared" si="36"/>
        <v/>
      </c>
    </row>
    <row r="2202" spans="2:2" x14ac:dyDescent="0.2">
      <c r="B2202" t="str">
        <f t="shared" si="36"/>
        <v/>
      </c>
    </row>
    <row r="2203" spans="2:2" x14ac:dyDescent="0.2">
      <c r="B2203" t="str">
        <f t="shared" si="36"/>
        <v/>
      </c>
    </row>
    <row r="2204" spans="2:2" x14ac:dyDescent="0.2">
      <c r="B2204" t="str">
        <f t="shared" si="36"/>
        <v/>
      </c>
    </row>
    <row r="2205" spans="2:2" x14ac:dyDescent="0.2">
      <c r="B2205" t="str">
        <f t="shared" si="36"/>
        <v/>
      </c>
    </row>
    <row r="2206" spans="2:2" x14ac:dyDescent="0.2">
      <c r="B2206" t="str">
        <f t="shared" si="36"/>
        <v/>
      </c>
    </row>
    <row r="2207" spans="2:2" x14ac:dyDescent="0.2">
      <c r="B2207" t="str">
        <f t="shared" si="36"/>
        <v/>
      </c>
    </row>
    <row r="2208" spans="2:2" x14ac:dyDescent="0.2">
      <c r="B2208" t="str">
        <f t="shared" si="36"/>
        <v/>
      </c>
    </row>
    <row r="2209" spans="2:2" x14ac:dyDescent="0.2">
      <c r="B2209" t="str">
        <f t="shared" si="36"/>
        <v/>
      </c>
    </row>
    <row r="2210" spans="2:2" x14ac:dyDescent="0.2">
      <c r="B2210" t="str">
        <f t="shared" si="36"/>
        <v/>
      </c>
    </row>
    <row r="2211" spans="2:2" x14ac:dyDescent="0.2">
      <c r="B2211" t="str">
        <f t="shared" si="36"/>
        <v/>
      </c>
    </row>
    <row r="2212" spans="2:2" x14ac:dyDescent="0.2">
      <c r="B2212" t="str">
        <f t="shared" si="36"/>
        <v/>
      </c>
    </row>
    <row r="2213" spans="2:2" x14ac:dyDescent="0.2">
      <c r="B2213" t="str">
        <f t="shared" si="36"/>
        <v/>
      </c>
    </row>
    <row r="2214" spans="2:2" x14ac:dyDescent="0.2">
      <c r="B2214" t="str">
        <f t="shared" si="36"/>
        <v/>
      </c>
    </row>
    <row r="2215" spans="2:2" x14ac:dyDescent="0.2">
      <c r="B2215" t="str">
        <f t="shared" si="36"/>
        <v/>
      </c>
    </row>
    <row r="2216" spans="2:2" x14ac:dyDescent="0.2">
      <c r="B2216" t="str">
        <f t="shared" si="36"/>
        <v/>
      </c>
    </row>
    <row r="2217" spans="2:2" x14ac:dyDescent="0.2">
      <c r="B2217" t="str">
        <f t="shared" si="36"/>
        <v/>
      </c>
    </row>
    <row r="2218" spans="2:2" x14ac:dyDescent="0.2">
      <c r="B2218" t="str">
        <f t="shared" si="36"/>
        <v/>
      </c>
    </row>
    <row r="2219" spans="2:2" x14ac:dyDescent="0.2">
      <c r="B2219" t="str">
        <f t="shared" si="36"/>
        <v/>
      </c>
    </row>
    <row r="2220" spans="2:2" x14ac:dyDescent="0.2">
      <c r="B2220" t="str">
        <f t="shared" si="36"/>
        <v/>
      </c>
    </row>
    <row r="2221" spans="2:2" x14ac:dyDescent="0.2">
      <c r="B2221" t="str">
        <f t="shared" si="36"/>
        <v/>
      </c>
    </row>
    <row r="2222" spans="2:2" x14ac:dyDescent="0.2">
      <c r="B2222" t="str">
        <f t="shared" si="36"/>
        <v/>
      </c>
    </row>
    <row r="2223" spans="2:2" x14ac:dyDescent="0.2">
      <c r="B2223" t="str">
        <f t="shared" si="36"/>
        <v/>
      </c>
    </row>
    <row r="2224" spans="2:2" x14ac:dyDescent="0.2">
      <c r="B2224" t="str">
        <f t="shared" si="36"/>
        <v/>
      </c>
    </row>
    <row r="2225" spans="2:2" x14ac:dyDescent="0.2">
      <c r="B2225" t="str">
        <f t="shared" si="36"/>
        <v/>
      </c>
    </row>
    <row r="2226" spans="2:2" x14ac:dyDescent="0.2">
      <c r="B2226" t="str">
        <f t="shared" si="36"/>
        <v/>
      </c>
    </row>
    <row r="2227" spans="2:2" x14ac:dyDescent="0.2">
      <c r="B2227" t="str">
        <f t="shared" si="36"/>
        <v/>
      </c>
    </row>
    <row r="2228" spans="2:2" x14ac:dyDescent="0.2">
      <c r="B2228" t="str">
        <f t="shared" si="36"/>
        <v/>
      </c>
    </row>
    <row r="2229" spans="2:2" x14ac:dyDescent="0.2">
      <c r="B2229" t="str">
        <f t="shared" si="36"/>
        <v/>
      </c>
    </row>
    <row r="2230" spans="2:2" x14ac:dyDescent="0.2">
      <c r="B2230" t="str">
        <f t="shared" si="36"/>
        <v/>
      </c>
    </row>
    <row r="2231" spans="2:2" x14ac:dyDescent="0.2">
      <c r="B2231" t="str">
        <f t="shared" si="36"/>
        <v/>
      </c>
    </row>
    <row r="2232" spans="2:2" x14ac:dyDescent="0.2">
      <c r="B2232" t="str">
        <f t="shared" si="36"/>
        <v/>
      </c>
    </row>
    <row r="2233" spans="2:2" x14ac:dyDescent="0.2">
      <c r="B2233" t="str">
        <f t="shared" si="36"/>
        <v/>
      </c>
    </row>
    <row r="2234" spans="2:2" x14ac:dyDescent="0.2">
      <c r="B2234" t="str">
        <f t="shared" si="36"/>
        <v/>
      </c>
    </row>
    <row r="2235" spans="2:2" x14ac:dyDescent="0.2">
      <c r="B2235" t="str">
        <f t="shared" si="36"/>
        <v/>
      </c>
    </row>
    <row r="2236" spans="2:2" x14ac:dyDescent="0.2">
      <c r="B2236" t="str">
        <f t="shared" si="36"/>
        <v/>
      </c>
    </row>
    <row r="2237" spans="2:2" x14ac:dyDescent="0.2">
      <c r="B2237" t="str">
        <f t="shared" si="36"/>
        <v/>
      </c>
    </row>
    <row r="2238" spans="2:2" x14ac:dyDescent="0.2">
      <c r="B2238" t="str">
        <f t="shared" si="36"/>
        <v/>
      </c>
    </row>
    <row r="2239" spans="2:2" x14ac:dyDescent="0.2">
      <c r="B2239" t="str">
        <f t="shared" si="36"/>
        <v/>
      </c>
    </row>
    <row r="2240" spans="2:2" x14ac:dyDescent="0.2">
      <c r="B2240" t="str">
        <f t="shared" si="36"/>
        <v/>
      </c>
    </row>
    <row r="2241" spans="2:2" x14ac:dyDescent="0.2">
      <c r="B2241" t="str">
        <f t="shared" si="36"/>
        <v/>
      </c>
    </row>
    <row r="2242" spans="2:2" x14ac:dyDescent="0.2">
      <c r="B2242" t="str">
        <f t="shared" si="36"/>
        <v/>
      </c>
    </row>
    <row r="2243" spans="2:2" x14ac:dyDescent="0.2">
      <c r="B2243" t="str">
        <f t="shared" si="36"/>
        <v/>
      </c>
    </row>
    <row r="2244" spans="2:2" x14ac:dyDescent="0.2">
      <c r="B2244" t="str">
        <f t="shared" si="36"/>
        <v/>
      </c>
    </row>
    <row r="2245" spans="2:2" x14ac:dyDescent="0.2">
      <c r="B2245" t="str">
        <f t="shared" ref="B2245:B2308" si="37">D2245&amp;I2245</f>
        <v/>
      </c>
    </row>
    <row r="2246" spans="2:2" x14ac:dyDescent="0.2">
      <c r="B2246" t="str">
        <f t="shared" si="37"/>
        <v/>
      </c>
    </row>
    <row r="2247" spans="2:2" x14ac:dyDescent="0.2">
      <c r="B2247" t="str">
        <f t="shared" si="37"/>
        <v/>
      </c>
    </row>
    <row r="2248" spans="2:2" x14ac:dyDescent="0.2">
      <c r="B2248" t="str">
        <f t="shared" si="37"/>
        <v/>
      </c>
    </row>
    <row r="2249" spans="2:2" x14ac:dyDescent="0.2">
      <c r="B2249" t="str">
        <f t="shared" si="37"/>
        <v/>
      </c>
    </row>
    <row r="2250" spans="2:2" x14ac:dyDescent="0.2">
      <c r="B2250" t="str">
        <f t="shared" si="37"/>
        <v/>
      </c>
    </row>
    <row r="2251" spans="2:2" x14ac:dyDescent="0.2">
      <c r="B2251" t="str">
        <f t="shared" si="37"/>
        <v/>
      </c>
    </row>
    <row r="2252" spans="2:2" x14ac:dyDescent="0.2">
      <c r="B2252" t="str">
        <f t="shared" si="37"/>
        <v/>
      </c>
    </row>
    <row r="2253" spans="2:2" x14ac:dyDescent="0.2">
      <c r="B2253" t="str">
        <f t="shared" si="37"/>
        <v/>
      </c>
    </row>
    <row r="2254" spans="2:2" x14ac:dyDescent="0.2">
      <c r="B2254" t="str">
        <f t="shared" si="37"/>
        <v/>
      </c>
    </row>
    <row r="2255" spans="2:2" x14ac:dyDescent="0.2">
      <c r="B2255" t="str">
        <f t="shared" si="37"/>
        <v/>
      </c>
    </row>
    <row r="2256" spans="2:2" x14ac:dyDescent="0.2">
      <c r="B2256" t="str">
        <f t="shared" si="37"/>
        <v/>
      </c>
    </row>
    <row r="2257" spans="2:2" x14ac:dyDescent="0.2">
      <c r="B2257" t="str">
        <f t="shared" si="37"/>
        <v/>
      </c>
    </row>
    <row r="2258" spans="2:2" x14ac:dyDescent="0.2">
      <c r="B2258" t="str">
        <f t="shared" si="37"/>
        <v/>
      </c>
    </row>
    <row r="2259" spans="2:2" x14ac:dyDescent="0.2">
      <c r="B2259" t="str">
        <f t="shared" si="37"/>
        <v/>
      </c>
    </row>
    <row r="2260" spans="2:2" x14ac:dyDescent="0.2">
      <c r="B2260" t="str">
        <f t="shared" si="37"/>
        <v/>
      </c>
    </row>
    <row r="2261" spans="2:2" x14ac:dyDescent="0.2">
      <c r="B2261" t="str">
        <f t="shared" si="37"/>
        <v/>
      </c>
    </row>
    <row r="2262" spans="2:2" x14ac:dyDescent="0.2">
      <c r="B2262" t="str">
        <f t="shared" si="37"/>
        <v/>
      </c>
    </row>
    <row r="2263" spans="2:2" x14ac:dyDescent="0.2">
      <c r="B2263" t="str">
        <f t="shared" si="37"/>
        <v/>
      </c>
    </row>
    <row r="2264" spans="2:2" x14ac:dyDescent="0.2">
      <c r="B2264" t="str">
        <f t="shared" si="37"/>
        <v/>
      </c>
    </row>
    <row r="2265" spans="2:2" x14ac:dyDescent="0.2">
      <c r="B2265" t="str">
        <f t="shared" si="37"/>
        <v/>
      </c>
    </row>
    <row r="2266" spans="2:2" x14ac:dyDescent="0.2">
      <c r="B2266" t="str">
        <f t="shared" si="37"/>
        <v/>
      </c>
    </row>
    <row r="2267" spans="2:2" x14ac:dyDescent="0.2">
      <c r="B2267" t="str">
        <f t="shared" si="37"/>
        <v/>
      </c>
    </row>
    <row r="2268" spans="2:2" x14ac:dyDescent="0.2">
      <c r="B2268" t="str">
        <f t="shared" si="37"/>
        <v/>
      </c>
    </row>
    <row r="2269" spans="2:2" x14ac:dyDescent="0.2">
      <c r="B2269" t="str">
        <f t="shared" si="37"/>
        <v/>
      </c>
    </row>
    <row r="2270" spans="2:2" x14ac:dyDescent="0.2">
      <c r="B2270" t="str">
        <f t="shared" si="37"/>
        <v/>
      </c>
    </row>
    <row r="2271" spans="2:2" x14ac:dyDescent="0.2">
      <c r="B2271" t="str">
        <f t="shared" si="37"/>
        <v/>
      </c>
    </row>
    <row r="2272" spans="2:2" x14ac:dyDescent="0.2">
      <c r="B2272" t="str">
        <f t="shared" si="37"/>
        <v/>
      </c>
    </row>
    <row r="2273" spans="2:2" x14ac:dyDescent="0.2">
      <c r="B2273" t="str">
        <f t="shared" si="37"/>
        <v/>
      </c>
    </row>
    <row r="2274" spans="2:2" x14ac:dyDescent="0.2">
      <c r="B2274" t="str">
        <f t="shared" si="37"/>
        <v/>
      </c>
    </row>
    <row r="2275" spans="2:2" x14ac:dyDescent="0.2">
      <c r="B2275" t="str">
        <f t="shared" si="37"/>
        <v/>
      </c>
    </row>
    <row r="2276" spans="2:2" x14ac:dyDescent="0.2">
      <c r="B2276" t="str">
        <f t="shared" si="37"/>
        <v/>
      </c>
    </row>
    <row r="2277" spans="2:2" x14ac:dyDescent="0.2">
      <c r="B2277" t="str">
        <f t="shared" si="37"/>
        <v/>
      </c>
    </row>
    <row r="2278" spans="2:2" x14ac:dyDescent="0.2">
      <c r="B2278" t="str">
        <f t="shared" si="37"/>
        <v/>
      </c>
    </row>
    <row r="2279" spans="2:2" x14ac:dyDescent="0.2">
      <c r="B2279" t="str">
        <f t="shared" si="37"/>
        <v/>
      </c>
    </row>
    <row r="2280" spans="2:2" x14ac:dyDescent="0.2">
      <c r="B2280" t="str">
        <f t="shared" si="37"/>
        <v/>
      </c>
    </row>
    <row r="2281" spans="2:2" x14ac:dyDescent="0.2">
      <c r="B2281" t="str">
        <f t="shared" si="37"/>
        <v/>
      </c>
    </row>
    <row r="2282" spans="2:2" x14ac:dyDescent="0.2">
      <c r="B2282" t="str">
        <f t="shared" si="37"/>
        <v/>
      </c>
    </row>
    <row r="2283" spans="2:2" x14ac:dyDescent="0.2">
      <c r="B2283" t="str">
        <f t="shared" si="37"/>
        <v/>
      </c>
    </row>
    <row r="2284" spans="2:2" x14ac:dyDescent="0.2">
      <c r="B2284" t="str">
        <f t="shared" si="37"/>
        <v/>
      </c>
    </row>
    <row r="2285" spans="2:2" x14ac:dyDescent="0.2">
      <c r="B2285" t="str">
        <f t="shared" si="37"/>
        <v/>
      </c>
    </row>
    <row r="2286" spans="2:2" x14ac:dyDescent="0.2">
      <c r="B2286" t="str">
        <f t="shared" si="37"/>
        <v/>
      </c>
    </row>
    <row r="2287" spans="2:2" x14ac:dyDescent="0.2">
      <c r="B2287" t="str">
        <f t="shared" si="37"/>
        <v/>
      </c>
    </row>
    <row r="2288" spans="2:2" x14ac:dyDescent="0.2">
      <c r="B2288" t="str">
        <f t="shared" si="37"/>
        <v/>
      </c>
    </row>
    <row r="2289" spans="2:2" x14ac:dyDescent="0.2">
      <c r="B2289" t="str">
        <f t="shared" si="37"/>
        <v/>
      </c>
    </row>
    <row r="2290" spans="2:2" x14ac:dyDescent="0.2">
      <c r="B2290" t="str">
        <f t="shared" si="37"/>
        <v/>
      </c>
    </row>
    <row r="2291" spans="2:2" x14ac:dyDescent="0.2">
      <c r="B2291" t="str">
        <f t="shared" si="37"/>
        <v/>
      </c>
    </row>
    <row r="2292" spans="2:2" x14ac:dyDescent="0.2">
      <c r="B2292" t="str">
        <f t="shared" si="37"/>
        <v/>
      </c>
    </row>
    <row r="2293" spans="2:2" x14ac:dyDescent="0.2">
      <c r="B2293" t="str">
        <f t="shared" si="37"/>
        <v/>
      </c>
    </row>
    <row r="2294" spans="2:2" x14ac:dyDescent="0.2">
      <c r="B2294" t="str">
        <f t="shared" si="37"/>
        <v/>
      </c>
    </row>
    <row r="2295" spans="2:2" x14ac:dyDescent="0.2">
      <c r="B2295" t="str">
        <f t="shared" si="37"/>
        <v/>
      </c>
    </row>
    <row r="2296" spans="2:2" x14ac:dyDescent="0.2">
      <c r="B2296" t="str">
        <f t="shared" si="37"/>
        <v/>
      </c>
    </row>
    <row r="2297" spans="2:2" x14ac:dyDescent="0.2">
      <c r="B2297" t="str">
        <f t="shared" si="37"/>
        <v/>
      </c>
    </row>
    <row r="2298" spans="2:2" x14ac:dyDescent="0.2">
      <c r="B2298" t="str">
        <f t="shared" si="37"/>
        <v/>
      </c>
    </row>
    <row r="2299" spans="2:2" x14ac:dyDescent="0.2">
      <c r="B2299" t="str">
        <f t="shared" si="37"/>
        <v/>
      </c>
    </row>
    <row r="2300" spans="2:2" x14ac:dyDescent="0.2">
      <c r="B2300" t="str">
        <f t="shared" si="37"/>
        <v/>
      </c>
    </row>
    <row r="2301" spans="2:2" x14ac:dyDescent="0.2">
      <c r="B2301" t="str">
        <f t="shared" si="37"/>
        <v/>
      </c>
    </row>
    <row r="2302" spans="2:2" x14ac:dyDescent="0.2">
      <c r="B2302" t="str">
        <f t="shared" si="37"/>
        <v/>
      </c>
    </row>
    <row r="2303" spans="2:2" x14ac:dyDescent="0.2">
      <c r="B2303" t="str">
        <f t="shared" si="37"/>
        <v/>
      </c>
    </row>
    <row r="2304" spans="2:2" x14ac:dyDescent="0.2">
      <c r="B2304" t="str">
        <f t="shared" si="37"/>
        <v/>
      </c>
    </row>
    <row r="2305" spans="2:2" x14ac:dyDescent="0.2">
      <c r="B2305" t="str">
        <f t="shared" si="37"/>
        <v/>
      </c>
    </row>
    <row r="2306" spans="2:2" x14ac:dyDescent="0.2">
      <c r="B2306" t="str">
        <f t="shared" si="37"/>
        <v/>
      </c>
    </row>
    <row r="2307" spans="2:2" x14ac:dyDescent="0.2">
      <c r="B2307" t="str">
        <f t="shared" si="37"/>
        <v/>
      </c>
    </row>
    <row r="2308" spans="2:2" x14ac:dyDescent="0.2">
      <c r="B2308" t="str">
        <f t="shared" si="37"/>
        <v/>
      </c>
    </row>
    <row r="2309" spans="2:2" x14ac:dyDescent="0.2">
      <c r="B2309" t="str">
        <f t="shared" ref="B2309:B2372" si="38">D2309&amp;I2309</f>
        <v/>
      </c>
    </row>
    <row r="2310" spans="2:2" x14ac:dyDescent="0.2">
      <c r="B2310" t="str">
        <f t="shared" si="38"/>
        <v/>
      </c>
    </row>
    <row r="2311" spans="2:2" x14ac:dyDescent="0.2">
      <c r="B2311" t="str">
        <f t="shared" si="38"/>
        <v/>
      </c>
    </row>
    <row r="2312" spans="2:2" x14ac:dyDescent="0.2">
      <c r="B2312" t="str">
        <f t="shared" si="38"/>
        <v/>
      </c>
    </row>
    <row r="2313" spans="2:2" x14ac:dyDescent="0.2">
      <c r="B2313" t="str">
        <f t="shared" si="38"/>
        <v/>
      </c>
    </row>
    <row r="2314" spans="2:2" x14ac:dyDescent="0.2">
      <c r="B2314" t="str">
        <f t="shared" si="38"/>
        <v/>
      </c>
    </row>
    <row r="2315" spans="2:2" x14ac:dyDescent="0.2">
      <c r="B2315" t="str">
        <f t="shared" si="38"/>
        <v/>
      </c>
    </row>
    <row r="2316" spans="2:2" x14ac:dyDescent="0.2">
      <c r="B2316" t="str">
        <f t="shared" si="38"/>
        <v/>
      </c>
    </row>
    <row r="2317" spans="2:2" x14ac:dyDescent="0.2">
      <c r="B2317" t="str">
        <f t="shared" si="38"/>
        <v/>
      </c>
    </row>
    <row r="2318" spans="2:2" x14ac:dyDescent="0.2">
      <c r="B2318" t="str">
        <f t="shared" si="38"/>
        <v/>
      </c>
    </row>
    <row r="2319" spans="2:2" x14ac:dyDescent="0.2">
      <c r="B2319" t="str">
        <f t="shared" si="38"/>
        <v/>
      </c>
    </row>
    <row r="2320" spans="2:2" x14ac:dyDescent="0.2">
      <c r="B2320" t="str">
        <f t="shared" si="38"/>
        <v/>
      </c>
    </row>
    <row r="2321" spans="2:2" x14ac:dyDescent="0.2">
      <c r="B2321" t="str">
        <f t="shared" si="38"/>
        <v/>
      </c>
    </row>
    <row r="2322" spans="2:2" x14ac:dyDescent="0.2">
      <c r="B2322" t="str">
        <f t="shared" si="38"/>
        <v/>
      </c>
    </row>
    <row r="2323" spans="2:2" x14ac:dyDescent="0.2">
      <c r="B2323" t="str">
        <f t="shared" si="38"/>
        <v/>
      </c>
    </row>
    <row r="2324" spans="2:2" x14ac:dyDescent="0.2">
      <c r="B2324" t="str">
        <f t="shared" si="38"/>
        <v/>
      </c>
    </row>
    <row r="2325" spans="2:2" x14ac:dyDescent="0.2">
      <c r="B2325" t="str">
        <f t="shared" si="38"/>
        <v/>
      </c>
    </row>
    <row r="2326" spans="2:2" x14ac:dyDescent="0.2">
      <c r="B2326" t="str">
        <f t="shared" si="38"/>
        <v/>
      </c>
    </row>
    <row r="2327" spans="2:2" x14ac:dyDescent="0.2">
      <c r="B2327" t="str">
        <f t="shared" si="38"/>
        <v/>
      </c>
    </row>
    <row r="2328" spans="2:2" x14ac:dyDescent="0.2">
      <c r="B2328" t="str">
        <f t="shared" si="38"/>
        <v/>
      </c>
    </row>
    <row r="2329" spans="2:2" x14ac:dyDescent="0.2">
      <c r="B2329" t="str">
        <f t="shared" si="38"/>
        <v/>
      </c>
    </row>
    <row r="2330" spans="2:2" x14ac:dyDescent="0.2">
      <c r="B2330" t="str">
        <f t="shared" si="38"/>
        <v/>
      </c>
    </row>
    <row r="2331" spans="2:2" x14ac:dyDescent="0.2">
      <c r="B2331" t="str">
        <f t="shared" si="38"/>
        <v/>
      </c>
    </row>
    <row r="2332" spans="2:2" x14ac:dyDescent="0.2">
      <c r="B2332" t="str">
        <f t="shared" si="38"/>
        <v/>
      </c>
    </row>
    <row r="2333" spans="2:2" x14ac:dyDescent="0.2">
      <c r="B2333" t="str">
        <f t="shared" si="38"/>
        <v/>
      </c>
    </row>
    <row r="2334" spans="2:2" x14ac:dyDescent="0.2">
      <c r="B2334" t="str">
        <f t="shared" si="38"/>
        <v/>
      </c>
    </row>
    <row r="2335" spans="2:2" x14ac:dyDescent="0.2">
      <c r="B2335" t="str">
        <f t="shared" si="38"/>
        <v/>
      </c>
    </row>
    <row r="2336" spans="2:2" x14ac:dyDescent="0.2">
      <c r="B2336" t="str">
        <f t="shared" si="38"/>
        <v/>
      </c>
    </row>
    <row r="2337" spans="2:2" x14ac:dyDescent="0.2">
      <c r="B2337" t="str">
        <f t="shared" si="38"/>
        <v/>
      </c>
    </row>
    <row r="2338" spans="2:2" x14ac:dyDescent="0.2">
      <c r="B2338" t="str">
        <f t="shared" si="38"/>
        <v/>
      </c>
    </row>
    <row r="2339" spans="2:2" x14ac:dyDescent="0.2">
      <c r="B2339" t="str">
        <f t="shared" si="38"/>
        <v/>
      </c>
    </row>
    <row r="2340" spans="2:2" x14ac:dyDescent="0.2">
      <c r="B2340" t="str">
        <f t="shared" si="38"/>
        <v/>
      </c>
    </row>
    <row r="2341" spans="2:2" x14ac:dyDescent="0.2">
      <c r="B2341" t="str">
        <f t="shared" si="38"/>
        <v/>
      </c>
    </row>
    <row r="2342" spans="2:2" x14ac:dyDescent="0.2">
      <c r="B2342" t="str">
        <f t="shared" si="38"/>
        <v/>
      </c>
    </row>
    <row r="2343" spans="2:2" x14ac:dyDescent="0.2">
      <c r="B2343" t="str">
        <f t="shared" si="38"/>
        <v/>
      </c>
    </row>
    <row r="2344" spans="2:2" x14ac:dyDescent="0.2">
      <c r="B2344" t="str">
        <f t="shared" si="38"/>
        <v/>
      </c>
    </row>
    <row r="2345" spans="2:2" x14ac:dyDescent="0.2">
      <c r="B2345" t="str">
        <f t="shared" si="38"/>
        <v/>
      </c>
    </row>
    <row r="2346" spans="2:2" x14ac:dyDescent="0.2">
      <c r="B2346" t="str">
        <f t="shared" si="38"/>
        <v/>
      </c>
    </row>
    <row r="2347" spans="2:2" x14ac:dyDescent="0.2">
      <c r="B2347" t="str">
        <f t="shared" si="38"/>
        <v/>
      </c>
    </row>
    <row r="2348" spans="2:2" x14ac:dyDescent="0.2">
      <c r="B2348" t="str">
        <f t="shared" si="38"/>
        <v/>
      </c>
    </row>
    <row r="2349" spans="2:2" x14ac:dyDescent="0.2">
      <c r="B2349" t="str">
        <f t="shared" si="38"/>
        <v/>
      </c>
    </row>
    <row r="2350" spans="2:2" x14ac:dyDescent="0.2">
      <c r="B2350" t="str">
        <f t="shared" si="38"/>
        <v/>
      </c>
    </row>
    <row r="2351" spans="2:2" x14ac:dyDescent="0.2">
      <c r="B2351" t="str">
        <f t="shared" si="38"/>
        <v/>
      </c>
    </row>
    <row r="2352" spans="2:2" x14ac:dyDescent="0.2">
      <c r="B2352" t="str">
        <f t="shared" si="38"/>
        <v/>
      </c>
    </row>
    <row r="2353" spans="2:2" x14ac:dyDescent="0.2">
      <c r="B2353" t="str">
        <f t="shared" si="38"/>
        <v/>
      </c>
    </row>
    <row r="2354" spans="2:2" x14ac:dyDescent="0.2">
      <c r="B2354" t="str">
        <f t="shared" si="38"/>
        <v/>
      </c>
    </row>
    <row r="2355" spans="2:2" x14ac:dyDescent="0.2">
      <c r="B2355" t="str">
        <f t="shared" si="38"/>
        <v/>
      </c>
    </row>
    <row r="2356" spans="2:2" x14ac:dyDescent="0.2">
      <c r="B2356" t="str">
        <f t="shared" si="38"/>
        <v/>
      </c>
    </row>
    <row r="2357" spans="2:2" x14ac:dyDescent="0.2">
      <c r="B2357" t="str">
        <f t="shared" si="38"/>
        <v/>
      </c>
    </row>
    <row r="2358" spans="2:2" x14ac:dyDescent="0.2">
      <c r="B2358" t="str">
        <f t="shared" si="38"/>
        <v/>
      </c>
    </row>
    <row r="2359" spans="2:2" x14ac:dyDescent="0.2">
      <c r="B2359" t="str">
        <f t="shared" si="38"/>
        <v/>
      </c>
    </row>
    <row r="2360" spans="2:2" x14ac:dyDescent="0.2">
      <c r="B2360" t="str">
        <f t="shared" si="38"/>
        <v/>
      </c>
    </row>
    <row r="2361" spans="2:2" x14ac:dyDescent="0.2">
      <c r="B2361" t="str">
        <f t="shared" si="38"/>
        <v/>
      </c>
    </row>
    <row r="2362" spans="2:2" x14ac:dyDescent="0.2">
      <c r="B2362" t="str">
        <f t="shared" si="38"/>
        <v/>
      </c>
    </row>
    <row r="2363" spans="2:2" x14ac:dyDescent="0.2">
      <c r="B2363" t="str">
        <f t="shared" si="38"/>
        <v/>
      </c>
    </row>
    <row r="2364" spans="2:2" x14ac:dyDescent="0.2">
      <c r="B2364" t="str">
        <f t="shared" si="38"/>
        <v/>
      </c>
    </row>
    <row r="2365" spans="2:2" x14ac:dyDescent="0.2">
      <c r="B2365" t="str">
        <f t="shared" si="38"/>
        <v/>
      </c>
    </row>
    <row r="2366" spans="2:2" x14ac:dyDescent="0.2">
      <c r="B2366" t="str">
        <f t="shared" si="38"/>
        <v/>
      </c>
    </row>
    <row r="2367" spans="2:2" x14ac:dyDescent="0.2">
      <c r="B2367" t="str">
        <f t="shared" si="38"/>
        <v/>
      </c>
    </row>
    <row r="2368" spans="2:2" x14ac:dyDescent="0.2">
      <c r="B2368" t="str">
        <f t="shared" si="38"/>
        <v/>
      </c>
    </row>
    <row r="2369" spans="2:2" x14ac:dyDescent="0.2">
      <c r="B2369" t="str">
        <f t="shared" si="38"/>
        <v/>
      </c>
    </row>
    <row r="2370" spans="2:2" x14ac:dyDescent="0.2">
      <c r="B2370" t="str">
        <f t="shared" si="38"/>
        <v/>
      </c>
    </row>
    <row r="2371" spans="2:2" x14ac:dyDescent="0.2">
      <c r="B2371" t="str">
        <f t="shared" si="38"/>
        <v/>
      </c>
    </row>
    <row r="2372" spans="2:2" x14ac:dyDescent="0.2">
      <c r="B2372" t="str">
        <f t="shared" si="38"/>
        <v/>
      </c>
    </row>
    <row r="2373" spans="2:2" x14ac:dyDescent="0.2">
      <c r="B2373" t="str">
        <f t="shared" ref="B2373:B2436" si="39">D2373&amp;I2373</f>
        <v/>
      </c>
    </row>
    <row r="2374" spans="2:2" x14ac:dyDescent="0.2">
      <c r="B2374" t="str">
        <f t="shared" si="39"/>
        <v/>
      </c>
    </row>
    <row r="2375" spans="2:2" x14ac:dyDescent="0.2">
      <c r="B2375" t="str">
        <f t="shared" si="39"/>
        <v/>
      </c>
    </row>
    <row r="2376" spans="2:2" x14ac:dyDescent="0.2">
      <c r="B2376" t="str">
        <f t="shared" si="39"/>
        <v/>
      </c>
    </row>
    <row r="2377" spans="2:2" x14ac:dyDescent="0.2">
      <c r="B2377" t="str">
        <f t="shared" si="39"/>
        <v/>
      </c>
    </row>
    <row r="2378" spans="2:2" x14ac:dyDescent="0.2">
      <c r="B2378" t="str">
        <f t="shared" si="39"/>
        <v/>
      </c>
    </row>
    <row r="2379" spans="2:2" x14ac:dyDescent="0.2">
      <c r="B2379" t="str">
        <f t="shared" si="39"/>
        <v/>
      </c>
    </row>
    <row r="2380" spans="2:2" x14ac:dyDescent="0.2">
      <c r="B2380" t="str">
        <f t="shared" si="39"/>
        <v/>
      </c>
    </row>
    <row r="2381" spans="2:2" x14ac:dyDescent="0.2">
      <c r="B2381" t="str">
        <f t="shared" si="39"/>
        <v/>
      </c>
    </row>
    <row r="2382" spans="2:2" x14ac:dyDescent="0.2">
      <c r="B2382" t="str">
        <f t="shared" si="39"/>
        <v/>
      </c>
    </row>
    <row r="2383" spans="2:2" x14ac:dyDescent="0.2">
      <c r="B2383" t="str">
        <f t="shared" si="39"/>
        <v/>
      </c>
    </row>
    <row r="2384" spans="2:2" x14ac:dyDescent="0.2">
      <c r="B2384" t="str">
        <f t="shared" si="39"/>
        <v/>
      </c>
    </row>
    <row r="2385" spans="2:2" x14ac:dyDescent="0.2">
      <c r="B2385" t="str">
        <f t="shared" si="39"/>
        <v/>
      </c>
    </row>
    <row r="2386" spans="2:2" x14ac:dyDescent="0.2">
      <c r="B2386" t="str">
        <f t="shared" si="39"/>
        <v/>
      </c>
    </row>
    <row r="2387" spans="2:2" x14ac:dyDescent="0.2">
      <c r="B2387" t="str">
        <f t="shared" si="39"/>
        <v/>
      </c>
    </row>
    <row r="2388" spans="2:2" x14ac:dyDescent="0.2">
      <c r="B2388" t="str">
        <f t="shared" si="39"/>
        <v/>
      </c>
    </row>
    <row r="2389" spans="2:2" x14ac:dyDescent="0.2">
      <c r="B2389" t="str">
        <f t="shared" si="39"/>
        <v/>
      </c>
    </row>
    <row r="2390" spans="2:2" x14ac:dyDescent="0.2">
      <c r="B2390" t="str">
        <f t="shared" si="39"/>
        <v/>
      </c>
    </row>
    <row r="2391" spans="2:2" x14ac:dyDescent="0.2">
      <c r="B2391" t="str">
        <f t="shared" si="39"/>
        <v/>
      </c>
    </row>
    <row r="2392" spans="2:2" x14ac:dyDescent="0.2">
      <c r="B2392" t="str">
        <f t="shared" si="39"/>
        <v/>
      </c>
    </row>
    <row r="2393" spans="2:2" x14ac:dyDescent="0.2">
      <c r="B2393" t="str">
        <f t="shared" si="39"/>
        <v/>
      </c>
    </row>
    <row r="2394" spans="2:2" x14ac:dyDescent="0.2">
      <c r="B2394" t="str">
        <f t="shared" si="39"/>
        <v/>
      </c>
    </row>
    <row r="2395" spans="2:2" x14ac:dyDescent="0.2">
      <c r="B2395" t="str">
        <f t="shared" si="39"/>
        <v/>
      </c>
    </row>
    <row r="2396" spans="2:2" x14ac:dyDescent="0.2">
      <c r="B2396" t="str">
        <f t="shared" si="39"/>
        <v/>
      </c>
    </row>
    <row r="2397" spans="2:2" x14ac:dyDescent="0.2">
      <c r="B2397" t="str">
        <f t="shared" si="39"/>
        <v/>
      </c>
    </row>
    <row r="2398" spans="2:2" x14ac:dyDescent="0.2">
      <c r="B2398" t="str">
        <f t="shared" si="39"/>
        <v/>
      </c>
    </row>
    <row r="2399" spans="2:2" x14ac:dyDescent="0.2">
      <c r="B2399" t="str">
        <f t="shared" si="39"/>
        <v/>
      </c>
    </row>
    <row r="2400" spans="2:2" x14ac:dyDescent="0.2">
      <c r="B2400" t="str">
        <f t="shared" si="39"/>
        <v/>
      </c>
    </row>
    <row r="2401" spans="2:2" x14ac:dyDescent="0.2">
      <c r="B2401" t="str">
        <f t="shared" si="39"/>
        <v/>
      </c>
    </row>
    <row r="2402" spans="2:2" x14ac:dyDescent="0.2">
      <c r="B2402" t="str">
        <f t="shared" si="39"/>
        <v/>
      </c>
    </row>
    <row r="2403" spans="2:2" x14ac:dyDescent="0.2">
      <c r="B2403" t="str">
        <f t="shared" si="39"/>
        <v/>
      </c>
    </row>
    <row r="2404" spans="2:2" x14ac:dyDescent="0.2">
      <c r="B2404" t="str">
        <f t="shared" si="39"/>
        <v/>
      </c>
    </row>
    <row r="2405" spans="2:2" x14ac:dyDescent="0.2">
      <c r="B2405" t="str">
        <f t="shared" si="39"/>
        <v/>
      </c>
    </row>
    <row r="2406" spans="2:2" x14ac:dyDescent="0.2">
      <c r="B2406" t="str">
        <f t="shared" si="39"/>
        <v/>
      </c>
    </row>
    <row r="2407" spans="2:2" x14ac:dyDescent="0.2">
      <c r="B2407" t="str">
        <f t="shared" si="39"/>
        <v/>
      </c>
    </row>
    <row r="2408" spans="2:2" x14ac:dyDescent="0.2">
      <c r="B2408" t="str">
        <f t="shared" si="39"/>
        <v/>
      </c>
    </row>
    <row r="2409" spans="2:2" x14ac:dyDescent="0.2">
      <c r="B2409" t="str">
        <f t="shared" si="39"/>
        <v/>
      </c>
    </row>
    <row r="2410" spans="2:2" x14ac:dyDescent="0.2">
      <c r="B2410" t="str">
        <f t="shared" si="39"/>
        <v/>
      </c>
    </row>
    <row r="2411" spans="2:2" x14ac:dyDescent="0.2">
      <c r="B2411" t="str">
        <f t="shared" si="39"/>
        <v/>
      </c>
    </row>
    <row r="2412" spans="2:2" x14ac:dyDescent="0.2">
      <c r="B2412" t="str">
        <f t="shared" si="39"/>
        <v/>
      </c>
    </row>
    <row r="2413" spans="2:2" x14ac:dyDescent="0.2">
      <c r="B2413" t="str">
        <f t="shared" si="39"/>
        <v/>
      </c>
    </row>
    <row r="2414" spans="2:2" x14ac:dyDescent="0.2">
      <c r="B2414" t="str">
        <f t="shared" si="39"/>
        <v/>
      </c>
    </row>
    <row r="2415" spans="2:2" x14ac:dyDescent="0.2">
      <c r="B2415" t="str">
        <f t="shared" si="39"/>
        <v/>
      </c>
    </row>
    <row r="2416" spans="2:2" x14ac:dyDescent="0.2">
      <c r="B2416" t="str">
        <f t="shared" si="39"/>
        <v/>
      </c>
    </row>
    <row r="2417" spans="2:2" x14ac:dyDescent="0.2">
      <c r="B2417" t="str">
        <f t="shared" si="39"/>
        <v/>
      </c>
    </row>
    <row r="2418" spans="2:2" x14ac:dyDescent="0.2">
      <c r="B2418" t="str">
        <f t="shared" si="39"/>
        <v/>
      </c>
    </row>
    <row r="2419" spans="2:2" x14ac:dyDescent="0.2">
      <c r="B2419" t="str">
        <f t="shared" si="39"/>
        <v/>
      </c>
    </row>
    <row r="2420" spans="2:2" x14ac:dyDescent="0.2">
      <c r="B2420" t="str">
        <f t="shared" si="39"/>
        <v/>
      </c>
    </row>
    <row r="2421" spans="2:2" x14ac:dyDescent="0.2">
      <c r="B2421" t="str">
        <f t="shared" si="39"/>
        <v/>
      </c>
    </row>
    <row r="2422" spans="2:2" x14ac:dyDescent="0.2">
      <c r="B2422" t="str">
        <f t="shared" si="39"/>
        <v/>
      </c>
    </row>
    <row r="2423" spans="2:2" x14ac:dyDescent="0.2">
      <c r="B2423" t="str">
        <f t="shared" si="39"/>
        <v/>
      </c>
    </row>
    <row r="2424" spans="2:2" x14ac:dyDescent="0.2">
      <c r="B2424" t="str">
        <f t="shared" si="39"/>
        <v/>
      </c>
    </row>
    <row r="2425" spans="2:2" x14ac:dyDescent="0.2">
      <c r="B2425" t="str">
        <f t="shared" si="39"/>
        <v/>
      </c>
    </row>
    <row r="2426" spans="2:2" x14ac:dyDescent="0.2">
      <c r="B2426" t="str">
        <f t="shared" si="39"/>
        <v/>
      </c>
    </row>
    <row r="2427" spans="2:2" x14ac:dyDescent="0.2">
      <c r="B2427" t="str">
        <f t="shared" si="39"/>
        <v/>
      </c>
    </row>
    <row r="2428" spans="2:2" x14ac:dyDescent="0.2">
      <c r="B2428" t="str">
        <f t="shared" si="39"/>
        <v/>
      </c>
    </row>
    <row r="2429" spans="2:2" x14ac:dyDescent="0.2">
      <c r="B2429" t="str">
        <f t="shared" si="39"/>
        <v/>
      </c>
    </row>
    <row r="2430" spans="2:2" x14ac:dyDescent="0.2">
      <c r="B2430" t="str">
        <f t="shared" si="39"/>
        <v/>
      </c>
    </row>
    <row r="2431" spans="2:2" x14ac:dyDescent="0.2">
      <c r="B2431" t="str">
        <f t="shared" si="39"/>
        <v/>
      </c>
    </row>
    <row r="2432" spans="2:2" x14ac:dyDescent="0.2">
      <c r="B2432" t="str">
        <f t="shared" si="39"/>
        <v/>
      </c>
    </row>
    <row r="2433" spans="2:2" x14ac:dyDescent="0.2">
      <c r="B2433" t="str">
        <f t="shared" si="39"/>
        <v/>
      </c>
    </row>
    <row r="2434" spans="2:2" x14ac:dyDescent="0.2">
      <c r="B2434" t="str">
        <f t="shared" si="39"/>
        <v/>
      </c>
    </row>
    <row r="2435" spans="2:2" x14ac:dyDescent="0.2">
      <c r="B2435" t="str">
        <f t="shared" si="39"/>
        <v/>
      </c>
    </row>
    <row r="2436" spans="2:2" x14ac:dyDescent="0.2">
      <c r="B2436" t="str">
        <f t="shared" si="39"/>
        <v/>
      </c>
    </row>
    <row r="2437" spans="2:2" x14ac:dyDescent="0.2">
      <c r="B2437" t="str">
        <f t="shared" ref="B2437:B2500" si="40">D2437&amp;I2437</f>
        <v/>
      </c>
    </row>
    <row r="2438" spans="2:2" x14ac:dyDescent="0.2">
      <c r="B2438" t="str">
        <f t="shared" si="40"/>
        <v/>
      </c>
    </row>
    <row r="2439" spans="2:2" x14ac:dyDescent="0.2">
      <c r="B2439" t="str">
        <f t="shared" si="40"/>
        <v/>
      </c>
    </row>
    <row r="2440" spans="2:2" x14ac:dyDescent="0.2">
      <c r="B2440" t="str">
        <f t="shared" si="40"/>
        <v/>
      </c>
    </row>
    <row r="2441" spans="2:2" x14ac:dyDescent="0.2">
      <c r="B2441" t="str">
        <f t="shared" si="40"/>
        <v/>
      </c>
    </row>
    <row r="2442" spans="2:2" x14ac:dyDescent="0.2">
      <c r="B2442" t="str">
        <f t="shared" si="40"/>
        <v/>
      </c>
    </row>
    <row r="2443" spans="2:2" x14ac:dyDescent="0.2">
      <c r="B2443" t="str">
        <f t="shared" si="40"/>
        <v/>
      </c>
    </row>
    <row r="2444" spans="2:2" x14ac:dyDescent="0.2">
      <c r="B2444" t="str">
        <f t="shared" si="40"/>
        <v/>
      </c>
    </row>
    <row r="2445" spans="2:2" x14ac:dyDescent="0.2">
      <c r="B2445" t="str">
        <f t="shared" si="40"/>
        <v/>
      </c>
    </row>
    <row r="2446" spans="2:2" x14ac:dyDescent="0.2">
      <c r="B2446" t="str">
        <f t="shared" si="40"/>
        <v/>
      </c>
    </row>
    <row r="2447" spans="2:2" x14ac:dyDescent="0.2">
      <c r="B2447" t="str">
        <f t="shared" si="40"/>
        <v/>
      </c>
    </row>
    <row r="2448" spans="2:2" x14ac:dyDescent="0.2">
      <c r="B2448" t="str">
        <f t="shared" si="40"/>
        <v/>
      </c>
    </row>
    <row r="2449" spans="2:2" x14ac:dyDescent="0.2">
      <c r="B2449" t="str">
        <f t="shared" si="40"/>
        <v/>
      </c>
    </row>
    <row r="2450" spans="2:2" x14ac:dyDescent="0.2">
      <c r="B2450" t="str">
        <f t="shared" si="40"/>
        <v/>
      </c>
    </row>
    <row r="2451" spans="2:2" x14ac:dyDescent="0.2">
      <c r="B2451" t="str">
        <f t="shared" si="40"/>
        <v/>
      </c>
    </row>
    <row r="2452" spans="2:2" x14ac:dyDescent="0.2">
      <c r="B2452" t="str">
        <f t="shared" si="40"/>
        <v/>
      </c>
    </row>
    <row r="2453" spans="2:2" x14ac:dyDescent="0.2">
      <c r="B2453" t="str">
        <f t="shared" si="40"/>
        <v/>
      </c>
    </row>
    <row r="2454" spans="2:2" x14ac:dyDescent="0.2">
      <c r="B2454" t="str">
        <f t="shared" si="40"/>
        <v/>
      </c>
    </row>
    <row r="2455" spans="2:2" x14ac:dyDescent="0.2">
      <c r="B2455" t="str">
        <f t="shared" si="40"/>
        <v/>
      </c>
    </row>
    <row r="2456" spans="2:2" x14ac:dyDescent="0.2">
      <c r="B2456" t="str">
        <f t="shared" si="40"/>
        <v/>
      </c>
    </row>
    <row r="2457" spans="2:2" x14ac:dyDescent="0.2">
      <c r="B2457" t="str">
        <f t="shared" si="40"/>
        <v/>
      </c>
    </row>
    <row r="2458" spans="2:2" x14ac:dyDescent="0.2">
      <c r="B2458" t="str">
        <f t="shared" si="40"/>
        <v/>
      </c>
    </row>
    <row r="2459" spans="2:2" x14ac:dyDescent="0.2">
      <c r="B2459" t="str">
        <f t="shared" si="40"/>
        <v/>
      </c>
    </row>
    <row r="2460" spans="2:2" x14ac:dyDescent="0.2">
      <c r="B2460" t="str">
        <f t="shared" si="40"/>
        <v/>
      </c>
    </row>
    <row r="2461" spans="2:2" x14ac:dyDescent="0.2">
      <c r="B2461" t="str">
        <f t="shared" si="40"/>
        <v/>
      </c>
    </row>
    <row r="2462" spans="2:2" x14ac:dyDescent="0.2">
      <c r="B2462" t="str">
        <f t="shared" si="40"/>
        <v/>
      </c>
    </row>
    <row r="2463" spans="2:2" x14ac:dyDescent="0.2">
      <c r="B2463" t="str">
        <f t="shared" si="40"/>
        <v/>
      </c>
    </row>
    <row r="2464" spans="2:2" x14ac:dyDescent="0.2">
      <c r="B2464" t="str">
        <f t="shared" si="40"/>
        <v/>
      </c>
    </row>
    <row r="2465" spans="2:2" x14ac:dyDescent="0.2">
      <c r="B2465" t="str">
        <f t="shared" si="40"/>
        <v/>
      </c>
    </row>
    <row r="2466" spans="2:2" x14ac:dyDescent="0.2">
      <c r="B2466" t="str">
        <f t="shared" si="40"/>
        <v/>
      </c>
    </row>
    <row r="2467" spans="2:2" x14ac:dyDescent="0.2">
      <c r="B2467" t="str">
        <f t="shared" si="40"/>
        <v/>
      </c>
    </row>
    <row r="2468" spans="2:2" x14ac:dyDescent="0.2">
      <c r="B2468" t="str">
        <f t="shared" si="40"/>
        <v/>
      </c>
    </row>
    <row r="2469" spans="2:2" x14ac:dyDescent="0.2">
      <c r="B2469" t="str">
        <f t="shared" si="40"/>
        <v/>
      </c>
    </row>
    <row r="2470" spans="2:2" x14ac:dyDescent="0.2">
      <c r="B2470" t="str">
        <f t="shared" si="40"/>
        <v/>
      </c>
    </row>
    <row r="2471" spans="2:2" x14ac:dyDescent="0.2">
      <c r="B2471" t="str">
        <f t="shared" si="40"/>
        <v/>
      </c>
    </row>
    <row r="2472" spans="2:2" x14ac:dyDescent="0.2">
      <c r="B2472" t="str">
        <f t="shared" si="40"/>
        <v/>
      </c>
    </row>
    <row r="2473" spans="2:2" x14ac:dyDescent="0.2">
      <c r="B2473" t="str">
        <f t="shared" si="40"/>
        <v/>
      </c>
    </row>
    <row r="2474" spans="2:2" x14ac:dyDescent="0.2">
      <c r="B2474" t="str">
        <f t="shared" si="40"/>
        <v/>
      </c>
    </row>
    <row r="2475" spans="2:2" x14ac:dyDescent="0.2">
      <c r="B2475" t="str">
        <f t="shared" si="40"/>
        <v/>
      </c>
    </row>
    <row r="2476" spans="2:2" x14ac:dyDescent="0.2">
      <c r="B2476" t="str">
        <f t="shared" si="40"/>
        <v/>
      </c>
    </row>
    <row r="2477" spans="2:2" x14ac:dyDescent="0.2">
      <c r="B2477" t="str">
        <f t="shared" si="40"/>
        <v/>
      </c>
    </row>
    <row r="2478" spans="2:2" x14ac:dyDescent="0.2">
      <c r="B2478" t="str">
        <f t="shared" si="40"/>
        <v/>
      </c>
    </row>
    <row r="2479" spans="2:2" x14ac:dyDescent="0.2">
      <c r="B2479" t="str">
        <f t="shared" si="40"/>
        <v/>
      </c>
    </row>
    <row r="2480" spans="2:2" x14ac:dyDescent="0.2">
      <c r="B2480" t="str">
        <f t="shared" si="40"/>
        <v/>
      </c>
    </row>
    <row r="2481" spans="2:2" x14ac:dyDescent="0.2">
      <c r="B2481" t="str">
        <f t="shared" si="40"/>
        <v/>
      </c>
    </row>
    <row r="2482" spans="2:2" x14ac:dyDescent="0.2">
      <c r="B2482" t="str">
        <f t="shared" si="40"/>
        <v/>
      </c>
    </row>
    <row r="2483" spans="2:2" x14ac:dyDescent="0.2">
      <c r="B2483" t="str">
        <f t="shared" si="40"/>
        <v/>
      </c>
    </row>
    <row r="2484" spans="2:2" x14ac:dyDescent="0.2">
      <c r="B2484" t="str">
        <f t="shared" si="40"/>
        <v/>
      </c>
    </row>
    <row r="2485" spans="2:2" x14ac:dyDescent="0.2">
      <c r="B2485" t="str">
        <f t="shared" si="40"/>
        <v/>
      </c>
    </row>
    <row r="2486" spans="2:2" x14ac:dyDescent="0.2">
      <c r="B2486" t="str">
        <f t="shared" si="40"/>
        <v/>
      </c>
    </row>
    <row r="2487" spans="2:2" x14ac:dyDescent="0.2">
      <c r="B2487" t="str">
        <f t="shared" si="40"/>
        <v/>
      </c>
    </row>
    <row r="2488" spans="2:2" x14ac:dyDescent="0.2">
      <c r="B2488" t="str">
        <f t="shared" si="40"/>
        <v/>
      </c>
    </row>
    <row r="2489" spans="2:2" x14ac:dyDescent="0.2">
      <c r="B2489" t="str">
        <f t="shared" si="40"/>
        <v/>
      </c>
    </row>
    <row r="2490" spans="2:2" x14ac:dyDescent="0.2">
      <c r="B2490" t="str">
        <f t="shared" si="40"/>
        <v/>
      </c>
    </row>
    <row r="2491" spans="2:2" x14ac:dyDescent="0.2">
      <c r="B2491" t="str">
        <f t="shared" si="40"/>
        <v/>
      </c>
    </row>
    <row r="2492" spans="2:2" x14ac:dyDescent="0.2">
      <c r="B2492" t="str">
        <f t="shared" si="40"/>
        <v/>
      </c>
    </row>
    <row r="2493" spans="2:2" x14ac:dyDescent="0.2">
      <c r="B2493" t="str">
        <f t="shared" si="40"/>
        <v/>
      </c>
    </row>
    <row r="2494" spans="2:2" x14ac:dyDescent="0.2">
      <c r="B2494" t="str">
        <f t="shared" si="40"/>
        <v/>
      </c>
    </row>
    <row r="2495" spans="2:2" x14ac:dyDescent="0.2">
      <c r="B2495" t="str">
        <f t="shared" si="40"/>
        <v/>
      </c>
    </row>
    <row r="2496" spans="2:2" x14ac:dyDescent="0.2">
      <c r="B2496" t="str">
        <f t="shared" si="40"/>
        <v/>
      </c>
    </row>
    <row r="2497" spans="2:2" x14ac:dyDescent="0.2">
      <c r="B2497" t="str">
        <f t="shared" si="40"/>
        <v/>
      </c>
    </row>
    <row r="2498" spans="2:2" x14ac:dyDescent="0.2">
      <c r="B2498" t="str">
        <f t="shared" si="40"/>
        <v/>
      </c>
    </row>
    <row r="2499" spans="2:2" x14ac:dyDescent="0.2">
      <c r="B2499" t="str">
        <f t="shared" si="40"/>
        <v/>
      </c>
    </row>
    <row r="2500" spans="2:2" x14ac:dyDescent="0.2">
      <c r="B2500" t="str">
        <f t="shared" si="40"/>
        <v/>
      </c>
    </row>
    <row r="2501" spans="2:2" x14ac:dyDescent="0.2">
      <c r="B2501" t="str">
        <f t="shared" ref="B2501:B2564" si="41">D2501&amp;I2501</f>
        <v/>
      </c>
    </row>
    <row r="2502" spans="2:2" x14ac:dyDescent="0.2">
      <c r="B2502" t="str">
        <f t="shared" si="41"/>
        <v/>
      </c>
    </row>
    <row r="2503" spans="2:2" x14ac:dyDescent="0.2">
      <c r="B2503" t="str">
        <f t="shared" si="41"/>
        <v/>
      </c>
    </row>
    <row r="2504" spans="2:2" x14ac:dyDescent="0.2">
      <c r="B2504" t="str">
        <f t="shared" si="41"/>
        <v/>
      </c>
    </row>
    <row r="2505" spans="2:2" x14ac:dyDescent="0.2">
      <c r="B2505" t="str">
        <f t="shared" si="41"/>
        <v/>
      </c>
    </row>
    <row r="2506" spans="2:2" x14ac:dyDescent="0.2">
      <c r="B2506" t="str">
        <f t="shared" si="41"/>
        <v/>
      </c>
    </row>
    <row r="2507" spans="2:2" x14ac:dyDescent="0.2">
      <c r="B2507" t="str">
        <f t="shared" si="41"/>
        <v/>
      </c>
    </row>
    <row r="2508" spans="2:2" x14ac:dyDescent="0.2">
      <c r="B2508" t="str">
        <f t="shared" si="41"/>
        <v/>
      </c>
    </row>
    <row r="2509" spans="2:2" x14ac:dyDescent="0.2">
      <c r="B2509" t="str">
        <f t="shared" si="41"/>
        <v/>
      </c>
    </row>
    <row r="2510" spans="2:2" x14ac:dyDescent="0.2">
      <c r="B2510" t="str">
        <f t="shared" si="41"/>
        <v/>
      </c>
    </row>
    <row r="2511" spans="2:2" x14ac:dyDescent="0.2">
      <c r="B2511" t="str">
        <f t="shared" si="41"/>
        <v/>
      </c>
    </row>
    <row r="2512" spans="2:2" x14ac:dyDescent="0.2">
      <c r="B2512" t="str">
        <f t="shared" si="41"/>
        <v/>
      </c>
    </row>
    <row r="2513" spans="2:2" x14ac:dyDescent="0.2">
      <c r="B2513" t="str">
        <f t="shared" si="41"/>
        <v/>
      </c>
    </row>
    <row r="2514" spans="2:2" x14ac:dyDescent="0.2">
      <c r="B2514" t="str">
        <f t="shared" si="41"/>
        <v/>
      </c>
    </row>
    <row r="2515" spans="2:2" x14ac:dyDescent="0.2">
      <c r="B2515" t="str">
        <f t="shared" si="41"/>
        <v/>
      </c>
    </row>
    <row r="2516" spans="2:2" x14ac:dyDescent="0.2">
      <c r="B2516" t="str">
        <f t="shared" si="41"/>
        <v/>
      </c>
    </row>
    <row r="2517" spans="2:2" x14ac:dyDescent="0.2">
      <c r="B2517" t="str">
        <f t="shared" si="41"/>
        <v/>
      </c>
    </row>
    <row r="2518" spans="2:2" x14ac:dyDescent="0.2">
      <c r="B2518" t="str">
        <f t="shared" si="41"/>
        <v/>
      </c>
    </row>
    <row r="2519" spans="2:2" x14ac:dyDescent="0.2">
      <c r="B2519" t="str">
        <f t="shared" si="41"/>
        <v/>
      </c>
    </row>
    <row r="2520" spans="2:2" x14ac:dyDescent="0.2">
      <c r="B2520" t="str">
        <f t="shared" si="41"/>
        <v/>
      </c>
    </row>
    <row r="2521" spans="2:2" x14ac:dyDescent="0.2">
      <c r="B2521" t="str">
        <f t="shared" si="41"/>
        <v/>
      </c>
    </row>
    <row r="2522" spans="2:2" x14ac:dyDescent="0.2">
      <c r="B2522" t="str">
        <f t="shared" si="41"/>
        <v/>
      </c>
    </row>
    <row r="2523" spans="2:2" x14ac:dyDescent="0.2">
      <c r="B2523" t="str">
        <f t="shared" si="41"/>
        <v/>
      </c>
    </row>
    <row r="2524" spans="2:2" x14ac:dyDescent="0.2">
      <c r="B2524" t="str">
        <f t="shared" si="41"/>
        <v/>
      </c>
    </row>
    <row r="2525" spans="2:2" x14ac:dyDescent="0.2">
      <c r="B2525" t="str">
        <f t="shared" si="41"/>
        <v/>
      </c>
    </row>
    <row r="2526" spans="2:2" x14ac:dyDescent="0.2">
      <c r="B2526" t="str">
        <f t="shared" si="41"/>
        <v/>
      </c>
    </row>
    <row r="2527" spans="2:2" x14ac:dyDescent="0.2">
      <c r="B2527" t="str">
        <f t="shared" si="41"/>
        <v/>
      </c>
    </row>
    <row r="2528" spans="2:2" x14ac:dyDescent="0.2">
      <c r="B2528" t="str">
        <f t="shared" si="41"/>
        <v/>
      </c>
    </row>
    <row r="2529" spans="2:2" x14ac:dyDescent="0.2">
      <c r="B2529" t="str">
        <f t="shared" si="41"/>
        <v/>
      </c>
    </row>
    <row r="2530" spans="2:2" x14ac:dyDescent="0.2">
      <c r="B2530" t="str">
        <f t="shared" si="41"/>
        <v/>
      </c>
    </row>
    <row r="2531" spans="2:2" x14ac:dyDescent="0.2">
      <c r="B2531" t="str">
        <f t="shared" si="41"/>
        <v/>
      </c>
    </row>
    <row r="2532" spans="2:2" x14ac:dyDescent="0.2">
      <c r="B2532" t="str">
        <f t="shared" si="41"/>
        <v/>
      </c>
    </row>
    <row r="2533" spans="2:2" x14ac:dyDescent="0.2">
      <c r="B2533" t="str">
        <f t="shared" si="41"/>
        <v/>
      </c>
    </row>
    <row r="2534" spans="2:2" x14ac:dyDescent="0.2">
      <c r="B2534" t="str">
        <f t="shared" si="41"/>
        <v/>
      </c>
    </row>
    <row r="2535" spans="2:2" x14ac:dyDescent="0.2">
      <c r="B2535" t="str">
        <f t="shared" si="41"/>
        <v/>
      </c>
    </row>
    <row r="2536" spans="2:2" x14ac:dyDescent="0.2">
      <c r="B2536" t="str">
        <f t="shared" si="41"/>
        <v/>
      </c>
    </row>
    <row r="2537" spans="2:2" x14ac:dyDescent="0.2">
      <c r="B2537" t="str">
        <f t="shared" si="41"/>
        <v/>
      </c>
    </row>
    <row r="2538" spans="2:2" x14ac:dyDescent="0.2">
      <c r="B2538" t="str">
        <f t="shared" si="41"/>
        <v/>
      </c>
    </row>
    <row r="2539" spans="2:2" x14ac:dyDescent="0.2">
      <c r="B2539" t="str">
        <f t="shared" si="41"/>
        <v/>
      </c>
    </row>
    <row r="2540" spans="2:2" x14ac:dyDescent="0.2">
      <c r="B2540" t="str">
        <f t="shared" si="41"/>
        <v/>
      </c>
    </row>
    <row r="2541" spans="2:2" x14ac:dyDescent="0.2">
      <c r="B2541" t="str">
        <f t="shared" si="41"/>
        <v/>
      </c>
    </row>
    <row r="2542" spans="2:2" x14ac:dyDescent="0.2">
      <c r="B2542" t="str">
        <f t="shared" si="41"/>
        <v/>
      </c>
    </row>
    <row r="2543" spans="2:2" x14ac:dyDescent="0.2">
      <c r="B2543" t="str">
        <f t="shared" si="41"/>
        <v/>
      </c>
    </row>
    <row r="2544" spans="2:2" x14ac:dyDescent="0.2">
      <c r="B2544" t="str">
        <f t="shared" si="41"/>
        <v/>
      </c>
    </row>
    <row r="2545" spans="2:2" x14ac:dyDescent="0.2">
      <c r="B2545" t="str">
        <f t="shared" si="41"/>
        <v/>
      </c>
    </row>
    <row r="2546" spans="2:2" x14ac:dyDescent="0.2">
      <c r="B2546" t="str">
        <f t="shared" si="41"/>
        <v/>
      </c>
    </row>
    <row r="2547" spans="2:2" x14ac:dyDescent="0.2">
      <c r="B2547" t="str">
        <f t="shared" si="41"/>
        <v/>
      </c>
    </row>
    <row r="2548" spans="2:2" x14ac:dyDescent="0.2">
      <c r="B2548" t="str">
        <f t="shared" si="41"/>
        <v/>
      </c>
    </row>
    <row r="2549" spans="2:2" x14ac:dyDescent="0.2">
      <c r="B2549" t="str">
        <f t="shared" si="41"/>
        <v/>
      </c>
    </row>
    <row r="2550" spans="2:2" x14ac:dyDescent="0.2">
      <c r="B2550" t="str">
        <f t="shared" si="41"/>
        <v/>
      </c>
    </row>
    <row r="2551" spans="2:2" x14ac:dyDescent="0.2">
      <c r="B2551" t="str">
        <f t="shared" si="41"/>
        <v/>
      </c>
    </row>
    <row r="2552" spans="2:2" x14ac:dyDescent="0.2">
      <c r="B2552" t="str">
        <f t="shared" si="41"/>
        <v/>
      </c>
    </row>
    <row r="2553" spans="2:2" x14ac:dyDescent="0.2">
      <c r="B2553" t="str">
        <f t="shared" si="41"/>
        <v/>
      </c>
    </row>
    <row r="2554" spans="2:2" x14ac:dyDescent="0.2">
      <c r="B2554" t="str">
        <f t="shared" si="41"/>
        <v/>
      </c>
    </row>
    <row r="2555" spans="2:2" x14ac:dyDescent="0.2">
      <c r="B2555" t="str">
        <f t="shared" si="41"/>
        <v/>
      </c>
    </row>
    <row r="2556" spans="2:2" x14ac:dyDescent="0.2">
      <c r="B2556" t="str">
        <f t="shared" si="41"/>
        <v/>
      </c>
    </row>
    <row r="2557" spans="2:2" x14ac:dyDescent="0.2">
      <c r="B2557" t="str">
        <f t="shared" si="41"/>
        <v/>
      </c>
    </row>
    <row r="2558" spans="2:2" x14ac:dyDescent="0.2">
      <c r="B2558" t="str">
        <f t="shared" si="41"/>
        <v/>
      </c>
    </row>
    <row r="2559" spans="2:2" x14ac:dyDescent="0.2">
      <c r="B2559" t="str">
        <f t="shared" si="41"/>
        <v/>
      </c>
    </row>
    <row r="2560" spans="2:2" x14ac:dyDescent="0.2">
      <c r="B2560" t="str">
        <f t="shared" si="41"/>
        <v/>
      </c>
    </row>
    <row r="2561" spans="2:2" x14ac:dyDescent="0.2">
      <c r="B2561" t="str">
        <f t="shared" si="41"/>
        <v/>
      </c>
    </row>
    <row r="2562" spans="2:2" x14ac:dyDescent="0.2">
      <c r="B2562" t="str">
        <f t="shared" si="41"/>
        <v/>
      </c>
    </row>
    <row r="2563" spans="2:2" x14ac:dyDescent="0.2">
      <c r="B2563" t="str">
        <f t="shared" si="41"/>
        <v/>
      </c>
    </row>
    <row r="2564" spans="2:2" x14ac:dyDescent="0.2">
      <c r="B2564" t="str">
        <f t="shared" si="41"/>
        <v/>
      </c>
    </row>
    <row r="2565" spans="2:2" x14ac:dyDescent="0.2">
      <c r="B2565" t="str">
        <f t="shared" ref="B2565:B2628" si="42">D2565&amp;I2565</f>
        <v/>
      </c>
    </row>
    <row r="2566" spans="2:2" x14ac:dyDescent="0.2">
      <c r="B2566" t="str">
        <f t="shared" si="42"/>
        <v/>
      </c>
    </row>
    <row r="2567" spans="2:2" x14ac:dyDescent="0.2">
      <c r="B2567" t="str">
        <f t="shared" si="42"/>
        <v/>
      </c>
    </row>
    <row r="2568" spans="2:2" x14ac:dyDescent="0.2">
      <c r="B2568" t="str">
        <f t="shared" si="42"/>
        <v/>
      </c>
    </row>
    <row r="2569" spans="2:2" x14ac:dyDescent="0.2">
      <c r="B2569" t="str">
        <f t="shared" si="42"/>
        <v/>
      </c>
    </row>
    <row r="2570" spans="2:2" x14ac:dyDescent="0.2">
      <c r="B2570" t="str">
        <f t="shared" si="42"/>
        <v/>
      </c>
    </row>
    <row r="2571" spans="2:2" x14ac:dyDescent="0.2">
      <c r="B2571" t="str">
        <f t="shared" si="42"/>
        <v/>
      </c>
    </row>
    <row r="2572" spans="2:2" x14ac:dyDescent="0.2">
      <c r="B2572" t="str">
        <f t="shared" si="42"/>
        <v/>
      </c>
    </row>
    <row r="2573" spans="2:2" x14ac:dyDescent="0.2">
      <c r="B2573" t="str">
        <f t="shared" si="42"/>
        <v/>
      </c>
    </row>
    <row r="2574" spans="2:2" x14ac:dyDescent="0.2">
      <c r="B2574" t="str">
        <f t="shared" si="42"/>
        <v/>
      </c>
    </row>
    <row r="2575" spans="2:2" x14ac:dyDescent="0.2">
      <c r="B2575" t="str">
        <f t="shared" si="42"/>
        <v/>
      </c>
    </row>
    <row r="2576" spans="2:2" x14ac:dyDescent="0.2">
      <c r="B2576" t="str">
        <f t="shared" si="42"/>
        <v/>
      </c>
    </row>
    <row r="2577" spans="2:2" x14ac:dyDescent="0.2">
      <c r="B2577" t="str">
        <f t="shared" si="42"/>
        <v/>
      </c>
    </row>
    <row r="2578" spans="2:2" x14ac:dyDescent="0.2">
      <c r="B2578" t="str">
        <f t="shared" si="42"/>
        <v/>
      </c>
    </row>
    <row r="2579" spans="2:2" x14ac:dyDescent="0.2">
      <c r="B2579" t="str">
        <f t="shared" si="42"/>
        <v/>
      </c>
    </row>
    <row r="2580" spans="2:2" x14ac:dyDescent="0.2">
      <c r="B2580" t="str">
        <f t="shared" si="42"/>
        <v/>
      </c>
    </row>
    <row r="2581" spans="2:2" x14ac:dyDescent="0.2">
      <c r="B2581" t="str">
        <f t="shared" si="42"/>
        <v/>
      </c>
    </row>
    <row r="2582" spans="2:2" x14ac:dyDescent="0.2">
      <c r="B2582" t="str">
        <f t="shared" si="42"/>
        <v/>
      </c>
    </row>
    <row r="2583" spans="2:2" x14ac:dyDescent="0.2">
      <c r="B2583" t="str">
        <f t="shared" si="42"/>
        <v/>
      </c>
    </row>
    <row r="2584" spans="2:2" x14ac:dyDescent="0.2">
      <c r="B2584" t="str">
        <f t="shared" si="42"/>
        <v/>
      </c>
    </row>
    <row r="2585" spans="2:2" x14ac:dyDescent="0.2">
      <c r="B2585" t="str">
        <f t="shared" si="42"/>
        <v/>
      </c>
    </row>
    <row r="2586" spans="2:2" x14ac:dyDescent="0.2">
      <c r="B2586" t="str">
        <f t="shared" si="42"/>
        <v/>
      </c>
    </row>
    <row r="2587" spans="2:2" x14ac:dyDescent="0.2">
      <c r="B2587" t="str">
        <f t="shared" si="42"/>
        <v/>
      </c>
    </row>
    <row r="2588" spans="2:2" x14ac:dyDescent="0.2">
      <c r="B2588" t="str">
        <f t="shared" si="42"/>
        <v/>
      </c>
    </row>
    <row r="2589" spans="2:2" x14ac:dyDescent="0.2">
      <c r="B2589" t="str">
        <f t="shared" si="42"/>
        <v/>
      </c>
    </row>
    <row r="2590" spans="2:2" x14ac:dyDescent="0.2">
      <c r="B2590" t="str">
        <f t="shared" si="42"/>
        <v/>
      </c>
    </row>
    <row r="2591" spans="2:2" x14ac:dyDescent="0.2">
      <c r="B2591" t="str">
        <f t="shared" si="42"/>
        <v/>
      </c>
    </row>
    <row r="2592" spans="2:2" x14ac:dyDescent="0.2">
      <c r="B2592" t="str">
        <f t="shared" si="42"/>
        <v/>
      </c>
    </row>
    <row r="2593" spans="2:2" x14ac:dyDescent="0.2">
      <c r="B2593" t="str">
        <f t="shared" si="42"/>
        <v/>
      </c>
    </row>
    <row r="2594" spans="2:2" x14ac:dyDescent="0.2">
      <c r="B2594" t="str">
        <f t="shared" si="42"/>
        <v/>
      </c>
    </row>
    <row r="2595" spans="2:2" x14ac:dyDescent="0.2">
      <c r="B2595" t="str">
        <f t="shared" si="42"/>
        <v/>
      </c>
    </row>
    <row r="2596" spans="2:2" x14ac:dyDescent="0.2">
      <c r="B2596" t="str">
        <f t="shared" si="42"/>
        <v/>
      </c>
    </row>
    <row r="2597" spans="2:2" x14ac:dyDescent="0.2">
      <c r="B2597" t="str">
        <f t="shared" si="42"/>
        <v/>
      </c>
    </row>
    <row r="2598" spans="2:2" x14ac:dyDescent="0.2">
      <c r="B2598" t="str">
        <f t="shared" si="42"/>
        <v/>
      </c>
    </row>
    <row r="2599" spans="2:2" x14ac:dyDescent="0.2">
      <c r="B2599" t="str">
        <f t="shared" si="42"/>
        <v/>
      </c>
    </row>
    <row r="2600" spans="2:2" x14ac:dyDescent="0.2">
      <c r="B2600" t="str">
        <f t="shared" si="42"/>
        <v/>
      </c>
    </row>
    <row r="2601" spans="2:2" x14ac:dyDescent="0.2">
      <c r="B2601" t="str">
        <f t="shared" si="42"/>
        <v/>
      </c>
    </row>
    <row r="2602" spans="2:2" x14ac:dyDescent="0.2">
      <c r="B2602" t="str">
        <f t="shared" si="42"/>
        <v/>
      </c>
    </row>
    <row r="2603" spans="2:2" x14ac:dyDescent="0.2">
      <c r="B2603" t="str">
        <f t="shared" si="42"/>
        <v/>
      </c>
    </row>
    <row r="2604" spans="2:2" x14ac:dyDescent="0.2">
      <c r="B2604" t="str">
        <f t="shared" si="42"/>
        <v/>
      </c>
    </row>
    <row r="2605" spans="2:2" x14ac:dyDescent="0.2">
      <c r="B2605" t="str">
        <f t="shared" si="42"/>
        <v/>
      </c>
    </row>
    <row r="2606" spans="2:2" x14ac:dyDescent="0.2">
      <c r="B2606" t="str">
        <f t="shared" si="42"/>
        <v/>
      </c>
    </row>
    <row r="2607" spans="2:2" x14ac:dyDescent="0.2">
      <c r="B2607" t="str">
        <f t="shared" si="42"/>
        <v/>
      </c>
    </row>
    <row r="2608" spans="2:2" x14ac:dyDescent="0.2">
      <c r="B2608" t="str">
        <f t="shared" si="42"/>
        <v/>
      </c>
    </row>
    <row r="2609" spans="2:2" x14ac:dyDescent="0.2">
      <c r="B2609" t="str">
        <f t="shared" si="42"/>
        <v/>
      </c>
    </row>
    <row r="2610" spans="2:2" x14ac:dyDescent="0.2">
      <c r="B2610" t="str">
        <f t="shared" si="42"/>
        <v/>
      </c>
    </row>
    <row r="2611" spans="2:2" x14ac:dyDescent="0.2">
      <c r="B2611" t="str">
        <f t="shared" si="42"/>
        <v/>
      </c>
    </row>
    <row r="2612" spans="2:2" x14ac:dyDescent="0.2">
      <c r="B2612" t="str">
        <f t="shared" si="42"/>
        <v/>
      </c>
    </row>
    <row r="2613" spans="2:2" x14ac:dyDescent="0.2">
      <c r="B2613" t="str">
        <f t="shared" si="42"/>
        <v/>
      </c>
    </row>
    <row r="2614" spans="2:2" x14ac:dyDescent="0.2">
      <c r="B2614" t="str">
        <f t="shared" si="42"/>
        <v/>
      </c>
    </row>
    <row r="2615" spans="2:2" x14ac:dyDescent="0.2">
      <c r="B2615" t="str">
        <f t="shared" si="42"/>
        <v/>
      </c>
    </row>
    <row r="2616" spans="2:2" x14ac:dyDescent="0.2">
      <c r="B2616" t="str">
        <f t="shared" si="42"/>
        <v/>
      </c>
    </row>
    <row r="2617" spans="2:2" x14ac:dyDescent="0.2">
      <c r="B2617" t="str">
        <f t="shared" si="42"/>
        <v/>
      </c>
    </row>
    <row r="2618" spans="2:2" x14ac:dyDescent="0.2">
      <c r="B2618" t="str">
        <f t="shared" si="42"/>
        <v/>
      </c>
    </row>
    <row r="2619" spans="2:2" x14ac:dyDescent="0.2">
      <c r="B2619" t="str">
        <f t="shared" si="42"/>
        <v/>
      </c>
    </row>
    <row r="2620" spans="2:2" x14ac:dyDescent="0.2">
      <c r="B2620" t="str">
        <f t="shared" si="42"/>
        <v/>
      </c>
    </row>
    <row r="2621" spans="2:2" x14ac:dyDescent="0.2">
      <c r="B2621" t="str">
        <f t="shared" si="42"/>
        <v/>
      </c>
    </row>
    <row r="2622" spans="2:2" x14ac:dyDescent="0.2">
      <c r="B2622" t="str">
        <f t="shared" si="42"/>
        <v/>
      </c>
    </row>
    <row r="2623" spans="2:2" x14ac:dyDescent="0.2">
      <c r="B2623" t="str">
        <f t="shared" si="42"/>
        <v/>
      </c>
    </row>
    <row r="2624" spans="2:2" x14ac:dyDescent="0.2">
      <c r="B2624" t="str">
        <f t="shared" si="42"/>
        <v/>
      </c>
    </row>
    <row r="2625" spans="2:2" x14ac:dyDescent="0.2">
      <c r="B2625" t="str">
        <f t="shared" si="42"/>
        <v/>
      </c>
    </row>
    <row r="2626" spans="2:2" x14ac:dyDescent="0.2">
      <c r="B2626" t="str">
        <f t="shared" si="42"/>
        <v/>
      </c>
    </row>
    <row r="2627" spans="2:2" x14ac:dyDescent="0.2">
      <c r="B2627" t="str">
        <f t="shared" si="42"/>
        <v/>
      </c>
    </row>
    <row r="2628" spans="2:2" x14ac:dyDescent="0.2">
      <c r="B2628" t="str">
        <f t="shared" si="42"/>
        <v/>
      </c>
    </row>
    <row r="2629" spans="2:2" x14ac:dyDescent="0.2">
      <c r="B2629" t="str">
        <f t="shared" ref="B2629:B2692" si="43">D2629&amp;I2629</f>
        <v/>
      </c>
    </row>
    <row r="2630" spans="2:2" x14ac:dyDescent="0.2">
      <c r="B2630" t="str">
        <f t="shared" si="43"/>
        <v/>
      </c>
    </row>
    <row r="2631" spans="2:2" x14ac:dyDescent="0.2">
      <c r="B2631" t="str">
        <f t="shared" si="43"/>
        <v/>
      </c>
    </row>
    <row r="2632" spans="2:2" x14ac:dyDescent="0.2">
      <c r="B2632" t="str">
        <f t="shared" si="43"/>
        <v/>
      </c>
    </row>
    <row r="2633" spans="2:2" x14ac:dyDescent="0.2">
      <c r="B2633" t="str">
        <f t="shared" si="43"/>
        <v/>
      </c>
    </row>
    <row r="2634" spans="2:2" x14ac:dyDescent="0.2">
      <c r="B2634" t="str">
        <f t="shared" si="43"/>
        <v/>
      </c>
    </row>
    <row r="2635" spans="2:2" x14ac:dyDescent="0.2">
      <c r="B2635" t="str">
        <f t="shared" si="43"/>
        <v/>
      </c>
    </row>
    <row r="2636" spans="2:2" x14ac:dyDescent="0.2">
      <c r="B2636" t="str">
        <f t="shared" si="43"/>
        <v/>
      </c>
    </row>
    <row r="2637" spans="2:2" x14ac:dyDescent="0.2">
      <c r="B2637" t="str">
        <f t="shared" si="43"/>
        <v/>
      </c>
    </row>
    <row r="2638" spans="2:2" x14ac:dyDescent="0.2">
      <c r="B2638" t="str">
        <f t="shared" si="43"/>
        <v/>
      </c>
    </row>
    <row r="2639" spans="2:2" x14ac:dyDescent="0.2">
      <c r="B2639" t="str">
        <f t="shared" si="43"/>
        <v/>
      </c>
    </row>
    <row r="2640" spans="2:2" x14ac:dyDescent="0.2">
      <c r="B2640" t="str">
        <f t="shared" si="43"/>
        <v/>
      </c>
    </row>
    <row r="2641" spans="2:2" x14ac:dyDescent="0.2">
      <c r="B2641" t="str">
        <f t="shared" si="43"/>
        <v/>
      </c>
    </row>
    <row r="2642" spans="2:2" x14ac:dyDescent="0.2">
      <c r="B2642" t="str">
        <f t="shared" si="43"/>
        <v/>
      </c>
    </row>
    <row r="2643" spans="2:2" x14ac:dyDescent="0.2">
      <c r="B2643" t="str">
        <f t="shared" si="43"/>
        <v/>
      </c>
    </row>
    <row r="2644" spans="2:2" x14ac:dyDescent="0.2">
      <c r="B2644" t="str">
        <f t="shared" si="43"/>
        <v/>
      </c>
    </row>
    <row r="2645" spans="2:2" x14ac:dyDescent="0.2">
      <c r="B2645" t="str">
        <f t="shared" si="43"/>
        <v/>
      </c>
    </row>
    <row r="2646" spans="2:2" x14ac:dyDescent="0.2">
      <c r="B2646" t="str">
        <f t="shared" si="43"/>
        <v/>
      </c>
    </row>
    <row r="2647" spans="2:2" x14ac:dyDescent="0.2">
      <c r="B2647" t="str">
        <f t="shared" si="43"/>
        <v/>
      </c>
    </row>
    <row r="2648" spans="2:2" x14ac:dyDescent="0.2">
      <c r="B2648" t="str">
        <f t="shared" si="43"/>
        <v/>
      </c>
    </row>
    <row r="2649" spans="2:2" x14ac:dyDescent="0.2">
      <c r="B2649" t="str">
        <f t="shared" si="43"/>
        <v/>
      </c>
    </row>
    <row r="2650" spans="2:2" x14ac:dyDescent="0.2">
      <c r="B2650" t="str">
        <f t="shared" si="43"/>
        <v/>
      </c>
    </row>
    <row r="2651" spans="2:2" x14ac:dyDescent="0.2">
      <c r="B2651" t="str">
        <f t="shared" si="43"/>
        <v/>
      </c>
    </row>
    <row r="2652" spans="2:2" x14ac:dyDescent="0.2">
      <c r="B2652" t="str">
        <f t="shared" si="43"/>
        <v/>
      </c>
    </row>
    <row r="2653" spans="2:2" x14ac:dyDescent="0.2">
      <c r="B2653" t="str">
        <f t="shared" si="43"/>
        <v/>
      </c>
    </row>
    <row r="2654" spans="2:2" x14ac:dyDescent="0.2">
      <c r="B2654" t="str">
        <f t="shared" si="43"/>
        <v/>
      </c>
    </row>
    <row r="2655" spans="2:2" x14ac:dyDescent="0.2">
      <c r="B2655" t="str">
        <f t="shared" si="43"/>
        <v/>
      </c>
    </row>
    <row r="2656" spans="2:2" x14ac:dyDescent="0.2">
      <c r="B2656" t="str">
        <f t="shared" si="43"/>
        <v/>
      </c>
    </row>
    <row r="2657" spans="2:2" x14ac:dyDescent="0.2">
      <c r="B2657" t="str">
        <f t="shared" si="43"/>
        <v/>
      </c>
    </row>
    <row r="2658" spans="2:2" x14ac:dyDescent="0.2">
      <c r="B2658" t="str">
        <f t="shared" si="43"/>
        <v/>
      </c>
    </row>
    <row r="2659" spans="2:2" x14ac:dyDescent="0.2">
      <c r="B2659" t="str">
        <f t="shared" si="43"/>
        <v/>
      </c>
    </row>
    <row r="2660" spans="2:2" x14ac:dyDescent="0.2">
      <c r="B2660" t="str">
        <f t="shared" si="43"/>
        <v/>
      </c>
    </row>
    <row r="2661" spans="2:2" x14ac:dyDescent="0.2">
      <c r="B2661" t="str">
        <f t="shared" si="43"/>
        <v/>
      </c>
    </row>
    <row r="2662" spans="2:2" x14ac:dyDescent="0.2">
      <c r="B2662" t="str">
        <f t="shared" si="43"/>
        <v/>
      </c>
    </row>
    <row r="2663" spans="2:2" x14ac:dyDescent="0.2">
      <c r="B2663" t="str">
        <f t="shared" si="43"/>
        <v/>
      </c>
    </row>
    <row r="2664" spans="2:2" x14ac:dyDescent="0.2">
      <c r="B2664" t="str">
        <f t="shared" si="43"/>
        <v/>
      </c>
    </row>
    <row r="2665" spans="2:2" x14ac:dyDescent="0.2">
      <c r="B2665" t="str">
        <f t="shared" si="43"/>
        <v/>
      </c>
    </row>
    <row r="2666" spans="2:2" x14ac:dyDescent="0.2">
      <c r="B2666" t="str">
        <f t="shared" si="43"/>
        <v/>
      </c>
    </row>
    <row r="2667" spans="2:2" x14ac:dyDescent="0.2">
      <c r="B2667" t="str">
        <f t="shared" si="43"/>
        <v/>
      </c>
    </row>
    <row r="2668" spans="2:2" x14ac:dyDescent="0.2">
      <c r="B2668" t="str">
        <f t="shared" si="43"/>
        <v/>
      </c>
    </row>
    <row r="2669" spans="2:2" x14ac:dyDescent="0.2">
      <c r="B2669" t="str">
        <f t="shared" si="43"/>
        <v/>
      </c>
    </row>
    <row r="2670" spans="2:2" x14ac:dyDescent="0.2">
      <c r="B2670" t="str">
        <f t="shared" si="43"/>
        <v/>
      </c>
    </row>
    <row r="2671" spans="2:2" x14ac:dyDescent="0.2">
      <c r="B2671" t="str">
        <f t="shared" si="43"/>
        <v/>
      </c>
    </row>
    <row r="2672" spans="2:2" x14ac:dyDescent="0.2">
      <c r="B2672" t="str">
        <f t="shared" si="43"/>
        <v/>
      </c>
    </row>
    <row r="2673" spans="2:2" x14ac:dyDescent="0.2">
      <c r="B2673" t="str">
        <f t="shared" si="43"/>
        <v/>
      </c>
    </row>
    <row r="2674" spans="2:2" x14ac:dyDescent="0.2">
      <c r="B2674" t="str">
        <f t="shared" si="43"/>
        <v/>
      </c>
    </row>
    <row r="2675" spans="2:2" x14ac:dyDescent="0.2">
      <c r="B2675" t="str">
        <f t="shared" si="43"/>
        <v/>
      </c>
    </row>
    <row r="2676" spans="2:2" x14ac:dyDescent="0.2">
      <c r="B2676" t="str">
        <f t="shared" si="43"/>
        <v/>
      </c>
    </row>
    <row r="2677" spans="2:2" x14ac:dyDescent="0.2">
      <c r="B2677" t="str">
        <f t="shared" si="43"/>
        <v/>
      </c>
    </row>
    <row r="2678" spans="2:2" x14ac:dyDescent="0.2">
      <c r="B2678" t="str">
        <f t="shared" si="43"/>
        <v/>
      </c>
    </row>
    <row r="2679" spans="2:2" x14ac:dyDescent="0.2">
      <c r="B2679" t="str">
        <f t="shared" si="43"/>
        <v/>
      </c>
    </row>
    <row r="2680" spans="2:2" x14ac:dyDescent="0.2">
      <c r="B2680" t="str">
        <f t="shared" si="43"/>
        <v/>
      </c>
    </row>
    <row r="2681" spans="2:2" x14ac:dyDescent="0.2">
      <c r="B2681" t="str">
        <f t="shared" si="43"/>
        <v/>
      </c>
    </row>
    <row r="2682" spans="2:2" x14ac:dyDescent="0.2">
      <c r="B2682" t="str">
        <f t="shared" si="43"/>
        <v/>
      </c>
    </row>
    <row r="2683" spans="2:2" x14ac:dyDescent="0.2">
      <c r="B2683" t="str">
        <f t="shared" si="43"/>
        <v/>
      </c>
    </row>
    <row r="2684" spans="2:2" x14ac:dyDescent="0.2">
      <c r="B2684" t="str">
        <f t="shared" si="43"/>
        <v/>
      </c>
    </row>
    <row r="2685" spans="2:2" x14ac:dyDescent="0.2">
      <c r="B2685" t="str">
        <f t="shared" si="43"/>
        <v/>
      </c>
    </row>
    <row r="2686" spans="2:2" x14ac:dyDescent="0.2">
      <c r="B2686" t="str">
        <f t="shared" si="43"/>
        <v/>
      </c>
    </row>
    <row r="2687" spans="2:2" x14ac:dyDescent="0.2">
      <c r="B2687" t="str">
        <f t="shared" si="43"/>
        <v/>
      </c>
    </row>
    <row r="2688" spans="2:2" x14ac:dyDescent="0.2">
      <c r="B2688" t="str">
        <f t="shared" si="43"/>
        <v/>
      </c>
    </row>
    <row r="2689" spans="2:2" x14ac:dyDescent="0.2">
      <c r="B2689" t="str">
        <f t="shared" si="43"/>
        <v/>
      </c>
    </row>
    <row r="2690" spans="2:2" x14ac:dyDescent="0.2">
      <c r="B2690" t="str">
        <f t="shared" si="43"/>
        <v/>
      </c>
    </row>
    <row r="2691" spans="2:2" x14ac:dyDescent="0.2">
      <c r="B2691" t="str">
        <f t="shared" si="43"/>
        <v/>
      </c>
    </row>
    <row r="2692" spans="2:2" x14ac:dyDescent="0.2">
      <c r="B2692" t="str">
        <f t="shared" si="43"/>
        <v/>
      </c>
    </row>
    <row r="2693" spans="2:2" x14ac:dyDescent="0.2">
      <c r="B2693" t="str">
        <f t="shared" ref="B2693:B2756" si="44">D2693&amp;I2693</f>
        <v/>
      </c>
    </row>
    <row r="2694" spans="2:2" x14ac:dyDescent="0.2">
      <c r="B2694" t="str">
        <f t="shared" si="44"/>
        <v/>
      </c>
    </row>
    <row r="2695" spans="2:2" x14ac:dyDescent="0.2">
      <c r="B2695" t="str">
        <f t="shared" si="44"/>
        <v/>
      </c>
    </row>
    <row r="2696" spans="2:2" x14ac:dyDescent="0.2">
      <c r="B2696" t="str">
        <f t="shared" si="44"/>
        <v/>
      </c>
    </row>
    <row r="2697" spans="2:2" x14ac:dyDescent="0.2">
      <c r="B2697" t="str">
        <f t="shared" si="44"/>
        <v/>
      </c>
    </row>
    <row r="2698" spans="2:2" x14ac:dyDescent="0.2">
      <c r="B2698" t="str">
        <f t="shared" si="44"/>
        <v/>
      </c>
    </row>
    <row r="2699" spans="2:2" x14ac:dyDescent="0.2">
      <c r="B2699" t="str">
        <f t="shared" si="44"/>
        <v/>
      </c>
    </row>
    <row r="2700" spans="2:2" x14ac:dyDescent="0.2">
      <c r="B2700" t="str">
        <f t="shared" si="44"/>
        <v/>
      </c>
    </row>
    <row r="2701" spans="2:2" x14ac:dyDescent="0.2">
      <c r="B2701" t="str">
        <f t="shared" si="44"/>
        <v/>
      </c>
    </row>
    <row r="2702" spans="2:2" x14ac:dyDescent="0.2">
      <c r="B2702" t="str">
        <f t="shared" si="44"/>
        <v/>
      </c>
    </row>
    <row r="2703" spans="2:2" x14ac:dyDescent="0.2">
      <c r="B2703" t="str">
        <f t="shared" si="44"/>
        <v/>
      </c>
    </row>
    <row r="2704" spans="2:2" x14ac:dyDescent="0.2">
      <c r="B2704" t="str">
        <f t="shared" si="44"/>
        <v/>
      </c>
    </row>
    <row r="2705" spans="2:2" x14ac:dyDescent="0.2">
      <c r="B2705" t="str">
        <f t="shared" si="44"/>
        <v/>
      </c>
    </row>
    <row r="2706" spans="2:2" x14ac:dyDescent="0.2">
      <c r="B2706" t="str">
        <f t="shared" si="44"/>
        <v/>
      </c>
    </row>
    <row r="2707" spans="2:2" x14ac:dyDescent="0.2">
      <c r="B2707" t="str">
        <f t="shared" si="44"/>
        <v/>
      </c>
    </row>
    <row r="2708" spans="2:2" x14ac:dyDescent="0.2">
      <c r="B2708" t="str">
        <f t="shared" si="44"/>
        <v/>
      </c>
    </row>
    <row r="2709" spans="2:2" x14ac:dyDescent="0.2">
      <c r="B2709" t="str">
        <f t="shared" si="44"/>
        <v/>
      </c>
    </row>
    <row r="2710" spans="2:2" x14ac:dyDescent="0.2">
      <c r="B2710" t="str">
        <f t="shared" si="44"/>
        <v/>
      </c>
    </row>
    <row r="2711" spans="2:2" x14ac:dyDescent="0.2">
      <c r="B2711" t="str">
        <f t="shared" si="44"/>
        <v/>
      </c>
    </row>
    <row r="2712" spans="2:2" x14ac:dyDescent="0.2">
      <c r="B2712" t="str">
        <f t="shared" si="44"/>
        <v/>
      </c>
    </row>
    <row r="2713" spans="2:2" x14ac:dyDescent="0.2">
      <c r="B2713" t="str">
        <f t="shared" si="44"/>
        <v/>
      </c>
    </row>
    <row r="2714" spans="2:2" x14ac:dyDescent="0.2">
      <c r="B2714" t="str">
        <f t="shared" si="44"/>
        <v/>
      </c>
    </row>
    <row r="2715" spans="2:2" x14ac:dyDescent="0.2">
      <c r="B2715" t="str">
        <f t="shared" si="44"/>
        <v/>
      </c>
    </row>
    <row r="2716" spans="2:2" x14ac:dyDescent="0.2">
      <c r="B2716" t="str">
        <f t="shared" si="44"/>
        <v/>
      </c>
    </row>
    <row r="2717" spans="2:2" x14ac:dyDescent="0.2">
      <c r="B2717" t="str">
        <f t="shared" si="44"/>
        <v/>
      </c>
    </row>
    <row r="2718" spans="2:2" x14ac:dyDescent="0.2">
      <c r="B2718" t="str">
        <f t="shared" si="44"/>
        <v/>
      </c>
    </row>
    <row r="2719" spans="2:2" x14ac:dyDescent="0.2">
      <c r="B2719" t="str">
        <f t="shared" si="44"/>
        <v/>
      </c>
    </row>
    <row r="2720" spans="2:2" x14ac:dyDescent="0.2">
      <c r="B2720" t="str">
        <f t="shared" si="44"/>
        <v/>
      </c>
    </row>
    <row r="2721" spans="2:2" x14ac:dyDescent="0.2">
      <c r="B2721" t="str">
        <f t="shared" si="44"/>
        <v/>
      </c>
    </row>
    <row r="2722" spans="2:2" x14ac:dyDescent="0.2">
      <c r="B2722" t="str">
        <f t="shared" si="44"/>
        <v/>
      </c>
    </row>
    <row r="2723" spans="2:2" x14ac:dyDescent="0.2">
      <c r="B2723" t="str">
        <f t="shared" si="44"/>
        <v/>
      </c>
    </row>
    <row r="2724" spans="2:2" x14ac:dyDescent="0.2">
      <c r="B2724" t="str">
        <f t="shared" si="44"/>
        <v/>
      </c>
    </row>
    <row r="2725" spans="2:2" x14ac:dyDescent="0.2">
      <c r="B2725" t="str">
        <f t="shared" si="44"/>
        <v/>
      </c>
    </row>
    <row r="2726" spans="2:2" x14ac:dyDescent="0.2">
      <c r="B2726" t="str">
        <f t="shared" si="44"/>
        <v/>
      </c>
    </row>
    <row r="2727" spans="2:2" x14ac:dyDescent="0.2">
      <c r="B2727" t="str">
        <f t="shared" si="44"/>
        <v/>
      </c>
    </row>
    <row r="2728" spans="2:2" x14ac:dyDescent="0.2">
      <c r="B2728" t="str">
        <f t="shared" si="44"/>
        <v/>
      </c>
    </row>
    <row r="2729" spans="2:2" x14ac:dyDescent="0.2">
      <c r="B2729" t="str">
        <f t="shared" si="44"/>
        <v/>
      </c>
    </row>
    <row r="2730" spans="2:2" x14ac:dyDescent="0.2">
      <c r="B2730" t="str">
        <f t="shared" si="44"/>
        <v/>
      </c>
    </row>
    <row r="2731" spans="2:2" x14ac:dyDescent="0.2">
      <c r="B2731" t="str">
        <f t="shared" si="44"/>
        <v/>
      </c>
    </row>
    <row r="2732" spans="2:2" x14ac:dyDescent="0.2">
      <c r="B2732" t="str">
        <f t="shared" si="44"/>
        <v/>
      </c>
    </row>
    <row r="2733" spans="2:2" x14ac:dyDescent="0.2">
      <c r="B2733" t="str">
        <f t="shared" si="44"/>
        <v/>
      </c>
    </row>
    <row r="2734" spans="2:2" x14ac:dyDescent="0.2">
      <c r="B2734" t="str">
        <f t="shared" si="44"/>
        <v/>
      </c>
    </row>
    <row r="2735" spans="2:2" x14ac:dyDescent="0.2">
      <c r="B2735" t="str">
        <f t="shared" si="44"/>
        <v/>
      </c>
    </row>
    <row r="2736" spans="2:2" x14ac:dyDescent="0.2">
      <c r="B2736" t="str">
        <f t="shared" si="44"/>
        <v/>
      </c>
    </row>
    <row r="2737" spans="2:2" x14ac:dyDescent="0.2">
      <c r="B2737" t="str">
        <f t="shared" si="44"/>
        <v/>
      </c>
    </row>
    <row r="2738" spans="2:2" x14ac:dyDescent="0.2">
      <c r="B2738" t="str">
        <f t="shared" si="44"/>
        <v/>
      </c>
    </row>
    <row r="2739" spans="2:2" x14ac:dyDescent="0.2">
      <c r="B2739" t="str">
        <f t="shared" si="44"/>
        <v/>
      </c>
    </row>
    <row r="2740" spans="2:2" x14ac:dyDescent="0.2">
      <c r="B2740" t="str">
        <f t="shared" si="44"/>
        <v/>
      </c>
    </row>
    <row r="2741" spans="2:2" x14ac:dyDescent="0.2">
      <c r="B2741" t="str">
        <f t="shared" si="44"/>
        <v/>
      </c>
    </row>
    <row r="2742" spans="2:2" x14ac:dyDescent="0.2">
      <c r="B2742" t="str">
        <f t="shared" si="44"/>
        <v/>
      </c>
    </row>
    <row r="2743" spans="2:2" x14ac:dyDescent="0.2">
      <c r="B2743" t="str">
        <f t="shared" si="44"/>
        <v/>
      </c>
    </row>
    <row r="2744" spans="2:2" x14ac:dyDescent="0.2">
      <c r="B2744" t="str">
        <f t="shared" si="44"/>
        <v/>
      </c>
    </row>
    <row r="2745" spans="2:2" x14ac:dyDescent="0.2">
      <c r="B2745" t="str">
        <f t="shared" si="44"/>
        <v/>
      </c>
    </row>
    <row r="2746" spans="2:2" x14ac:dyDescent="0.2">
      <c r="B2746" t="str">
        <f t="shared" si="44"/>
        <v/>
      </c>
    </row>
    <row r="2747" spans="2:2" x14ac:dyDescent="0.2">
      <c r="B2747" t="str">
        <f t="shared" si="44"/>
        <v/>
      </c>
    </row>
    <row r="2748" spans="2:2" x14ac:dyDescent="0.2">
      <c r="B2748" t="str">
        <f t="shared" si="44"/>
        <v/>
      </c>
    </row>
    <row r="2749" spans="2:2" x14ac:dyDescent="0.2">
      <c r="B2749" t="str">
        <f t="shared" si="44"/>
        <v/>
      </c>
    </row>
    <row r="2750" spans="2:2" x14ac:dyDescent="0.2">
      <c r="B2750" t="str">
        <f t="shared" si="44"/>
        <v/>
      </c>
    </row>
    <row r="2751" spans="2:2" x14ac:dyDescent="0.2">
      <c r="B2751" t="str">
        <f t="shared" si="44"/>
        <v/>
      </c>
    </row>
    <row r="2752" spans="2:2" x14ac:dyDescent="0.2">
      <c r="B2752" t="str">
        <f t="shared" si="44"/>
        <v/>
      </c>
    </row>
    <row r="2753" spans="2:2" x14ac:dyDescent="0.2">
      <c r="B2753" t="str">
        <f t="shared" si="44"/>
        <v/>
      </c>
    </row>
    <row r="2754" spans="2:2" x14ac:dyDescent="0.2">
      <c r="B2754" t="str">
        <f t="shared" si="44"/>
        <v/>
      </c>
    </row>
    <row r="2755" spans="2:2" x14ac:dyDescent="0.2">
      <c r="B2755" t="str">
        <f t="shared" si="44"/>
        <v/>
      </c>
    </row>
    <row r="2756" spans="2:2" x14ac:dyDescent="0.2">
      <c r="B2756" t="str">
        <f t="shared" si="44"/>
        <v/>
      </c>
    </row>
    <row r="2757" spans="2:2" x14ac:dyDescent="0.2">
      <c r="B2757" t="str">
        <f t="shared" ref="B2757:B2820" si="45">D2757&amp;I2757</f>
        <v/>
      </c>
    </row>
    <row r="2758" spans="2:2" x14ac:dyDescent="0.2">
      <c r="B2758" t="str">
        <f t="shared" si="45"/>
        <v/>
      </c>
    </row>
    <row r="2759" spans="2:2" x14ac:dyDescent="0.2">
      <c r="B2759" t="str">
        <f t="shared" si="45"/>
        <v/>
      </c>
    </row>
    <row r="2760" spans="2:2" x14ac:dyDescent="0.2">
      <c r="B2760" t="str">
        <f t="shared" si="45"/>
        <v/>
      </c>
    </row>
    <row r="2761" spans="2:2" x14ac:dyDescent="0.2">
      <c r="B2761" t="str">
        <f t="shared" si="45"/>
        <v/>
      </c>
    </row>
    <row r="2762" spans="2:2" x14ac:dyDescent="0.2">
      <c r="B2762" t="str">
        <f t="shared" si="45"/>
        <v/>
      </c>
    </row>
    <row r="2763" spans="2:2" x14ac:dyDescent="0.2">
      <c r="B2763" t="str">
        <f t="shared" si="45"/>
        <v/>
      </c>
    </row>
    <row r="2764" spans="2:2" x14ac:dyDescent="0.2">
      <c r="B2764" t="str">
        <f t="shared" si="45"/>
        <v/>
      </c>
    </row>
    <row r="2765" spans="2:2" x14ac:dyDescent="0.2">
      <c r="B2765" t="str">
        <f t="shared" si="45"/>
        <v/>
      </c>
    </row>
    <row r="2766" spans="2:2" x14ac:dyDescent="0.2">
      <c r="B2766" t="str">
        <f t="shared" si="45"/>
        <v/>
      </c>
    </row>
    <row r="2767" spans="2:2" x14ac:dyDescent="0.2">
      <c r="B2767" t="str">
        <f t="shared" si="45"/>
        <v/>
      </c>
    </row>
    <row r="2768" spans="2:2" x14ac:dyDescent="0.2">
      <c r="B2768" t="str">
        <f t="shared" si="45"/>
        <v/>
      </c>
    </row>
    <row r="2769" spans="2:2" x14ac:dyDescent="0.2">
      <c r="B2769" t="str">
        <f t="shared" si="45"/>
        <v/>
      </c>
    </row>
    <row r="2770" spans="2:2" x14ac:dyDescent="0.2">
      <c r="B2770" t="str">
        <f t="shared" si="45"/>
        <v/>
      </c>
    </row>
    <row r="2771" spans="2:2" x14ac:dyDescent="0.2">
      <c r="B2771" t="str">
        <f t="shared" si="45"/>
        <v/>
      </c>
    </row>
    <row r="2772" spans="2:2" x14ac:dyDescent="0.2">
      <c r="B2772" t="str">
        <f t="shared" si="45"/>
        <v/>
      </c>
    </row>
    <row r="2773" spans="2:2" x14ac:dyDescent="0.2">
      <c r="B2773" t="str">
        <f t="shared" si="45"/>
        <v/>
      </c>
    </row>
    <row r="2774" spans="2:2" x14ac:dyDescent="0.2">
      <c r="B2774" t="str">
        <f t="shared" si="45"/>
        <v/>
      </c>
    </row>
    <row r="2775" spans="2:2" x14ac:dyDescent="0.2">
      <c r="B2775" t="str">
        <f t="shared" si="45"/>
        <v/>
      </c>
    </row>
    <row r="2776" spans="2:2" x14ac:dyDescent="0.2">
      <c r="B2776" t="str">
        <f t="shared" si="45"/>
        <v/>
      </c>
    </row>
    <row r="2777" spans="2:2" x14ac:dyDescent="0.2">
      <c r="B2777" t="str">
        <f t="shared" si="45"/>
        <v/>
      </c>
    </row>
    <row r="2778" spans="2:2" x14ac:dyDescent="0.2">
      <c r="B2778" t="str">
        <f t="shared" si="45"/>
        <v/>
      </c>
    </row>
    <row r="2779" spans="2:2" x14ac:dyDescent="0.2">
      <c r="B2779" t="str">
        <f t="shared" si="45"/>
        <v/>
      </c>
    </row>
    <row r="2780" spans="2:2" x14ac:dyDescent="0.2">
      <c r="B2780" t="str">
        <f t="shared" si="45"/>
        <v/>
      </c>
    </row>
    <row r="2781" spans="2:2" x14ac:dyDescent="0.2">
      <c r="B2781" t="str">
        <f t="shared" si="45"/>
        <v/>
      </c>
    </row>
    <row r="2782" spans="2:2" x14ac:dyDescent="0.2">
      <c r="B2782" t="str">
        <f t="shared" si="45"/>
        <v/>
      </c>
    </row>
    <row r="2783" spans="2:2" x14ac:dyDescent="0.2">
      <c r="B2783" t="str">
        <f t="shared" si="45"/>
        <v/>
      </c>
    </row>
    <row r="2784" spans="2:2" x14ac:dyDescent="0.2">
      <c r="B2784" t="str">
        <f t="shared" si="45"/>
        <v/>
      </c>
    </row>
    <row r="2785" spans="2:2" x14ac:dyDescent="0.2">
      <c r="B2785" t="str">
        <f t="shared" si="45"/>
        <v/>
      </c>
    </row>
    <row r="2786" spans="2:2" x14ac:dyDescent="0.2">
      <c r="B2786" t="str">
        <f t="shared" si="45"/>
        <v/>
      </c>
    </row>
    <row r="2787" spans="2:2" x14ac:dyDescent="0.2">
      <c r="B2787" t="str">
        <f t="shared" si="45"/>
        <v/>
      </c>
    </row>
    <row r="2788" spans="2:2" x14ac:dyDescent="0.2">
      <c r="B2788" t="str">
        <f t="shared" si="45"/>
        <v/>
      </c>
    </row>
    <row r="2789" spans="2:2" x14ac:dyDescent="0.2">
      <c r="B2789" t="str">
        <f t="shared" si="45"/>
        <v/>
      </c>
    </row>
    <row r="2790" spans="2:2" x14ac:dyDescent="0.2">
      <c r="B2790" t="str">
        <f t="shared" si="45"/>
        <v/>
      </c>
    </row>
    <row r="2791" spans="2:2" x14ac:dyDescent="0.2">
      <c r="B2791" t="str">
        <f t="shared" si="45"/>
        <v/>
      </c>
    </row>
    <row r="2792" spans="2:2" x14ac:dyDescent="0.2">
      <c r="B2792" t="str">
        <f t="shared" si="45"/>
        <v/>
      </c>
    </row>
    <row r="2793" spans="2:2" x14ac:dyDescent="0.2">
      <c r="B2793" t="str">
        <f t="shared" si="45"/>
        <v/>
      </c>
    </row>
    <row r="2794" spans="2:2" x14ac:dyDescent="0.2">
      <c r="B2794" t="str">
        <f t="shared" si="45"/>
        <v/>
      </c>
    </row>
    <row r="2795" spans="2:2" x14ac:dyDescent="0.2">
      <c r="B2795" t="str">
        <f t="shared" si="45"/>
        <v/>
      </c>
    </row>
    <row r="2796" spans="2:2" x14ac:dyDescent="0.2">
      <c r="B2796" t="str">
        <f t="shared" si="45"/>
        <v/>
      </c>
    </row>
    <row r="2797" spans="2:2" x14ac:dyDescent="0.2">
      <c r="B2797" t="str">
        <f t="shared" si="45"/>
        <v/>
      </c>
    </row>
    <row r="2798" spans="2:2" x14ac:dyDescent="0.2">
      <c r="B2798" t="str">
        <f t="shared" si="45"/>
        <v/>
      </c>
    </row>
    <row r="2799" spans="2:2" x14ac:dyDescent="0.2">
      <c r="B2799" t="str">
        <f t="shared" si="45"/>
        <v/>
      </c>
    </row>
    <row r="2800" spans="2:2" x14ac:dyDescent="0.2">
      <c r="B2800" t="str">
        <f t="shared" si="45"/>
        <v/>
      </c>
    </row>
    <row r="2801" spans="2:2" x14ac:dyDescent="0.2">
      <c r="B2801" t="str">
        <f t="shared" si="45"/>
        <v/>
      </c>
    </row>
    <row r="2802" spans="2:2" x14ac:dyDescent="0.2">
      <c r="B2802" t="str">
        <f t="shared" si="45"/>
        <v/>
      </c>
    </row>
    <row r="2803" spans="2:2" x14ac:dyDescent="0.2">
      <c r="B2803" t="str">
        <f t="shared" si="45"/>
        <v/>
      </c>
    </row>
    <row r="2804" spans="2:2" x14ac:dyDescent="0.2">
      <c r="B2804" t="str">
        <f t="shared" si="45"/>
        <v/>
      </c>
    </row>
    <row r="2805" spans="2:2" x14ac:dyDescent="0.2">
      <c r="B2805" t="str">
        <f t="shared" si="45"/>
        <v/>
      </c>
    </row>
    <row r="2806" spans="2:2" x14ac:dyDescent="0.2">
      <c r="B2806" t="str">
        <f t="shared" si="45"/>
        <v/>
      </c>
    </row>
    <row r="2807" spans="2:2" x14ac:dyDescent="0.2">
      <c r="B2807" t="str">
        <f t="shared" si="45"/>
        <v/>
      </c>
    </row>
    <row r="2808" spans="2:2" x14ac:dyDescent="0.2">
      <c r="B2808" t="str">
        <f t="shared" si="45"/>
        <v/>
      </c>
    </row>
    <row r="2809" spans="2:2" x14ac:dyDescent="0.2">
      <c r="B2809" t="str">
        <f t="shared" si="45"/>
        <v/>
      </c>
    </row>
    <row r="2810" spans="2:2" x14ac:dyDescent="0.2">
      <c r="B2810" t="str">
        <f t="shared" si="45"/>
        <v/>
      </c>
    </row>
    <row r="2811" spans="2:2" x14ac:dyDescent="0.2">
      <c r="B2811" t="str">
        <f t="shared" si="45"/>
        <v/>
      </c>
    </row>
    <row r="2812" spans="2:2" x14ac:dyDescent="0.2">
      <c r="B2812" t="str">
        <f t="shared" si="45"/>
        <v/>
      </c>
    </row>
    <row r="2813" spans="2:2" x14ac:dyDescent="0.2">
      <c r="B2813" t="str">
        <f t="shared" si="45"/>
        <v/>
      </c>
    </row>
    <row r="2814" spans="2:2" x14ac:dyDescent="0.2">
      <c r="B2814" t="str">
        <f t="shared" si="45"/>
        <v/>
      </c>
    </row>
    <row r="2815" spans="2:2" x14ac:dyDescent="0.2">
      <c r="B2815" t="str">
        <f t="shared" si="45"/>
        <v/>
      </c>
    </row>
    <row r="2816" spans="2:2" x14ac:dyDescent="0.2">
      <c r="B2816" t="str">
        <f t="shared" si="45"/>
        <v/>
      </c>
    </row>
    <row r="2817" spans="2:2" x14ac:dyDescent="0.2">
      <c r="B2817" t="str">
        <f t="shared" si="45"/>
        <v/>
      </c>
    </row>
    <row r="2818" spans="2:2" x14ac:dyDescent="0.2">
      <c r="B2818" t="str">
        <f t="shared" si="45"/>
        <v/>
      </c>
    </row>
    <row r="2819" spans="2:2" x14ac:dyDescent="0.2">
      <c r="B2819" t="str">
        <f t="shared" si="45"/>
        <v/>
      </c>
    </row>
    <row r="2820" spans="2:2" x14ac:dyDescent="0.2">
      <c r="B2820" t="str">
        <f t="shared" si="45"/>
        <v/>
      </c>
    </row>
    <row r="2821" spans="2:2" x14ac:dyDescent="0.2">
      <c r="B2821" t="str">
        <f t="shared" ref="B2821:B2884" si="46">D2821&amp;I2821</f>
        <v/>
      </c>
    </row>
    <row r="2822" spans="2:2" x14ac:dyDescent="0.2">
      <c r="B2822" t="str">
        <f t="shared" si="46"/>
        <v/>
      </c>
    </row>
    <row r="2823" spans="2:2" x14ac:dyDescent="0.2">
      <c r="B2823" t="str">
        <f t="shared" si="46"/>
        <v/>
      </c>
    </row>
    <row r="2824" spans="2:2" x14ac:dyDescent="0.2">
      <c r="B2824" t="str">
        <f t="shared" si="46"/>
        <v/>
      </c>
    </row>
    <row r="2825" spans="2:2" x14ac:dyDescent="0.2">
      <c r="B2825" t="str">
        <f t="shared" si="46"/>
        <v/>
      </c>
    </row>
    <row r="2826" spans="2:2" x14ac:dyDescent="0.2">
      <c r="B2826" t="str">
        <f t="shared" si="46"/>
        <v/>
      </c>
    </row>
    <row r="2827" spans="2:2" x14ac:dyDescent="0.2">
      <c r="B2827" t="str">
        <f t="shared" si="46"/>
        <v/>
      </c>
    </row>
    <row r="2828" spans="2:2" x14ac:dyDescent="0.2">
      <c r="B2828" t="str">
        <f t="shared" si="46"/>
        <v/>
      </c>
    </row>
    <row r="2829" spans="2:2" x14ac:dyDescent="0.2">
      <c r="B2829" t="str">
        <f t="shared" si="46"/>
        <v/>
      </c>
    </row>
    <row r="2830" spans="2:2" x14ac:dyDescent="0.2">
      <c r="B2830" t="str">
        <f t="shared" si="46"/>
        <v/>
      </c>
    </row>
    <row r="2831" spans="2:2" x14ac:dyDescent="0.2">
      <c r="B2831" t="str">
        <f t="shared" si="46"/>
        <v/>
      </c>
    </row>
    <row r="2832" spans="2:2" x14ac:dyDescent="0.2">
      <c r="B2832" t="str">
        <f t="shared" si="46"/>
        <v/>
      </c>
    </row>
    <row r="2833" spans="2:2" x14ac:dyDescent="0.2">
      <c r="B2833" t="str">
        <f t="shared" si="46"/>
        <v/>
      </c>
    </row>
    <row r="2834" spans="2:2" x14ac:dyDescent="0.2">
      <c r="B2834" t="str">
        <f t="shared" si="46"/>
        <v/>
      </c>
    </row>
    <row r="2835" spans="2:2" x14ac:dyDescent="0.2">
      <c r="B2835" t="str">
        <f t="shared" si="46"/>
        <v/>
      </c>
    </row>
    <row r="2836" spans="2:2" x14ac:dyDescent="0.2">
      <c r="B2836" t="str">
        <f t="shared" si="46"/>
        <v/>
      </c>
    </row>
    <row r="2837" spans="2:2" x14ac:dyDescent="0.2">
      <c r="B2837" t="str">
        <f t="shared" si="46"/>
        <v/>
      </c>
    </row>
    <row r="2838" spans="2:2" x14ac:dyDescent="0.2">
      <c r="B2838" t="str">
        <f t="shared" si="46"/>
        <v/>
      </c>
    </row>
    <row r="2839" spans="2:2" x14ac:dyDescent="0.2">
      <c r="B2839" t="str">
        <f t="shared" si="46"/>
        <v/>
      </c>
    </row>
    <row r="2840" spans="2:2" x14ac:dyDescent="0.2">
      <c r="B2840" t="str">
        <f t="shared" si="46"/>
        <v/>
      </c>
    </row>
    <row r="2841" spans="2:2" x14ac:dyDescent="0.2">
      <c r="B2841" t="str">
        <f t="shared" si="46"/>
        <v/>
      </c>
    </row>
    <row r="2842" spans="2:2" x14ac:dyDescent="0.2">
      <c r="B2842" t="str">
        <f t="shared" si="46"/>
        <v/>
      </c>
    </row>
    <row r="2843" spans="2:2" x14ac:dyDescent="0.2">
      <c r="B2843" t="str">
        <f t="shared" si="46"/>
        <v/>
      </c>
    </row>
    <row r="2844" spans="2:2" x14ac:dyDescent="0.2">
      <c r="B2844" t="str">
        <f t="shared" si="46"/>
        <v/>
      </c>
    </row>
    <row r="2845" spans="2:2" x14ac:dyDescent="0.2">
      <c r="B2845" t="str">
        <f t="shared" si="46"/>
        <v/>
      </c>
    </row>
    <row r="2846" spans="2:2" x14ac:dyDescent="0.2">
      <c r="B2846" t="str">
        <f t="shared" si="46"/>
        <v/>
      </c>
    </row>
    <row r="2847" spans="2:2" x14ac:dyDescent="0.2">
      <c r="B2847" t="str">
        <f t="shared" si="46"/>
        <v/>
      </c>
    </row>
    <row r="2848" spans="2:2" x14ac:dyDescent="0.2">
      <c r="B2848" t="str">
        <f t="shared" si="46"/>
        <v/>
      </c>
    </row>
    <row r="2849" spans="2:2" x14ac:dyDescent="0.2">
      <c r="B2849" t="str">
        <f t="shared" si="46"/>
        <v/>
      </c>
    </row>
    <row r="2850" spans="2:2" x14ac:dyDescent="0.2">
      <c r="B2850" t="str">
        <f t="shared" si="46"/>
        <v/>
      </c>
    </row>
    <row r="2851" spans="2:2" x14ac:dyDescent="0.2">
      <c r="B2851" t="str">
        <f t="shared" si="46"/>
        <v/>
      </c>
    </row>
    <row r="2852" spans="2:2" x14ac:dyDescent="0.2">
      <c r="B2852" t="str">
        <f t="shared" si="46"/>
        <v/>
      </c>
    </row>
    <row r="2853" spans="2:2" x14ac:dyDescent="0.2">
      <c r="B2853" t="str">
        <f t="shared" si="46"/>
        <v/>
      </c>
    </row>
    <row r="2854" spans="2:2" x14ac:dyDescent="0.2">
      <c r="B2854" t="str">
        <f t="shared" si="46"/>
        <v/>
      </c>
    </row>
    <row r="2855" spans="2:2" x14ac:dyDescent="0.2">
      <c r="B2855" t="str">
        <f t="shared" si="46"/>
        <v/>
      </c>
    </row>
    <row r="2856" spans="2:2" x14ac:dyDescent="0.2">
      <c r="B2856" t="str">
        <f t="shared" si="46"/>
        <v/>
      </c>
    </row>
    <row r="2857" spans="2:2" x14ac:dyDescent="0.2">
      <c r="B2857" t="str">
        <f t="shared" si="46"/>
        <v/>
      </c>
    </row>
    <row r="2858" spans="2:2" x14ac:dyDescent="0.2">
      <c r="B2858" t="str">
        <f t="shared" si="46"/>
        <v/>
      </c>
    </row>
    <row r="2859" spans="2:2" x14ac:dyDescent="0.2">
      <c r="B2859" t="str">
        <f t="shared" si="46"/>
        <v/>
      </c>
    </row>
    <row r="2860" spans="2:2" x14ac:dyDescent="0.2">
      <c r="B2860" t="str">
        <f t="shared" si="46"/>
        <v/>
      </c>
    </row>
    <row r="2861" spans="2:2" x14ac:dyDescent="0.2">
      <c r="B2861" t="str">
        <f t="shared" si="46"/>
        <v/>
      </c>
    </row>
    <row r="2862" spans="2:2" x14ac:dyDescent="0.2">
      <c r="B2862" t="str">
        <f t="shared" si="46"/>
        <v/>
      </c>
    </row>
    <row r="2863" spans="2:2" x14ac:dyDescent="0.2">
      <c r="B2863" t="str">
        <f t="shared" si="46"/>
        <v/>
      </c>
    </row>
    <row r="2864" spans="2:2" x14ac:dyDescent="0.2">
      <c r="B2864" t="str">
        <f t="shared" si="46"/>
        <v/>
      </c>
    </row>
    <row r="2865" spans="2:2" x14ac:dyDescent="0.2">
      <c r="B2865" t="str">
        <f t="shared" si="46"/>
        <v/>
      </c>
    </row>
    <row r="2866" spans="2:2" x14ac:dyDescent="0.2">
      <c r="B2866" t="str">
        <f t="shared" si="46"/>
        <v/>
      </c>
    </row>
    <row r="2867" spans="2:2" x14ac:dyDescent="0.2">
      <c r="B2867" t="str">
        <f t="shared" si="46"/>
        <v/>
      </c>
    </row>
    <row r="2868" spans="2:2" x14ac:dyDescent="0.2">
      <c r="B2868" t="str">
        <f t="shared" si="46"/>
        <v/>
      </c>
    </row>
    <row r="2869" spans="2:2" x14ac:dyDescent="0.2">
      <c r="B2869" t="str">
        <f t="shared" si="46"/>
        <v/>
      </c>
    </row>
    <row r="2870" spans="2:2" x14ac:dyDescent="0.2">
      <c r="B2870" t="str">
        <f t="shared" si="46"/>
        <v/>
      </c>
    </row>
    <row r="2871" spans="2:2" x14ac:dyDescent="0.2">
      <c r="B2871" t="str">
        <f t="shared" si="46"/>
        <v/>
      </c>
    </row>
    <row r="2872" spans="2:2" x14ac:dyDescent="0.2">
      <c r="B2872" t="str">
        <f t="shared" si="46"/>
        <v/>
      </c>
    </row>
    <row r="2873" spans="2:2" x14ac:dyDescent="0.2">
      <c r="B2873" t="str">
        <f t="shared" si="46"/>
        <v/>
      </c>
    </row>
    <row r="2874" spans="2:2" x14ac:dyDescent="0.2">
      <c r="B2874" t="str">
        <f t="shared" si="46"/>
        <v/>
      </c>
    </row>
    <row r="2875" spans="2:2" x14ac:dyDescent="0.2">
      <c r="B2875" t="str">
        <f t="shared" si="46"/>
        <v/>
      </c>
    </row>
    <row r="2876" spans="2:2" x14ac:dyDescent="0.2">
      <c r="B2876" t="str">
        <f t="shared" si="46"/>
        <v/>
      </c>
    </row>
    <row r="2877" spans="2:2" x14ac:dyDescent="0.2">
      <c r="B2877" t="str">
        <f t="shared" si="46"/>
        <v/>
      </c>
    </row>
    <row r="2878" spans="2:2" x14ac:dyDescent="0.2">
      <c r="B2878" t="str">
        <f t="shared" si="46"/>
        <v/>
      </c>
    </row>
    <row r="2879" spans="2:2" x14ac:dyDescent="0.2">
      <c r="B2879" t="str">
        <f t="shared" si="46"/>
        <v/>
      </c>
    </row>
    <row r="2880" spans="2:2" x14ac:dyDescent="0.2">
      <c r="B2880" t="str">
        <f t="shared" si="46"/>
        <v/>
      </c>
    </row>
    <row r="2881" spans="2:2" x14ac:dyDescent="0.2">
      <c r="B2881" t="str">
        <f t="shared" si="46"/>
        <v/>
      </c>
    </row>
    <row r="2882" spans="2:2" x14ac:dyDescent="0.2">
      <c r="B2882" t="str">
        <f t="shared" si="46"/>
        <v/>
      </c>
    </row>
    <row r="2883" spans="2:2" x14ac:dyDescent="0.2">
      <c r="B2883" t="str">
        <f t="shared" si="46"/>
        <v/>
      </c>
    </row>
    <row r="2884" spans="2:2" x14ac:dyDescent="0.2">
      <c r="B2884" t="str">
        <f t="shared" si="46"/>
        <v/>
      </c>
    </row>
    <row r="2885" spans="2:2" x14ac:dyDescent="0.2">
      <c r="B2885" t="str">
        <f t="shared" ref="B2885:B2948" si="47">D2885&amp;I2885</f>
        <v/>
      </c>
    </row>
    <row r="2886" spans="2:2" x14ac:dyDescent="0.2">
      <c r="B2886" t="str">
        <f t="shared" si="47"/>
        <v/>
      </c>
    </row>
    <row r="2887" spans="2:2" x14ac:dyDescent="0.2">
      <c r="B2887" t="str">
        <f t="shared" si="47"/>
        <v/>
      </c>
    </row>
    <row r="2888" spans="2:2" x14ac:dyDescent="0.2">
      <c r="B2888" t="str">
        <f t="shared" si="47"/>
        <v/>
      </c>
    </row>
    <row r="2889" spans="2:2" x14ac:dyDescent="0.2">
      <c r="B2889" t="str">
        <f t="shared" si="47"/>
        <v/>
      </c>
    </row>
    <row r="2890" spans="2:2" x14ac:dyDescent="0.2">
      <c r="B2890" t="str">
        <f t="shared" si="47"/>
        <v/>
      </c>
    </row>
    <row r="2891" spans="2:2" x14ac:dyDescent="0.2">
      <c r="B2891" t="str">
        <f t="shared" si="47"/>
        <v/>
      </c>
    </row>
    <row r="2892" spans="2:2" x14ac:dyDescent="0.2">
      <c r="B2892" t="str">
        <f t="shared" si="47"/>
        <v/>
      </c>
    </row>
    <row r="2893" spans="2:2" x14ac:dyDescent="0.2">
      <c r="B2893" t="str">
        <f t="shared" si="47"/>
        <v/>
      </c>
    </row>
    <row r="2894" spans="2:2" x14ac:dyDescent="0.2">
      <c r="B2894" t="str">
        <f t="shared" si="47"/>
        <v/>
      </c>
    </row>
    <row r="2895" spans="2:2" x14ac:dyDescent="0.2">
      <c r="B2895" t="str">
        <f t="shared" si="47"/>
        <v/>
      </c>
    </row>
    <row r="2896" spans="2:2" x14ac:dyDescent="0.2">
      <c r="B2896" t="str">
        <f t="shared" si="47"/>
        <v/>
      </c>
    </row>
    <row r="2897" spans="2:2" x14ac:dyDescent="0.2">
      <c r="B2897" t="str">
        <f t="shared" si="47"/>
        <v/>
      </c>
    </row>
    <row r="2898" spans="2:2" x14ac:dyDescent="0.2">
      <c r="B2898" t="str">
        <f t="shared" si="47"/>
        <v/>
      </c>
    </row>
    <row r="2899" spans="2:2" x14ac:dyDescent="0.2">
      <c r="B2899" t="str">
        <f t="shared" si="47"/>
        <v/>
      </c>
    </row>
    <row r="2900" spans="2:2" x14ac:dyDescent="0.2">
      <c r="B2900" t="str">
        <f t="shared" si="47"/>
        <v/>
      </c>
    </row>
    <row r="2901" spans="2:2" x14ac:dyDescent="0.2">
      <c r="B2901" t="str">
        <f t="shared" si="47"/>
        <v/>
      </c>
    </row>
    <row r="2902" spans="2:2" x14ac:dyDescent="0.2">
      <c r="B2902" t="str">
        <f t="shared" si="47"/>
        <v/>
      </c>
    </row>
    <row r="2903" spans="2:2" x14ac:dyDescent="0.2">
      <c r="B2903" t="str">
        <f t="shared" si="47"/>
        <v/>
      </c>
    </row>
    <row r="2904" spans="2:2" x14ac:dyDescent="0.2">
      <c r="B2904" t="str">
        <f t="shared" si="47"/>
        <v/>
      </c>
    </row>
    <row r="2905" spans="2:2" x14ac:dyDescent="0.2">
      <c r="B2905" t="str">
        <f t="shared" si="47"/>
        <v/>
      </c>
    </row>
    <row r="2906" spans="2:2" x14ac:dyDescent="0.2">
      <c r="B2906" t="str">
        <f t="shared" si="47"/>
        <v/>
      </c>
    </row>
    <row r="2907" spans="2:2" x14ac:dyDescent="0.2">
      <c r="B2907" t="str">
        <f t="shared" si="47"/>
        <v/>
      </c>
    </row>
    <row r="2908" spans="2:2" x14ac:dyDescent="0.2">
      <c r="B2908" t="str">
        <f t="shared" si="47"/>
        <v/>
      </c>
    </row>
    <row r="2909" spans="2:2" x14ac:dyDescent="0.2">
      <c r="B2909" t="str">
        <f t="shared" si="47"/>
        <v/>
      </c>
    </row>
    <row r="2910" spans="2:2" x14ac:dyDescent="0.2">
      <c r="B2910" t="str">
        <f t="shared" si="47"/>
        <v/>
      </c>
    </row>
    <row r="2911" spans="2:2" x14ac:dyDescent="0.2">
      <c r="B2911" t="str">
        <f t="shared" si="47"/>
        <v/>
      </c>
    </row>
    <row r="2912" spans="2:2" x14ac:dyDescent="0.2">
      <c r="B2912" t="str">
        <f t="shared" si="47"/>
        <v/>
      </c>
    </row>
    <row r="2913" spans="2:2" x14ac:dyDescent="0.2">
      <c r="B2913" t="str">
        <f t="shared" si="47"/>
        <v/>
      </c>
    </row>
    <row r="2914" spans="2:2" x14ac:dyDescent="0.2">
      <c r="B2914" t="str">
        <f t="shared" si="47"/>
        <v/>
      </c>
    </row>
    <row r="2915" spans="2:2" x14ac:dyDescent="0.2">
      <c r="B2915" t="str">
        <f t="shared" si="47"/>
        <v/>
      </c>
    </row>
    <row r="2916" spans="2:2" x14ac:dyDescent="0.2">
      <c r="B2916" t="str">
        <f t="shared" si="47"/>
        <v/>
      </c>
    </row>
    <row r="2917" spans="2:2" x14ac:dyDescent="0.2">
      <c r="B2917" t="str">
        <f t="shared" si="47"/>
        <v/>
      </c>
    </row>
    <row r="2918" spans="2:2" x14ac:dyDescent="0.2">
      <c r="B2918" t="str">
        <f t="shared" si="47"/>
        <v/>
      </c>
    </row>
    <row r="2919" spans="2:2" x14ac:dyDescent="0.2">
      <c r="B2919" t="str">
        <f t="shared" si="47"/>
        <v/>
      </c>
    </row>
    <row r="2920" spans="2:2" x14ac:dyDescent="0.2">
      <c r="B2920" t="str">
        <f t="shared" si="47"/>
        <v/>
      </c>
    </row>
    <row r="2921" spans="2:2" x14ac:dyDescent="0.2">
      <c r="B2921" t="str">
        <f t="shared" si="47"/>
        <v/>
      </c>
    </row>
    <row r="2922" spans="2:2" x14ac:dyDescent="0.2">
      <c r="B2922" t="str">
        <f t="shared" si="47"/>
        <v/>
      </c>
    </row>
    <row r="2923" spans="2:2" x14ac:dyDescent="0.2">
      <c r="B2923" t="str">
        <f t="shared" si="47"/>
        <v/>
      </c>
    </row>
    <row r="2924" spans="2:2" x14ac:dyDescent="0.2">
      <c r="B2924" t="str">
        <f t="shared" si="47"/>
        <v/>
      </c>
    </row>
    <row r="2925" spans="2:2" x14ac:dyDescent="0.2">
      <c r="B2925" t="str">
        <f t="shared" si="47"/>
        <v/>
      </c>
    </row>
    <row r="2926" spans="2:2" x14ac:dyDescent="0.2">
      <c r="B2926" t="str">
        <f t="shared" si="47"/>
        <v/>
      </c>
    </row>
    <row r="2927" spans="2:2" x14ac:dyDescent="0.2">
      <c r="B2927" t="str">
        <f t="shared" si="47"/>
        <v/>
      </c>
    </row>
    <row r="2928" spans="2:2" x14ac:dyDescent="0.2">
      <c r="B2928" t="str">
        <f t="shared" si="47"/>
        <v/>
      </c>
    </row>
    <row r="2929" spans="2:2" x14ac:dyDescent="0.2">
      <c r="B2929" t="str">
        <f t="shared" si="47"/>
        <v/>
      </c>
    </row>
    <row r="2930" spans="2:2" x14ac:dyDescent="0.2">
      <c r="B2930" t="str">
        <f t="shared" si="47"/>
        <v/>
      </c>
    </row>
    <row r="2931" spans="2:2" x14ac:dyDescent="0.2">
      <c r="B2931" t="str">
        <f t="shared" si="47"/>
        <v/>
      </c>
    </row>
    <row r="2932" spans="2:2" x14ac:dyDescent="0.2">
      <c r="B2932" t="str">
        <f t="shared" si="47"/>
        <v/>
      </c>
    </row>
    <row r="2933" spans="2:2" x14ac:dyDescent="0.2">
      <c r="B2933" t="str">
        <f t="shared" si="47"/>
        <v/>
      </c>
    </row>
    <row r="2934" spans="2:2" x14ac:dyDescent="0.2">
      <c r="B2934" t="str">
        <f t="shared" si="47"/>
        <v/>
      </c>
    </row>
    <row r="2935" spans="2:2" x14ac:dyDescent="0.2">
      <c r="B2935" t="str">
        <f t="shared" si="47"/>
        <v/>
      </c>
    </row>
    <row r="2936" spans="2:2" x14ac:dyDescent="0.2">
      <c r="B2936" t="str">
        <f t="shared" si="47"/>
        <v/>
      </c>
    </row>
    <row r="2937" spans="2:2" x14ac:dyDescent="0.2">
      <c r="B2937" t="str">
        <f t="shared" si="47"/>
        <v/>
      </c>
    </row>
    <row r="2938" spans="2:2" x14ac:dyDescent="0.2">
      <c r="B2938" t="str">
        <f t="shared" si="47"/>
        <v/>
      </c>
    </row>
    <row r="2939" spans="2:2" x14ac:dyDescent="0.2">
      <c r="B2939" t="str">
        <f t="shared" si="47"/>
        <v/>
      </c>
    </row>
    <row r="2940" spans="2:2" x14ac:dyDescent="0.2">
      <c r="B2940" t="str">
        <f t="shared" si="47"/>
        <v/>
      </c>
    </row>
    <row r="2941" spans="2:2" x14ac:dyDescent="0.2">
      <c r="B2941" t="str">
        <f t="shared" si="47"/>
        <v/>
      </c>
    </row>
    <row r="2942" spans="2:2" x14ac:dyDescent="0.2">
      <c r="B2942" t="str">
        <f t="shared" si="47"/>
        <v/>
      </c>
    </row>
    <row r="2943" spans="2:2" x14ac:dyDescent="0.2">
      <c r="B2943" t="str">
        <f t="shared" si="47"/>
        <v/>
      </c>
    </row>
    <row r="2944" spans="2:2" x14ac:dyDescent="0.2">
      <c r="B2944" t="str">
        <f t="shared" si="47"/>
        <v/>
      </c>
    </row>
    <row r="2945" spans="2:2" x14ac:dyDescent="0.2">
      <c r="B2945" t="str">
        <f t="shared" si="47"/>
        <v/>
      </c>
    </row>
    <row r="2946" spans="2:2" x14ac:dyDescent="0.2">
      <c r="B2946" t="str">
        <f t="shared" si="47"/>
        <v/>
      </c>
    </row>
    <row r="2947" spans="2:2" x14ac:dyDescent="0.2">
      <c r="B2947" t="str">
        <f t="shared" si="47"/>
        <v/>
      </c>
    </row>
    <row r="2948" spans="2:2" x14ac:dyDescent="0.2">
      <c r="B2948" t="str">
        <f t="shared" si="47"/>
        <v/>
      </c>
    </row>
    <row r="2949" spans="2:2" x14ac:dyDescent="0.2">
      <c r="B2949" t="str">
        <f t="shared" ref="B2949:B3012" si="48">D2949&amp;I2949</f>
        <v/>
      </c>
    </row>
    <row r="2950" spans="2:2" x14ac:dyDescent="0.2">
      <c r="B2950" t="str">
        <f t="shared" si="48"/>
        <v/>
      </c>
    </row>
    <row r="2951" spans="2:2" x14ac:dyDescent="0.2">
      <c r="B2951" t="str">
        <f t="shared" si="48"/>
        <v/>
      </c>
    </row>
    <row r="2952" spans="2:2" x14ac:dyDescent="0.2">
      <c r="B2952" t="str">
        <f t="shared" si="48"/>
        <v/>
      </c>
    </row>
    <row r="2953" spans="2:2" x14ac:dyDescent="0.2">
      <c r="B2953" t="str">
        <f t="shared" si="48"/>
        <v/>
      </c>
    </row>
    <row r="2954" spans="2:2" x14ac:dyDescent="0.2">
      <c r="B2954" t="str">
        <f t="shared" si="48"/>
        <v/>
      </c>
    </row>
    <row r="2955" spans="2:2" x14ac:dyDescent="0.2">
      <c r="B2955" t="str">
        <f t="shared" si="48"/>
        <v/>
      </c>
    </row>
    <row r="2956" spans="2:2" x14ac:dyDescent="0.2">
      <c r="B2956" t="str">
        <f t="shared" si="48"/>
        <v/>
      </c>
    </row>
    <row r="2957" spans="2:2" x14ac:dyDescent="0.2">
      <c r="B2957" t="str">
        <f t="shared" si="48"/>
        <v/>
      </c>
    </row>
    <row r="2958" spans="2:2" x14ac:dyDescent="0.2">
      <c r="B2958" t="str">
        <f t="shared" si="48"/>
        <v/>
      </c>
    </row>
    <row r="2959" spans="2:2" x14ac:dyDescent="0.2">
      <c r="B2959" t="str">
        <f t="shared" si="48"/>
        <v/>
      </c>
    </row>
    <row r="2960" spans="2:2" x14ac:dyDescent="0.2">
      <c r="B2960" t="str">
        <f t="shared" si="48"/>
        <v/>
      </c>
    </row>
    <row r="2961" spans="2:2" x14ac:dyDescent="0.2">
      <c r="B2961" t="str">
        <f t="shared" si="48"/>
        <v/>
      </c>
    </row>
    <row r="2962" spans="2:2" x14ac:dyDescent="0.2">
      <c r="B2962" t="str">
        <f t="shared" si="48"/>
        <v/>
      </c>
    </row>
    <row r="2963" spans="2:2" x14ac:dyDescent="0.2">
      <c r="B2963" t="str">
        <f t="shared" si="48"/>
        <v/>
      </c>
    </row>
    <row r="2964" spans="2:2" x14ac:dyDescent="0.2">
      <c r="B2964" t="str">
        <f t="shared" si="48"/>
        <v/>
      </c>
    </row>
    <row r="2965" spans="2:2" x14ac:dyDescent="0.2">
      <c r="B2965" t="str">
        <f t="shared" si="48"/>
        <v/>
      </c>
    </row>
    <row r="2966" spans="2:2" x14ac:dyDescent="0.2">
      <c r="B2966" t="str">
        <f t="shared" si="48"/>
        <v/>
      </c>
    </row>
    <row r="2967" spans="2:2" x14ac:dyDescent="0.2">
      <c r="B2967" t="str">
        <f t="shared" si="48"/>
        <v/>
      </c>
    </row>
    <row r="2968" spans="2:2" x14ac:dyDescent="0.2">
      <c r="B2968" t="str">
        <f t="shared" si="48"/>
        <v/>
      </c>
    </row>
    <row r="2969" spans="2:2" x14ac:dyDescent="0.2">
      <c r="B2969" t="str">
        <f t="shared" si="48"/>
        <v/>
      </c>
    </row>
    <row r="2970" spans="2:2" x14ac:dyDescent="0.2">
      <c r="B2970" t="str">
        <f t="shared" si="48"/>
        <v/>
      </c>
    </row>
    <row r="2971" spans="2:2" x14ac:dyDescent="0.2">
      <c r="B2971" t="str">
        <f t="shared" si="48"/>
        <v/>
      </c>
    </row>
    <row r="2972" spans="2:2" x14ac:dyDescent="0.2">
      <c r="B2972" t="str">
        <f t="shared" si="48"/>
        <v/>
      </c>
    </row>
    <row r="2973" spans="2:2" x14ac:dyDescent="0.2">
      <c r="B2973" t="str">
        <f t="shared" si="48"/>
        <v/>
      </c>
    </row>
    <row r="2974" spans="2:2" x14ac:dyDescent="0.2">
      <c r="B2974" t="str">
        <f t="shared" si="48"/>
        <v/>
      </c>
    </row>
    <row r="2975" spans="2:2" x14ac:dyDescent="0.2">
      <c r="B2975" t="str">
        <f t="shared" si="48"/>
        <v/>
      </c>
    </row>
    <row r="2976" spans="2:2" x14ac:dyDescent="0.2">
      <c r="B2976" t="str">
        <f t="shared" si="48"/>
        <v/>
      </c>
    </row>
    <row r="2977" spans="2:2" x14ac:dyDescent="0.2">
      <c r="B2977" t="str">
        <f t="shared" si="48"/>
        <v/>
      </c>
    </row>
    <row r="2978" spans="2:2" x14ac:dyDescent="0.2">
      <c r="B2978" t="str">
        <f t="shared" si="48"/>
        <v/>
      </c>
    </row>
    <row r="2979" spans="2:2" x14ac:dyDescent="0.2">
      <c r="B2979" t="str">
        <f t="shared" si="48"/>
        <v/>
      </c>
    </row>
    <row r="2980" spans="2:2" x14ac:dyDescent="0.2">
      <c r="B2980" t="str">
        <f t="shared" si="48"/>
        <v/>
      </c>
    </row>
    <row r="2981" spans="2:2" x14ac:dyDescent="0.2">
      <c r="B2981" t="str">
        <f t="shared" si="48"/>
        <v/>
      </c>
    </row>
    <row r="2982" spans="2:2" x14ac:dyDescent="0.2">
      <c r="B2982" t="str">
        <f t="shared" si="48"/>
        <v/>
      </c>
    </row>
    <row r="2983" spans="2:2" x14ac:dyDescent="0.2">
      <c r="B2983" t="str">
        <f t="shared" si="48"/>
        <v/>
      </c>
    </row>
    <row r="2984" spans="2:2" x14ac:dyDescent="0.2">
      <c r="B2984" t="str">
        <f t="shared" si="48"/>
        <v/>
      </c>
    </row>
    <row r="2985" spans="2:2" x14ac:dyDescent="0.2">
      <c r="B2985" t="str">
        <f t="shared" si="48"/>
        <v/>
      </c>
    </row>
    <row r="2986" spans="2:2" x14ac:dyDescent="0.2">
      <c r="B2986" t="str">
        <f t="shared" si="48"/>
        <v/>
      </c>
    </row>
    <row r="2987" spans="2:2" x14ac:dyDescent="0.2">
      <c r="B2987" t="str">
        <f t="shared" si="48"/>
        <v/>
      </c>
    </row>
    <row r="2988" spans="2:2" x14ac:dyDescent="0.2">
      <c r="B2988" t="str">
        <f t="shared" si="48"/>
        <v/>
      </c>
    </row>
    <row r="2989" spans="2:2" x14ac:dyDescent="0.2">
      <c r="B2989" t="str">
        <f t="shared" si="48"/>
        <v/>
      </c>
    </row>
    <row r="2990" spans="2:2" x14ac:dyDescent="0.2">
      <c r="B2990" t="str">
        <f t="shared" si="48"/>
        <v/>
      </c>
    </row>
    <row r="2991" spans="2:2" x14ac:dyDescent="0.2">
      <c r="B2991" t="str">
        <f t="shared" si="48"/>
        <v/>
      </c>
    </row>
    <row r="2992" spans="2:2" x14ac:dyDescent="0.2">
      <c r="B2992" t="str">
        <f t="shared" si="48"/>
        <v/>
      </c>
    </row>
    <row r="2993" spans="2:2" x14ac:dyDescent="0.2">
      <c r="B2993" t="str">
        <f t="shared" si="48"/>
        <v/>
      </c>
    </row>
    <row r="2994" spans="2:2" x14ac:dyDescent="0.2">
      <c r="B2994" t="str">
        <f t="shared" si="48"/>
        <v/>
      </c>
    </row>
    <row r="2995" spans="2:2" x14ac:dyDescent="0.2">
      <c r="B2995" t="str">
        <f t="shared" si="48"/>
        <v/>
      </c>
    </row>
    <row r="2996" spans="2:2" x14ac:dyDescent="0.2">
      <c r="B2996" t="str">
        <f t="shared" si="48"/>
        <v/>
      </c>
    </row>
    <row r="2997" spans="2:2" x14ac:dyDescent="0.2">
      <c r="B2997" t="str">
        <f t="shared" si="48"/>
        <v/>
      </c>
    </row>
    <row r="2998" spans="2:2" x14ac:dyDescent="0.2">
      <c r="B2998" t="str">
        <f t="shared" si="48"/>
        <v/>
      </c>
    </row>
    <row r="2999" spans="2:2" x14ac:dyDescent="0.2">
      <c r="B2999" t="str">
        <f t="shared" si="48"/>
        <v/>
      </c>
    </row>
    <row r="3000" spans="2:2" x14ac:dyDescent="0.2">
      <c r="B3000" t="str">
        <f t="shared" si="48"/>
        <v/>
      </c>
    </row>
    <row r="3001" spans="2:2" x14ac:dyDescent="0.2">
      <c r="B3001" t="str">
        <f t="shared" si="48"/>
        <v/>
      </c>
    </row>
    <row r="3002" spans="2:2" x14ac:dyDescent="0.2">
      <c r="B3002" t="str">
        <f t="shared" si="48"/>
        <v/>
      </c>
    </row>
    <row r="3003" spans="2:2" x14ac:dyDescent="0.2">
      <c r="B3003" t="str">
        <f t="shared" si="48"/>
        <v/>
      </c>
    </row>
    <row r="3004" spans="2:2" x14ac:dyDescent="0.2">
      <c r="B3004" t="str">
        <f t="shared" si="48"/>
        <v/>
      </c>
    </row>
    <row r="3005" spans="2:2" x14ac:dyDescent="0.2">
      <c r="B3005" t="str">
        <f t="shared" si="48"/>
        <v/>
      </c>
    </row>
    <row r="3006" spans="2:2" x14ac:dyDescent="0.2">
      <c r="B3006" t="str">
        <f t="shared" si="48"/>
        <v/>
      </c>
    </row>
    <row r="3007" spans="2:2" x14ac:dyDescent="0.2">
      <c r="B3007" t="str">
        <f t="shared" si="48"/>
        <v/>
      </c>
    </row>
    <row r="3008" spans="2:2" x14ac:dyDescent="0.2">
      <c r="B3008" t="str">
        <f t="shared" si="48"/>
        <v/>
      </c>
    </row>
    <row r="3009" spans="2:2" x14ac:dyDescent="0.2">
      <c r="B3009" t="str">
        <f t="shared" si="48"/>
        <v/>
      </c>
    </row>
    <row r="3010" spans="2:2" x14ac:dyDescent="0.2">
      <c r="B3010" t="str">
        <f t="shared" si="48"/>
        <v/>
      </c>
    </row>
    <row r="3011" spans="2:2" x14ac:dyDescent="0.2">
      <c r="B3011" t="str">
        <f t="shared" si="48"/>
        <v/>
      </c>
    </row>
    <row r="3012" spans="2:2" x14ac:dyDescent="0.2">
      <c r="B3012" t="str">
        <f t="shared" si="48"/>
        <v/>
      </c>
    </row>
    <row r="3013" spans="2:2" x14ac:dyDescent="0.2">
      <c r="B3013" t="str">
        <f t="shared" ref="B3013:B3076" si="49">D3013&amp;I3013</f>
        <v/>
      </c>
    </row>
    <row r="3014" spans="2:2" x14ac:dyDescent="0.2">
      <c r="B3014" t="str">
        <f t="shared" si="49"/>
        <v/>
      </c>
    </row>
    <row r="3015" spans="2:2" x14ac:dyDescent="0.2">
      <c r="B3015" t="str">
        <f t="shared" si="49"/>
        <v/>
      </c>
    </row>
    <row r="3016" spans="2:2" x14ac:dyDescent="0.2">
      <c r="B3016" t="str">
        <f t="shared" si="49"/>
        <v/>
      </c>
    </row>
    <row r="3017" spans="2:2" x14ac:dyDescent="0.2">
      <c r="B3017" t="str">
        <f t="shared" si="49"/>
        <v/>
      </c>
    </row>
    <row r="3018" spans="2:2" x14ac:dyDescent="0.2">
      <c r="B3018" t="str">
        <f t="shared" si="49"/>
        <v/>
      </c>
    </row>
    <row r="3019" spans="2:2" x14ac:dyDescent="0.2">
      <c r="B3019" t="str">
        <f t="shared" si="49"/>
        <v/>
      </c>
    </row>
    <row r="3020" spans="2:2" x14ac:dyDescent="0.2">
      <c r="B3020" t="str">
        <f t="shared" si="49"/>
        <v/>
      </c>
    </row>
    <row r="3021" spans="2:2" x14ac:dyDescent="0.2">
      <c r="B3021" t="str">
        <f t="shared" si="49"/>
        <v/>
      </c>
    </row>
    <row r="3022" spans="2:2" x14ac:dyDescent="0.2">
      <c r="B3022" t="str">
        <f t="shared" si="49"/>
        <v/>
      </c>
    </row>
    <row r="3023" spans="2:2" x14ac:dyDescent="0.2">
      <c r="B3023" t="str">
        <f t="shared" si="49"/>
        <v/>
      </c>
    </row>
    <row r="3024" spans="2:2" x14ac:dyDescent="0.2">
      <c r="B3024" t="str">
        <f t="shared" si="49"/>
        <v/>
      </c>
    </row>
    <row r="3025" spans="2:2" x14ac:dyDescent="0.2">
      <c r="B3025" t="str">
        <f t="shared" si="49"/>
        <v/>
      </c>
    </row>
    <row r="3026" spans="2:2" x14ac:dyDescent="0.2">
      <c r="B3026" t="str">
        <f t="shared" si="49"/>
        <v/>
      </c>
    </row>
    <row r="3027" spans="2:2" x14ac:dyDescent="0.2">
      <c r="B3027" t="str">
        <f t="shared" si="49"/>
        <v/>
      </c>
    </row>
    <row r="3028" spans="2:2" x14ac:dyDescent="0.2">
      <c r="B3028" t="str">
        <f t="shared" si="49"/>
        <v/>
      </c>
    </row>
    <row r="3029" spans="2:2" x14ac:dyDescent="0.2">
      <c r="B3029" t="str">
        <f t="shared" si="49"/>
        <v/>
      </c>
    </row>
    <row r="3030" spans="2:2" x14ac:dyDescent="0.2">
      <c r="B3030" t="str">
        <f t="shared" si="49"/>
        <v/>
      </c>
    </row>
    <row r="3031" spans="2:2" x14ac:dyDescent="0.2">
      <c r="B3031" t="str">
        <f t="shared" si="49"/>
        <v/>
      </c>
    </row>
    <row r="3032" spans="2:2" x14ac:dyDescent="0.2">
      <c r="B3032" t="str">
        <f t="shared" si="49"/>
        <v/>
      </c>
    </row>
    <row r="3033" spans="2:2" x14ac:dyDescent="0.2">
      <c r="B3033" t="str">
        <f t="shared" si="49"/>
        <v/>
      </c>
    </row>
    <row r="3034" spans="2:2" x14ac:dyDescent="0.2">
      <c r="B3034" t="str">
        <f t="shared" si="49"/>
        <v/>
      </c>
    </row>
    <row r="3035" spans="2:2" x14ac:dyDescent="0.2">
      <c r="B3035" t="str">
        <f t="shared" si="49"/>
        <v/>
      </c>
    </row>
    <row r="3036" spans="2:2" x14ac:dyDescent="0.2">
      <c r="B3036" t="str">
        <f t="shared" si="49"/>
        <v/>
      </c>
    </row>
    <row r="3037" spans="2:2" x14ac:dyDescent="0.2">
      <c r="B3037" t="str">
        <f t="shared" si="49"/>
        <v/>
      </c>
    </row>
    <row r="3038" spans="2:2" x14ac:dyDescent="0.2">
      <c r="B3038" t="str">
        <f t="shared" si="49"/>
        <v/>
      </c>
    </row>
    <row r="3039" spans="2:2" x14ac:dyDescent="0.2">
      <c r="B3039" t="str">
        <f t="shared" si="49"/>
        <v/>
      </c>
    </row>
    <row r="3040" spans="2:2" x14ac:dyDescent="0.2">
      <c r="B3040" t="str">
        <f t="shared" si="49"/>
        <v/>
      </c>
    </row>
    <row r="3041" spans="2:2" x14ac:dyDescent="0.2">
      <c r="B3041" t="str">
        <f t="shared" si="49"/>
        <v/>
      </c>
    </row>
    <row r="3042" spans="2:2" x14ac:dyDescent="0.2">
      <c r="B3042" t="str">
        <f t="shared" si="49"/>
        <v/>
      </c>
    </row>
    <row r="3043" spans="2:2" x14ac:dyDescent="0.2">
      <c r="B3043" t="str">
        <f t="shared" si="49"/>
        <v/>
      </c>
    </row>
    <row r="3044" spans="2:2" x14ac:dyDescent="0.2">
      <c r="B3044" t="str">
        <f t="shared" si="49"/>
        <v/>
      </c>
    </row>
    <row r="3045" spans="2:2" x14ac:dyDescent="0.2">
      <c r="B3045" t="str">
        <f t="shared" si="49"/>
        <v/>
      </c>
    </row>
    <row r="3046" spans="2:2" x14ac:dyDescent="0.2">
      <c r="B3046" t="str">
        <f t="shared" si="49"/>
        <v/>
      </c>
    </row>
    <row r="3047" spans="2:2" x14ac:dyDescent="0.2">
      <c r="B3047" t="str">
        <f t="shared" si="49"/>
        <v/>
      </c>
    </row>
    <row r="3048" spans="2:2" x14ac:dyDescent="0.2">
      <c r="B3048" t="str">
        <f t="shared" si="49"/>
        <v/>
      </c>
    </row>
    <row r="3049" spans="2:2" x14ac:dyDescent="0.2">
      <c r="B3049" t="str">
        <f t="shared" si="49"/>
        <v/>
      </c>
    </row>
    <row r="3050" spans="2:2" x14ac:dyDescent="0.2">
      <c r="B3050" t="str">
        <f t="shared" si="49"/>
        <v/>
      </c>
    </row>
    <row r="3051" spans="2:2" x14ac:dyDescent="0.2">
      <c r="B3051" t="str">
        <f t="shared" si="49"/>
        <v/>
      </c>
    </row>
    <row r="3052" spans="2:2" x14ac:dyDescent="0.2">
      <c r="B3052" t="str">
        <f t="shared" si="49"/>
        <v/>
      </c>
    </row>
    <row r="3053" spans="2:2" x14ac:dyDescent="0.2">
      <c r="B3053" t="str">
        <f t="shared" si="49"/>
        <v/>
      </c>
    </row>
    <row r="3054" spans="2:2" x14ac:dyDescent="0.2">
      <c r="B3054" t="str">
        <f t="shared" si="49"/>
        <v/>
      </c>
    </row>
    <row r="3055" spans="2:2" x14ac:dyDescent="0.2">
      <c r="B3055" t="str">
        <f t="shared" si="49"/>
        <v/>
      </c>
    </row>
    <row r="3056" spans="2:2" x14ac:dyDescent="0.2">
      <c r="B3056" t="str">
        <f t="shared" si="49"/>
        <v/>
      </c>
    </row>
    <row r="3057" spans="2:2" x14ac:dyDescent="0.2">
      <c r="B3057" t="str">
        <f t="shared" si="49"/>
        <v/>
      </c>
    </row>
    <row r="3058" spans="2:2" x14ac:dyDescent="0.2">
      <c r="B3058" t="str">
        <f t="shared" si="49"/>
        <v/>
      </c>
    </row>
    <row r="3059" spans="2:2" x14ac:dyDescent="0.2">
      <c r="B3059" t="str">
        <f t="shared" si="49"/>
        <v/>
      </c>
    </row>
    <row r="3060" spans="2:2" x14ac:dyDescent="0.2">
      <c r="B3060" t="str">
        <f t="shared" si="49"/>
        <v/>
      </c>
    </row>
    <row r="3061" spans="2:2" x14ac:dyDescent="0.2">
      <c r="B3061" t="str">
        <f t="shared" si="49"/>
        <v/>
      </c>
    </row>
    <row r="3062" spans="2:2" x14ac:dyDescent="0.2">
      <c r="B3062" t="str">
        <f t="shared" si="49"/>
        <v/>
      </c>
    </row>
    <row r="3063" spans="2:2" x14ac:dyDescent="0.2">
      <c r="B3063" t="str">
        <f t="shared" si="49"/>
        <v/>
      </c>
    </row>
    <row r="3064" spans="2:2" x14ac:dyDescent="0.2">
      <c r="B3064" t="str">
        <f t="shared" si="49"/>
        <v/>
      </c>
    </row>
    <row r="3065" spans="2:2" x14ac:dyDescent="0.2">
      <c r="B3065" t="str">
        <f t="shared" si="49"/>
        <v/>
      </c>
    </row>
    <row r="3066" spans="2:2" x14ac:dyDescent="0.2">
      <c r="B3066" t="str">
        <f t="shared" si="49"/>
        <v/>
      </c>
    </row>
    <row r="3067" spans="2:2" x14ac:dyDescent="0.2">
      <c r="B3067" t="str">
        <f t="shared" si="49"/>
        <v/>
      </c>
    </row>
    <row r="3068" spans="2:2" x14ac:dyDescent="0.2">
      <c r="B3068" t="str">
        <f t="shared" si="49"/>
        <v/>
      </c>
    </row>
    <row r="3069" spans="2:2" x14ac:dyDescent="0.2">
      <c r="B3069" t="str">
        <f t="shared" si="49"/>
        <v/>
      </c>
    </row>
    <row r="3070" spans="2:2" x14ac:dyDescent="0.2">
      <c r="B3070" t="str">
        <f t="shared" si="49"/>
        <v/>
      </c>
    </row>
    <row r="3071" spans="2:2" x14ac:dyDescent="0.2">
      <c r="B3071" t="str">
        <f t="shared" si="49"/>
        <v/>
      </c>
    </row>
    <row r="3072" spans="2:2" x14ac:dyDescent="0.2">
      <c r="B3072" t="str">
        <f t="shared" si="49"/>
        <v/>
      </c>
    </row>
    <row r="3073" spans="2:2" x14ac:dyDescent="0.2">
      <c r="B3073" t="str">
        <f t="shared" si="49"/>
        <v/>
      </c>
    </row>
    <row r="3074" spans="2:2" x14ac:dyDescent="0.2">
      <c r="B3074" t="str">
        <f t="shared" si="49"/>
        <v/>
      </c>
    </row>
    <row r="3075" spans="2:2" x14ac:dyDescent="0.2">
      <c r="B3075" t="str">
        <f t="shared" si="49"/>
        <v/>
      </c>
    </row>
    <row r="3076" spans="2:2" x14ac:dyDescent="0.2">
      <c r="B3076" t="str">
        <f t="shared" si="49"/>
        <v/>
      </c>
    </row>
    <row r="3077" spans="2:2" x14ac:dyDescent="0.2">
      <c r="B3077" t="str">
        <f t="shared" ref="B3077:B3140" si="50">D3077&amp;I3077</f>
        <v/>
      </c>
    </row>
    <row r="3078" spans="2:2" x14ac:dyDescent="0.2">
      <c r="B3078" t="str">
        <f t="shared" si="50"/>
        <v/>
      </c>
    </row>
    <row r="3079" spans="2:2" x14ac:dyDescent="0.2">
      <c r="B3079" t="str">
        <f t="shared" si="50"/>
        <v/>
      </c>
    </row>
    <row r="3080" spans="2:2" x14ac:dyDescent="0.2">
      <c r="B3080" t="str">
        <f t="shared" si="50"/>
        <v/>
      </c>
    </row>
    <row r="3081" spans="2:2" x14ac:dyDescent="0.2">
      <c r="B3081" t="str">
        <f t="shared" si="50"/>
        <v/>
      </c>
    </row>
    <row r="3082" spans="2:2" x14ac:dyDescent="0.2">
      <c r="B3082" t="str">
        <f t="shared" si="50"/>
        <v/>
      </c>
    </row>
    <row r="3083" spans="2:2" x14ac:dyDescent="0.2">
      <c r="B3083" t="str">
        <f t="shared" si="50"/>
        <v/>
      </c>
    </row>
    <row r="3084" spans="2:2" x14ac:dyDescent="0.2">
      <c r="B3084" t="str">
        <f t="shared" si="50"/>
        <v/>
      </c>
    </row>
    <row r="3085" spans="2:2" x14ac:dyDescent="0.2">
      <c r="B3085" t="str">
        <f t="shared" si="50"/>
        <v/>
      </c>
    </row>
    <row r="3086" spans="2:2" x14ac:dyDescent="0.2">
      <c r="B3086" t="str">
        <f t="shared" si="50"/>
        <v/>
      </c>
    </row>
    <row r="3087" spans="2:2" x14ac:dyDescent="0.2">
      <c r="B3087" t="str">
        <f t="shared" si="50"/>
        <v/>
      </c>
    </row>
    <row r="3088" spans="2:2" x14ac:dyDescent="0.2">
      <c r="B3088" t="str">
        <f t="shared" si="50"/>
        <v/>
      </c>
    </row>
    <row r="3089" spans="2:2" x14ac:dyDescent="0.2">
      <c r="B3089" t="str">
        <f t="shared" si="50"/>
        <v/>
      </c>
    </row>
    <row r="3090" spans="2:2" x14ac:dyDescent="0.2">
      <c r="B3090" t="str">
        <f t="shared" si="50"/>
        <v/>
      </c>
    </row>
    <row r="3091" spans="2:2" x14ac:dyDescent="0.2">
      <c r="B3091" t="str">
        <f t="shared" si="50"/>
        <v/>
      </c>
    </row>
    <row r="3092" spans="2:2" x14ac:dyDescent="0.2">
      <c r="B3092" t="str">
        <f t="shared" si="50"/>
        <v/>
      </c>
    </row>
    <row r="3093" spans="2:2" x14ac:dyDescent="0.2">
      <c r="B3093" t="str">
        <f t="shared" si="50"/>
        <v/>
      </c>
    </row>
    <row r="3094" spans="2:2" x14ac:dyDescent="0.2">
      <c r="B3094" t="str">
        <f t="shared" si="50"/>
        <v/>
      </c>
    </row>
    <row r="3095" spans="2:2" x14ac:dyDescent="0.2">
      <c r="B3095" t="str">
        <f t="shared" si="50"/>
        <v/>
      </c>
    </row>
    <row r="3096" spans="2:2" x14ac:dyDescent="0.2">
      <c r="B3096" t="str">
        <f t="shared" si="50"/>
        <v/>
      </c>
    </row>
    <row r="3097" spans="2:2" x14ac:dyDescent="0.2">
      <c r="B3097" t="str">
        <f t="shared" si="50"/>
        <v/>
      </c>
    </row>
    <row r="3098" spans="2:2" x14ac:dyDescent="0.2">
      <c r="B3098" t="str">
        <f t="shared" si="50"/>
        <v/>
      </c>
    </row>
    <row r="3099" spans="2:2" x14ac:dyDescent="0.2">
      <c r="B3099" t="str">
        <f t="shared" si="50"/>
        <v/>
      </c>
    </row>
    <row r="3100" spans="2:2" x14ac:dyDescent="0.2">
      <c r="B3100" t="str">
        <f t="shared" si="50"/>
        <v/>
      </c>
    </row>
    <row r="3101" spans="2:2" x14ac:dyDescent="0.2">
      <c r="B3101" t="str">
        <f t="shared" si="50"/>
        <v/>
      </c>
    </row>
    <row r="3102" spans="2:2" x14ac:dyDescent="0.2">
      <c r="B3102" t="str">
        <f t="shared" si="50"/>
        <v/>
      </c>
    </row>
    <row r="3103" spans="2:2" x14ac:dyDescent="0.2">
      <c r="B3103" t="str">
        <f t="shared" si="50"/>
        <v/>
      </c>
    </row>
    <row r="3104" spans="2:2" x14ac:dyDescent="0.2">
      <c r="B3104" t="str">
        <f t="shared" si="50"/>
        <v/>
      </c>
    </row>
    <row r="3105" spans="2:2" x14ac:dyDescent="0.2">
      <c r="B3105" t="str">
        <f t="shared" si="50"/>
        <v/>
      </c>
    </row>
    <row r="3106" spans="2:2" x14ac:dyDescent="0.2">
      <c r="B3106" t="str">
        <f t="shared" si="50"/>
        <v/>
      </c>
    </row>
    <row r="3107" spans="2:2" x14ac:dyDescent="0.2">
      <c r="B3107" t="str">
        <f t="shared" si="50"/>
        <v/>
      </c>
    </row>
    <row r="3108" spans="2:2" x14ac:dyDescent="0.2">
      <c r="B3108" t="str">
        <f t="shared" si="50"/>
        <v/>
      </c>
    </row>
    <row r="3109" spans="2:2" x14ac:dyDescent="0.2">
      <c r="B3109" t="str">
        <f t="shared" si="50"/>
        <v/>
      </c>
    </row>
    <row r="3110" spans="2:2" x14ac:dyDescent="0.2">
      <c r="B3110" t="str">
        <f t="shared" si="50"/>
        <v/>
      </c>
    </row>
    <row r="3111" spans="2:2" x14ac:dyDescent="0.2">
      <c r="B3111" t="str">
        <f t="shared" si="50"/>
        <v/>
      </c>
    </row>
    <row r="3112" spans="2:2" x14ac:dyDescent="0.2">
      <c r="B3112" t="str">
        <f t="shared" si="50"/>
        <v/>
      </c>
    </row>
    <row r="3113" spans="2:2" x14ac:dyDescent="0.2">
      <c r="B3113" t="str">
        <f t="shared" si="50"/>
        <v/>
      </c>
    </row>
    <row r="3114" spans="2:2" x14ac:dyDescent="0.2">
      <c r="B3114" t="str">
        <f t="shared" si="50"/>
        <v/>
      </c>
    </row>
    <row r="3115" spans="2:2" x14ac:dyDescent="0.2">
      <c r="B3115" t="str">
        <f t="shared" si="50"/>
        <v/>
      </c>
    </row>
    <row r="3116" spans="2:2" x14ac:dyDescent="0.2">
      <c r="B3116" t="str">
        <f t="shared" si="50"/>
        <v/>
      </c>
    </row>
    <row r="3117" spans="2:2" x14ac:dyDescent="0.2">
      <c r="B3117" t="str">
        <f t="shared" si="50"/>
        <v/>
      </c>
    </row>
    <row r="3118" spans="2:2" x14ac:dyDescent="0.2">
      <c r="B3118" t="str">
        <f t="shared" si="50"/>
        <v/>
      </c>
    </row>
    <row r="3119" spans="2:2" x14ac:dyDescent="0.2">
      <c r="B3119" t="str">
        <f t="shared" si="50"/>
        <v/>
      </c>
    </row>
    <row r="3120" spans="2:2" x14ac:dyDescent="0.2">
      <c r="B3120" t="str">
        <f t="shared" si="50"/>
        <v/>
      </c>
    </row>
    <row r="3121" spans="2:2" x14ac:dyDescent="0.2">
      <c r="B3121" t="str">
        <f t="shared" si="50"/>
        <v/>
      </c>
    </row>
    <row r="3122" spans="2:2" x14ac:dyDescent="0.2">
      <c r="B3122" t="str">
        <f t="shared" si="50"/>
        <v/>
      </c>
    </row>
    <row r="3123" spans="2:2" x14ac:dyDescent="0.2">
      <c r="B3123" t="str">
        <f t="shared" si="50"/>
        <v/>
      </c>
    </row>
    <row r="3124" spans="2:2" x14ac:dyDescent="0.2">
      <c r="B3124" t="str">
        <f t="shared" si="50"/>
        <v/>
      </c>
    </row>
    <row r="3125" spans="2:2" x14ac:dyDescent="0.2">
      <c r="B3125" t="str">
        <f t="shared" si="50"/>
        <v/>
      </c>
    </row>
    <row r="3126" spans="2:2" x14ac:dyDescent="0.2">
      <c r="B3126" t="str">
        <f t="shared" si="50"/>
        <v/>
      </c>
    </row>
    <row r="3127" spans="2:2" x14ac:dyDescent="0.2">
      <c r="B3127" t="str">
        <f t="shared" si="50"/>
        <v/>
      </c>
    </row>
    <row r="3128" spans="2:2" x14ac:dyDescent="0.2">
      <c r="B3128" t="str">
        <f t="shared" si="50"/>
        <v/>
      </c>
    </row>
    <row r="3129" spans="2:2" x14ac:dyDescent="0.2">
      <c r="B3129" t="str">
        <f t="shared" si="50"/>
        <v/>
      </c>
    </row>
    <row r="3130" spans="2:2" x14ac:dyDescent="0.2">
      <c r="B3130" t="str">
        <f t="shared" si="50"/>
        <v/>
      </c>
    </row>
    <row r="3131" spans="2:2" x14ac:dyDescent="0.2">
      <c r="B3131" t="str">
        <f t="shared" si="50"/>
        <v/>
      </c>
    </row>
    <row r="3132" spans="2:2" x14ac:dyDescent="0.2">
      <c r="B3132" t="str">
        <f t="shared" si="50"/>
        <v/>
      </c>
    </row>
    <row r="3133" spans="2:2" x14ac:dyDescent="0.2">
      <c r="B3133" t="str">
        <f t="shared" si="50"/>
        <v/>
      </c>
    </row>
    <row r="3134" spans="2:2" x14ac:dyDescent="0.2">
      <c r="B3134" t="str">
        <f t="shared" si="50"/>
        <v/>
      </c>
    </row>
    <row r="3135" spans="2:2" x14ac:dyDescent="0.2">
      <c r="B3135" t="str">
        <f t="shared" si="50"/>
        <v/>
      </c>
    </row>
    <row r="3136" spans="2:2" x14ac:dyDescent="0.2">
      <c r="B3136" t="str">
        <f t="shared" si="50"/>
        <v/>
      </c>
    </row>
    <row r="3137" spans="2:2" x14ac:dyDescent="0.2">
      <c r="B3137" t="str">
        <f t="shared" si="50"/>
        <v/>
      </c>
    </row>
    <row r="3138" spans="2:2" x14ac:dyDescent="0.2">
      <c r="B3138" t="str">
        <f t="shared" si="50"/>
        <v/>
      </c>
    </row>
    <row r="3139" spans="2:2" x14ac:dyDescent="0.2">
      <c r="B3139" t="str">
        <f t="shared" si="50"/>
        <v/>
      </c>
    </row>
    <row r="3140" spans="2:2" x14ac:dyDescent="0.2">
      <c r="B3140" t="str">
        <f t="shared" si="50"/>
        <v/>
      </c>
    </row>
    <row r="3141" spans="2:2" x14ac:dyDescent="0.2">
      <c r="B3141" t="str">
        <f t="shared" ref="B3141:B3204" si="51">D3141&amp;I3141</f>
        <v/>
      </c>
    </row>
    <row r="3142" spans="2:2" x14ac:dyDescent="0.2">
      <c r="B3142" t="str">
        <f t="shared" si="51"/>
        <v/>
      </c>
    </row>
    <row r="3143" spans="2:2" x14ac:dyDescent="0.2">
      <c r="B3143" t="str">
        <f t="shared" si="51"/>
        <v/>
      </c>
    </row>
    <row r="3144" spans="2:2" x14ac:dyDescent="0.2">
      <c r="B3144" t="str">
        <f t="shared" si="51"/>
        <v/>
      </c>
    </row>
    <row r="3145" spans="2:2" x14ac:dyDescent="0.2">
      <c r="B3145" t="str">
        <f t="shared" si="51"/>
        <v/>
      </c>
    </row>
    <row r="3146" spans="2:2" x14ac:dyDescent="0.2">
      <c r="B3146" t="str">
        <f t="shared" si="51"/>
        <v/>
      </c>
    </row>
    <row r="3147" spans="2:2" x14ac:dyDescent="0.2">
      <c r="B3147" t="str">
        <f t="shared" si="51"/>
        <v/>
      </c>
    </row>
    <row r="3148" spans="2:2" x14ac:dyDescent="0.2">
      <c r="B3148" t="str">
        <f t="shared" si="51"/>
        <v/>
      </c>
    </row>
    <row r="3149" spans="2:2" x14ac:dyDescent="0.2">
      <c r="B3149" t="str">
        <f t="shared" si="51"/>
        <v/>
      </c>
    </row>
    <row r="3150" spans="2:2" x14ac:dyDescent="0.2">
      <c r="B3150" t="str">
        <f t="shared" si="51"/>
        <v/>
      </c>
    </row>
    <row r="3151" spans="2:2" x14ac:dyDescent="0.2">
      <c r="B3151" t="str">
        <f t="shared" si="51"/>
        <v/>
      </c>
    </row>
    <row r="3152" spans="2:2" x14ac:dyDescent="0.2">
      <c r="B3152" t="str">
        <f t="shared" si="51"/>
        <v/>
      </c>
    </row>
    <row r="3153" spans="2:2" x14ac:dyDescent="0.2">
      <c r="B3153" t="str">
        <f t="shared" si="51"/>
        <v/>
      </c>
    </row>
    <row r="3154" spans="2:2" x14ac:dyDescent="0.2">
      <c r="B3154" t="str">
        <f t="shared" si="51"/>
        <v/>
      </c>
    </row>
    <row r="3155" spans="2:2" x14ac:dyDescent="0.2">
      <c r="B3155" t="str">
        <f t="shared" si="51"/>
        <v/>
      </c>
    </row>
    <row r="3156" spans="2:2" x14ac:dyDescent="0.2">
      <c r="B3156" t="str">
        <f t="shared" si="51"/>
        <v/>
      </c>
    </row>
    <row r="3157" spans="2:2" x14ac:dyDescent="0.2">
      <c r="B3157" t="str">
        <f t="shared" si="51"/>
        <v/>
      </c>
    </row>
    <row r="3158" spans="2:2" x14ac:dyDescent="0.2">
      <c r="B3158" t="str">
        <f t="shared" si="51"/>
        <v/>
      </c>
    </row>
    <row r="3159" spans="2:2" x14ac:dyDescent="0.2">
      <c r="B3159" t="str">
        <f t="shared" si="51"/>
        <v/>
      </c>
    </row>
    <row r="3160" spans="2:2" x14ac:dyDescent="0.2">
      <c r="B3160" t="str">
        <f t="shared" si="51"/>
        <v/>
      </c>
    </row>
    <row r="3161" spans="2:2" x14ac:dyDescent="0.2">
      <c r="B3161" t="str">
        <f t="shared" si="51"/>
        <v/>
      </c>
    </row>
    <row r="3162" spans="2:2" x14ac:dyDescent="0.2">
      <c r="B3162" t="str">
        <f t="shared" si="51"/>
        <v/>
      </c>
    </row>
    <row r="3163" spans="2:2" x14ac:dyDescent="0.2">
      <c r="B3163" t="str">
        <f t="shared" si="51"/>
        <v/>
      </c>
    </row>
    <row r="3164" spans="2:2" x14ac:dyDescent="0.2">
      <c r="B3164" t="str">
        <f t="shared" si="51"/>
        <v/>
      </c>
    </row>
    <row r="3165" spans="2:2" x14ac:dyDescent="0.2">
      <c r="B3165" t="str">
        <f t="shared" si="51"/>
        <v/>
      </c>
    </row>
    <row r="3166" spans="2:2" x14ac:dyDescent="0.2">
      <c r="B3166" t="str">
        <f t="shared" si="51"/>
        <v/>
      </c>
    </row>
    <row r="3167" spans="2:2" x14ac:dyDescent="0.2">
      <c r="B3167" t="str">
        <f t="shared" si="51"/>
        <v/>
      </c>
    </row>
    <row r="3168" spans="2:2" x14ac:dyDescent="0.2">
      <c r="B3168" t="str">
        <f t="shared" si="51"/>
        <v/>
      </c>
    </row>
    <row r="3169" spans="2:2" x14ac:dyDescent="0.2">
      <c r="B3169" t="str">
        <f t="shared" si="51"/>
        <v/>
      </c>
    </row>
    <row r="3170" spans="2:2" x14ac:dyDescent="0.2">
      <c r="B3170" t="str">
        <f t="shared" si="51"/>
        <v/>
      </c>
    </row>
    <row r="3171" spans="2:2" x14ac:dyDescent="0.2">
      <c r="B3171" t="str">
        <f t="shared" si="51"/>
        <v/>
      </c>
    </row>
    <row r="3172" spans="2:2" x14ac:dyDescent="0.2">
      <c r="B3172" t="str">
        <f t="shared" si="51"/>
        <v/>
      </c>
    </row>
    <row r="3173" spans="2:2" x14ac:dyDescent="0.2">
      <c r="B3173" t="str">
        <f t="shared" si="51"/>
        <v/>
      </c>
    </row>
    <row r="3174" spans="2:2" x14ac:dyDescent="0.2">
      <c r="B3174" t="str">
        <f t="shared" si="51"/>
        <v/>
      </c>
    </row>
    <row r="3175" spans="2:2" x14ac:dyDescent="0.2">
      <c r="B3175" t="str">
        <f t="shared" si="51"/>
        <v/>
      </c>
    </row>
    <row r="3176" spans="2:2" x14ac:dyDescent="0.2">
      <c r="B3176" t="str">
        <f t="shared" si="51"/>
        <v/>
      </c>
    </row>
    <row r="3177" spans="2:2" x14ac:dyDescent="0.2">
      <c r="B3177" t="str">
        <f t="shared" si="51"/>
        <v/>
      </c>
    </row>
    <row r="3178" spans="2:2" x14ac:dyDescent="0.2">
      <c r="B3178" t="str">
        <f t="shared" si="51"/>
        <v/>
      </c>
    </row>
    <row r="3179" spans="2:2" x14ac:dyDescent="0.2">
      <c r="B3179" t="str">
        <f t="shared" si="51"/>
        <v/>
      </c>
    </row>
    <row r="3180" spans="2:2" x14ac:dyDescent="0.2">
      <c r="B3180" t="str">
        <f t="shared" si="51"/>
        <v/>
      </c>
    </row>
    <row r="3181" spans="2:2" x14ac:dyDescent="0.2">
      <c r="B3181" t="str">
        <f t="shared" si="51"/>
        <v/>
      </c>
    </row>
    <row r="3182" spans="2:2" x14ac:dyDescent="0.2">
      <c r="B3182" t="str">
        <f t="shared" si="51"/>
        <v/>
      </c>
    </row>
    <row r="3183" spans="2:2" x14ac:dyDescent="0.2">
      <c r="B3183" t="str">
        <f t="shared" si="51"/>
        <v/>
      </c>
    </row>
    <row r="3184" spans="2:2" x14ac:dyDescent="0.2">
      <c r="B3184" t="str">
        <f t="shared" si="51"/>
        <v/>
      </c>
    </row>
    <row r="3185" spans="2:2" x14ac:dyDescent="0.2">
      <c r="B3185" t="str">
        <f t="shared" si="51"/>
        <v/>
      </c>
    </row>
    <row r="3186" spans="2:2" x14ac:dyDescent="0.2">
      <c r="B3186" t="str">
        <f t="shared" si="51"/>
        <v/>
      </c>
    </row>
    <row r="3187" spans="2:2" x14ac:dyDescent="0.2">
      <c r="B3187" t="str">
        <f t="shared" si="51"/>
        <v/>
      </c>
    </row>
    <row r="3188" spans="2:2" x14ac:dyDescent="0.2">
      <c r="B3188" t="str">
        <f t="shared" si="51"/>
        <v/>
      </c>
    </row>
    <row r="3189" spans="2:2" x14ac:dyDescent="0.2">
      <c r="B3189" t="str">
        <f t="shared" si="51"/>
        <v/>
      </c>
    </row>
    <row r="3190" spans="2:2" x14ac:dyDescent="0.2">
      <c r="B3190" t="str">
        <f t="shared" si="51"/>
        <v/>
      </c>
    </row>
    <row r="3191" spans="2:2" x14ac:dyDescent="0.2">
      <c r="B3191" t="str">
        <f t="shared" si="51"/>
        <v/>
      </c>
    </row>
    <row r="3192" spans="2:2" x14ac:dyDescent="0.2">
      <c r="B3192" t="str">
        <f t="shared" si="51"/>
        <v/>
      </c>
    </row>
    <row r="3193" spans="2:2" x14ac:dyDescent="0.2">
      <c r="B3193" t="str">
        <f t="shared" si="51"/>
        <v/>
      </c>
    </row>
    <row r="3194" spans="2:2" x14ac:dyDescent="0.2">
      <c r="B3194" t="str">
        <f t="shared" si="51"/>
        <v/>
      </c>
    </row>
    <row r="3195" spans="2:2" x14ac:dyDescent="0.2">
      <c r="B3195" t="str">
        <f t="shared" si="51"/>
        <v/>
      </c>
    </row>
    <row r="3196" spans="2:2" x14ac:dyDescent="0.2">
      <c r="B3196" t="str">
        <f t="shared" si="51"/>
        <v/>
      </c>
    </row>
    <row r="3197" spans="2:2" x14ac:dyDescent="0.2">
      <c r="B3197" t="str">
        <f t="shared" si="51"/>
        <v/>
      </c>
    </row>
    <row r="3198" spans="2:2" x14ac:dyDescent="0.2">
      <c r="B3198" t="str">
        <f t="shared" si="51"/>
        <v/>
      </c>
    </row>
    <row r="3199" spans="2:2" x14ac:dyDescent="0.2">
      <c r="B3199" t="str">
        <f t="shared" si="51"/>
        <v/>
      </c>
    </row>
    <row r="3200" spans="2:2" x14ac:dyDescent="0.2">
      <c r="B3200" t="str">
        <f t="shared" si="51"/>
        <v/>
      </c>
    </row>
    <row r="3201" spans="2:2" x14ac:dyDescent="0.2">
      <c r="B3201" t="str">
        <f t="shared" si="51"/>
        <v/>
      </c>
    </row>
    <row r="3202" spans="2:2" x14ac:dyDescent="0.2">
      <c r="B3202" t="str">
        <f t="shared" si="51"/>
        <v/>
      </c>
    </row>
    <row r="3203" spans="2:2" x14ac:dyDescent="0.2">
      <c r="B3203" t="str">
        <f t="shared" si="51"/>
        <v/>
      </c>
    </row>
    <row r="3204" spans="2:2" x14ac:dyDescent="0.2">
      <c r="B3204" t="str">
        <f t="shared" si="51"/>
        <v/>
      </c>
    </row>
    <row r="3205" spans="2:2" x14ac:dyDescent="0.2">
      <c r="B3205" t="str">
        <f t="shared" ref="B3205:B3268" si="52">D3205&amp;I3205</f>
        <v/>
      </c>
    </row>
    <row r="3206" spans="2:2" x14ac:dyDescent="0.2">
      <c r="B3206" t="str">
        <f t="shared" si="52"/>
        <v/>
      </c>
    </row>
    <row r="3207" spans="2:2" x14ac:dyDescent="0.2">
      <c r="B3207" t="str">
        <f t="shared" si="52"/>
        <v/>
      </c>
    </row>
    <row r="3208" spans="2:2" x14ac:dyDescent="0.2">
      <c r="B3208" t="str">
        <f t="shared" si="52"/>
        <v/>
      </c>
    </row>
    <row r="3209" spans="2:2" x14ac:dyDescent="0.2">
      <c r="B3209" t="str">
        <f t="shared" si="52"/>
        <v/>
      </c>
    </row>
    <row r="3210" spans="2:2" x14ac:dyDescent="0.2">
      <c r="B3210" t="str">
        <f t="shared" si="52"/>
        <v/>
      </c>
    </row>
    <row r="3211" spans="2:2" x14ac:dyDescent="0.2">
      <c r="B3211" t="str">
        <f t="shared" si="52"/>
        <v/>
      </c>
    </row>
    <row r="3212" spans="2:2" x14ac:dyDescent="0.2">
      <c r="B3212" t="str">
        <f t="shared" si="52"/>
        <v/>
      </c>
    </row>
    <row r="3213" spans="2:2" x14ac:dyDescent="0.2">
      <c r="B3213" t="str">
        <f t="shared" si="52"/>
        <v/>
      </c>
    </row>
    <row r="3214" spans="2:2" x14ac:dyDescent="0.2">
      <c r="B3214" t="str">
        <f t="shared" si="52"/>
        <v/>
      </c>
    </row>
    <row r="3215" spans="2:2" x14ac:dyDescent="0.2">
      <c r="B3215" t="str">
        <f t="shared" si="52"/>
        <v/>
      </c>
    </row>
    <row r="3216" spans="2:2" x14ac:dyDescent="0.2">
      <c r="B3216" t="str">
        <f t="shared" si="52"/>
        <v/>
      </c>
    </row>
    <row r="3217" spans="2:2" x14ac:dyDescent="0.2">
      <c r="B3217" t="str">
        <f t="shared" si="52"/>
        <v/>
      </c>
    </row>
    <row r="3218" spans="2:2" x14ac:dyDescent="0.2">
      <c r="B3218" t="str">
        <f t="shared" si="52"/>
        <v/>
      </c>
    </row>
    <row r="3219" spans="2:2" x14ac:dyDescent="0.2">
      <c r="B3219" t="str">
        <f t="shared" si="52"/>
        <v/>
      </c>
    </row>
    <row r="3220" spans="2:2" x14ac:dyDescent="0.2">
      <c r="B3220" t="str">
        <f t="shared" si="52"/>
        <v/>
      </c>
    </row>
    <row r="3221" spans="2:2" x14ac:dyDescent="0.2">
      <c r="B3221" t="str">
        <f t="shared" si="52"/>
        <v/>
      </c>
    </row>
    <row r="3222" spans="2:2" x14ac:dyDescent="0.2">
      <c r="B3222" t="str">
        <f t="shared" si="52"/>
        <v/>
      </c>
    </row>
    <row r="3223" spans="2:2" x14ac:dyDescent="0.2">
      <c r="B3223" t="str">
        <f t="shared" si="52"/>
        <v/>
      </c>
    </row>
    <row r="3224" spans="2:2" x14ac:dyDescent="0.2">
      <c r="B3224" t="str">
        <f t="shared" si="52"/>
        <v/>
      </c>
    </row>
    <row r="3225" spans="2:2" x14ac:dyDescent="0.2">
      <c r="B3225" t="str">
        <f t="shared" si="52"/>
        <v/>
      </c>
    </row>
    <row r="3226" spans="2:2" x14ac:dyDescent="0.2">
      <c r="B3226" t="str">
        <f t="shared" si="52"/>
        <v/>
      </c>
    </row>
    <row r="3227" spans="2:2" x14ac:dyDescent="0.2">
      <c r="B3227" t="str">
        <f t="shared" si="52"/>
        <v/>
      </c>
    </row>
    <row r="3228" spans="2:2" x14ac:dyDescent="0.2">
      <c r="B3228" t="str">
        <f t="shared" si="52"/>
        <v/>
      </c>
    </row>
    <row r="3229" spans="2:2" x14ac:dyDescent="0.2">
      <c r="B3229" t="str">
        <f t="shared" si="52"/>
        <v/>
      </c>
    </row>
    <row r="3230" spans="2:2" x14ac:dyDescent="0.2">
      <c r="B3230" t="str">
        <f t="shared" si="52"/>
        <v/>
      </c>
    </row>
    <row r="3231" spans="2:2" x14ac:dyDescent="0.2">
      <c r="B3231" t="str">
        <f t="shared" si="52"/>
        <v/>
      </c>
    </row>
    <row r="3232" spans="2:2" x14ac:dyDescent="0.2">
      <c r="B3232" t="str">
        <f t="shared" si="52"/>
        <v/>
      </c>
    </row>
    <row r="3233" spans="2:2" x14ac:dyDescent="0.2">
      <c r="B3233" t="str">
        <f t="shared" si="52"/>
        <v/>
      </c>
    </row>
    <row r="3234" spans="2:2" x14ac:dyDescent="0.2">
      <c r="B3234" t="str">
        <f t="shared" si="52"/>
        <v/>
      </c>
    </row>
    <row r="3235" spans="2:2" x14ac:dyDescent="0.2">
      <c r="B3235" t="str">
        <f t="shared" si="52"/>
        <v/>
      </c>
    </row>
    <row r="3236" spans="2:2" x14ac:dyDescent="0.2">
      <c r="B3236" t="str">
        <f t="shared" si="52"/>
        <v/>
      </c>
    </row>
    <row r="3237" spans="2:2" x14ac:dyDescent="0.2">
      <c r="B3237" t="str">
        <f t="shared" si="52"/>
        <v/>
      </c>
    </row>
    <row r="3238" spans="2:2" x14ac:dyDescent="0.2">
      <c r="B3238" t="str">
        <f t="shared" si="52"/>
        <v/>
      </c>
    </row>
    <row r="3239" spans="2:2" x14ac:dyDescent="0.2">
      <c r="B3239" t="str">
        <f t="shared" si="52"/>
        <v/>
      </c>
    </row>
    <row r="3240" spans="2:2" x14ac:dyDescent="0.2">
      <c r="B3240" t="str">
        <f t="shared" si="52"/>
        <v/>
      </c>
    </row>
    <row r="3241" spans="2:2" x14ac:dyDescent="0.2">
      <c r="B3241" t="str">
        <f t="shared" si="52"/>
        <v/>
      </c>
    </row>
    <row r="3242" spans="2:2" x14ac:dyDescent="0.2">
      <c r="B3242" t="str">
        <f t="shared" si="52"/>
        <v/>
      </c>
    </row>
    <row r="3243" spans="2:2" x14ac:dyDescent="0.2">
      <c r="B3243" t="str">
        <f t="shared" si="52"/>
        <v/>
      </c>
    </row>
    <row r="3244" spans="2:2" x14ac:dyDescent="0.2">
      <c r="B3244" t="str">
        <f t="shared" si="52"/>
        <v/>
      </c>
    </row>
    <row r="3245" spans="2:2" x14ac:dyDescent="0.2">
      <c r="B3245" t="str">
        <f t="shared" si="52"/>
        <v/>
      </c>
    </row>
    <row r="3246" spans="2:2" x14ac:dyDescent="0.2">
      <c r="B3246" t="str">
        <f t="shared" si="52"/>
        <v/>
      </c>
    </row>
    <row r="3247" spans="2:2" x14ac:dyDescent="0.2">
      <c r="B3247" t="str">
        <f t="shared" si="52"/>
        <v/>
      </c>
    </row>
    <row r="3248" spans="2:2" x14ac:dyDescent="0.2">
      <c r="B3248" t="str">
        <f t="shared" si="52"/>
        <v/>
      </c>
    </row>
    <row r="3249" spans="2:2" x14ac:dyDescent="0.2">
      <c r="B3249" t="str">
        <f t="shared" si="52"/>
        <v/>
      </c>
    </row>
    <row r="3250" spans="2:2" x14ac:dyDescent="0.2">
      <c r="B3250" t="str">
        <f t="shared" si="52"/>
        <v/>
      </c>
    </row>
    <row r="3251" spans="2:2" x14ac:dyDescent="0.2">
      <c r="B3251" t="str">
        <f t="shared" si="52"/>
        <v/>
      </c>
    </row>
    <row r="3252" spans="2:2" x14ac:dyDescent="0.2">
      <c r="B3252" t="str">
        <f t="shared" si="52"/>
        <v/>
      </c>
    </row>
    <row r="3253" spans="2:2" x14ac:dyDescent="0.2">
      <c r="B3253" t="str">
        <f t="shared" si="52"/>
        <v/>
      </c>
    </row>
    <row r="3254" spans="2:2" x14ac:dyDescent="0.2">
      <c r="B3254" t="str">
        <f t="shared" si="52"/>
        <v/>
      </c>
    </row>
    <row r="3255" spans="2:2" x14ac:dyDescent="0.2">
      <c r="B3255" t="str">
        <f t="shared" si="52"/>
        <v/>
      </c>
    </row>
    <row r="3256" spans="2:2" x14ac:dyDescent="0.2">
      <c r="B3256" t="str">
        <f t="shared" si="52"/>
        <v/>
      </c>
    </row>
    <row r="3257" spans="2:2" x14ac:dyDescent="0.2">
      <c r="B3257" t="str">
        <f t="shared" si="52"/>
        <v/>
      </c>
    </row>
    <row r="3258" spans="2:2" x14ac:dyDescent="0.2">
      <c r="B3258" t="str">
        <f t="shared" si="52"/>
        <v/>
      </c>
    </row>
    <row r="3259" spans="2:2" x14ac:dyDescent="0.2">
      <c r="B3259" t="str">
        <f t="shared" si="52"/>
        <v/>
      </c>
    </row>
    <row r="3260" spans="2:2" x14ac:dyDescent="0.2">
      <c r="B3260" t="str">
        <f t="shared" si="52"/>
        <v/>
      </c>
    </row>
    <row r="3261" spans="2:2" x14ac:dyDescent="0.2">
      <c r="B3261" t="str">
        <f t="shared" si="52"/>
        <v/>
      </c>
    </row>
    <row r="3262" spans="2:2" x14ac:dyDescent="0.2">
      <c r="B3262" t="str">
        <f t="shared" si="52"/>
        <v/>
      </c>
    </row>
    <row r="3263" spans="2:2" x14ac:dyDescent="0.2">
      <c r="B3263" t="str">
        <f t="shared" si="52"/>
        <v/>
      </c>
    </row>
    <row r="3264" spans="2:2" x14ac:dyDescent="0.2">
      <c r="B3264" t="str">
        <f t="shared" si="52"/>
        <v/>
      </c>
    </row>
    <row r="3265" spans="2:2" x14ac:dyDescent="0.2">
      <c r="B3265" t="str">
        <f t="shared" si="52"/>
        <v/>
      </c>
    </row>
    <row r="3266" spans="2:2" x14ac:dyDescent="0.2">
      <c r="B3266" t="str">
        <f t="shared" si="52"/>
        <v/>
      </c>
    </row>
    <row r="3267" spans="2:2" x14ac:dyDescent="0.2">
      <c r="B3267" t="str">
        <f t="shared" si="52"/>
        <v/>
      </c>
    </row>
    <row r="3268" spans="2:2" x14ac:dyDescent="0.2">
      <c r="B3268" t="str">
        <f t="shared" si="52"/>
        <v/>
      </c>
    </row>
    <row r="3269" spans="2:2" x14ac:dyDescent="0.2">
      <c r="B3269" t="str">
        <f t="shared" ref="B3269:B3332" si="53">D3269&amp;I3269</f>
        <v/>
      </c>
    </row>
    <row r="3270" spans="2:2" x14ac:dyDescent="0.2">
      <c r="B3270" t="str">
        <f t="shared" si="53"/>
        <v/>
      </c>
    </row>
    <row r="3271" spans="2:2" x14ac:dyDescent="0.2">
      <c r="B3271" t="str">
        <f t="shared" si="53"/>
        <v/>
      </c>
    </row>
    <row r="3272" spans="2:2" x14ac:dyDescent="0.2">
      <c r="B3272" t="str">
        <f t="shared" si="53"/>
        <v/>
      </c>
    </row>
    <row r="3273" spans="2:2" x14ac:dyDescent="0.2">
      <c r="B3273" t="str">
        <f t="shared" si="53"/>
        <v/>
      </c>
    </row>
    <row r="3274" spans="2:2" x14ac:dyDescent="0.2">
      <c r="B3274" t="str">
        <f t="shared" si="53"/>
        <v/>
      </c>
    </row>
    <row r="3275" spans="2:2" x14ac:dyDescent="0.2">
      <c r="B3275" t="str">
        <f t="shared" si="53"/>
        <v/>
      </c>
    </row>
    <row r="3276" spans="2:2" x14ac:dyDescent="0.2">
      <c r="B3276" t="str">
        <f t="shared" si="53"/>
        <v/>
      </c>
    </row>
    <row r="3277" spans="2:2" x14ac:dyDescent="0.2">
      <c r="B3277" t="str">
        <f t="shared" si="53"/>
        <v/>
      </c>
    </row>
    <row r="3278" spans="2:2" x14ac:dyDescent="0.2">
      <c r="B3278" t="str">
        <f t="shared" si="53"/>
        <v/>
      </c>
    </row>
    <row r="3279" spans="2:2" x14ac:dyDescent="0.2">
      <c r="B3279" t="str">
        <f t="shared" si="53"/>
        <v/>
      </c>
    </row>
    <row r="3280" spans="2:2" x14ac:dyDescent="0.2">
      <c r="B3280" t="str">
        <f t="shared" si="53"/>
        <v/>
      </c>
    </row>
    <row r="3281" spans="2:2" x14ac:dyDescent="0.2">
      <c r="B3281" t="str">
        <f t="shared" si="53"/>
        <v/>
      </c>
    </row>
    <row r="3282" spans="2:2" x14ac:dyDescent="0.2">
      <c r="B3282" t="str">
        <f t="shared" si="53"/>
        <v/>
      </c>
    </row>
    <row r="3283" spans="2:2" x14ac:dyDescent="0.2">
      <c r="B3283" t="str">
        <f t="shared" si="53"/>
        <v/>
      </c>
    </row>
    <row r="3284" spans="2:2" x14ac:dyDescent="0.2">
      <c r="B3284" t="str">
        <f t="shared" si="53"/>
        <v/>
      </c>
    </row>
    <row r="3285" spans="2:2" x14ac:dyDescent="0.2">
      <c r="B3285" t="str">
        <f t="shared" si="53"/>
        <v/>
      </c>
    </row>
    <row r="3286" spans="2:2" x14ac:dyDescent="0.2">
      <c r="B3286" t="str">
        <f t="shared" si="53"/>
        <v/>
      </c>
    </row>
    <row r="3287" spans="2:2" x14ac:dyDescent="0.2">
      <c r="B3287" t="str">
        <f t="shared" si="53"/>
        <v/>
      </c>
    </row>
    <row r="3288" spans="2:2" x14ac:dyDescent="0.2">
      <c r="B3288" t="str">
        <f t="shared" si="53"/>
        <v/>
      </c>
    </row>
    <row r="3289" spans="2:2" x14ac:dyDescent="0.2">
      <c r="B3289" t="str">
        <f t="shared" si="53"/>
        <v/>
      </c>
    </row>
    <row r="3290" spans="2:2" x14ac:dyDescent="0.2">
      <c r="B3290" t="str">
        <f t="shared" si="53"/>
        <v/>
      </c>
    </row>
    <row r="3291" spans="2:2" x14ac:dyDescent="0.2">
      <c r="B3291" t="str">
        <f t="shared" si="53"/>
        <v/>
      </c>
    </row>
    <row r="3292" spans="2:2" x14ac:dyDescent="0.2">
      <c r="B3292" t="str">
        <f t="shared" si="53"/>
        <v/>
      </c>
    </row>
    <row r="3293" spans="2:2" x14ac:dyDescent="0.2">
      <c r="B3293" t="str">
        <f t="shared" si="53"/>
        <v/>
      </c>
    </row>
    <row r="3294" spans="2:2" x14ac:dyDescent="0.2">
      <c r="B3294" t="str">
        <f t="shared" si="53"/>
        <v/>
      </c>
    </row>
    <row r="3295" spans="2:2" x14ac:dyDescent="0.2">
      <c r="B3295" t="str">
        <f t="shared" si="53"/>
        <v/>
      </c>
    </row>
    <row r="3296" spans="2:2" x14ac:dyDescent="0.2">
      <c r="B3296" t="str">
        <f t="shared" si="53"/>
        <v/>
      </c>
    </row>
    <row r="3297" spans="2:2" x14ac:dyDescent="0.2">
      <c r="B3297" t="str">
        <f t="shared" si="53"/>
        <v/>
      </c>
    </row>
    <row r="3298" spans="2:2" x14ac:dyDescent="0.2">
      <c r="B3298" t="str">
        <f t="shared" si="53"/>
        <v/>
      </c>
    </row>
    <row r="3299" spans="2:2" x14ac:dyDescent="0.2">
      <c r="B3299" t="str">
        <f t="shared" si="53"/>
        <v/>
      </c>
    </row>
    <row r="3300" spans="2:2" x14ac:dyDescent="0.2">
      <c r="B3300" t="str">
        <f t="shared" si="53"/>
        <v/>
      </c>
    </row>
    <row r="3301" spans="2:2" x14ac:dyDescent="0.2">
      <c r="B3301" t="str">
        <f t="shared" si="53"/>
        <v/>
      </c>
    </row>
    <row r="3302" spans="2:2" x14ac:dyDescent="0.2">
      <c r="B3302" t="str">
        <f t="shared" si="53"/>
        <v/>
      </c>
    </row>
    <row r="3303" spans="2:2" x14ac:dyDescent="0.2">
      <c r="B3303" t="str">
        <f t="shared" si="53"/>
        <v/>
      </c>
    </row>
    <row r="3304" spans="2:2" x14ac:dyDescent="0.2">
      <c r="B3304" t="str">
        <f t="shared" si="53"/>
        <v/>
      </c>
    </row>
    <row r="3305" spans="2:2" x14ac:dyDescent="0.2">
      <c r="B3305" t="str">
        <f t="shared" si="53"/>
        <v/>
      </c>
    </row>
    <row r="3306" spans="2:2" x14ac:dyDescent="0.2">
      <c r="B3306" t="str">
        <f t="shared" si="53"/>
        <v/>
      </c>
    </row>
    <row r="3307" spans="2:2" x14ac:dyDescent="0.2">
      <c r="B3307" t="str">
        <f t="shared" si="53"/>
        <v/>
      </c>
    </row>
    <row r="3308" spans="2:2" x14ac:dyDescent="0.2">
      <c r="B3308" t="str">
        <f t="shared" si="53"/>
        <v/>
      </c>
    </row>
    <row r="3309" spans="2:2" x14ac:dyDescent="0.2">
      <c r="B3309" t="str">
        <f t="shared" si="53"/>
        <v/>
      </c>
    </row>
    <row r="3310" spans="2:2" x14ac:dyDescent="0.2">
      <c r="B3310" t="str">
        <f t="shared" si="53"/>
        <v/>
      </c>
    </row>
    <row r="3311" spans="2:2" x14ac:dyDescent="0.2">
      <c r="B3311" t="str">
        <f t="shared" si="53"/>
        <v/>
      </c>
    </row>
    <row r="3312" spans="2:2" x14ac:dyDescent="0.2">
      <c r="B3312" t="str">
        <f t="shared" si="53"/>
        <v/>
      </c>
    </row>
    <row r="3313" spans="2:2" x14ac:dyDescent="0.2">
      <c r="B3313" t="str">
        <f t="shared" si="53"/>
        <v/>
      </c>
    </row>
    <row r="3314" spans="2:2" x14ac:dyDescent="0.2">
      <c r="B3314" t="str">
        <f t="shared" si="53"/>
        <v/>
      </c>
    </row>
    <row r="3315" spans="2:2" x14ac:dyDescent="0.2">
      <c r="B3315" t="str">
        <f t="shared" si="53"/>
        <v/>
      </c>
    </row>
    <row r="3316" spans="2:2" x14ac:dyDescent="0.2">
      <c r="B3316" t="str">
        <f t="shared" si="53"/>
        <v/>
      </c>
    </row>
    <row r="3317" spans="2:2" x14ac:dyDescent="0.2">
      <c r="B3317" t="str">
        <f t="shared" si="53"/>
        <v/>
      </c>
    </row>
    <row r="3318" spans="2:2" x14ac:dyDescent="0.2">
      <c r="B3318" t="str">
        <f t="shared" si="53"/>
        <v/>
      </c>
    </row>
    <row r="3319" spans="2:2" x14ac:dyDescent="0.2">
      <c r="B3319" t="str">
        <f t="shared" si="53"/>
        <v/>
      </c>
    </row>
    <row r="3320" spans="2:2" x14ac:dyDescent="0.2">
      <c r="B3320" t="str">
        <f t="shared" si="53"/>
        <v/>
      </c>
    </row>
    <row r="3321" spans="2:2" x14ac:dyDescent="0.2">
      <c r="B3321" t="str">
        <f t="shared" si="53"/>
        <v/>
      </c>
    </row>
    <row r="3322" spans="2:2" x14ac:dyDescent="0.2">
      <c r="B3322" t="str">
        <f t="shared" si="53"/>
        <v/>
      </c>
    </row>
    <row r="3323" spans="2:2" x14ac:dyDescent="0.2">
      <c r="B3323" t="str">
        <f t="shared" si="53"/>
        <v/>
      </c>
    </row>
    <row r="3324" spans="2:2" x14ac:dyDescent="0.2">
      <c r="B3324" t="str">
        <f t="shared" si="53"/>
        <v/>
      </c>
    </row>
    <row r="3325" spans="2:2" x14ac:dyDescent="0.2">
      <c r="B3325" t="str">
        <f t="shared" si="53"/>
        <v/>
      </c>
    </row>
    <row r="3326" spans="2:2" x14ac:dyDescent="0.2">
      <c r="B3326" t="str">
        <f t="shared" si="53"/>
        <v/>
      </c>
    </row>
    <row r="3327" spans="2:2" x14ac:dyDescent="0.2">
      <c r="B3327" t="str">
        <f t="shared" si="53"/>
        <v/>
      </c>
    </row>
    <row r="3328" spans="2:2" x14ac:dyDescent="0.2">
      <c r="B3328" t="str">
        <f t="shared" si="53"/>
        <v/>
      </c>
    </row>
    <row r="3329" spans="2:2" x14ac:dyDescent="0.2">
      <c r="B3329" t="str">
        <f t="shared" si="53"/>
        <v/>
      </c>
    </row>
    <row r="3330" spans="2:2" x14ac:dyDescent="0.2">
      <c r="B3330" t="str">
        <f t="shared" si="53"/>
        <v/>
      </c>
    </row>
    <row r="3331" spans="2:2" x14ac:dyDescent="0.2">
      <c r="B3331" t="str">
        <f t="shared" si="53"/>
        <v/>
      </c>
    </row>
    <row r="3332" spans="2:2" x14ac:dyDescent="0.2">
      <c r="B3332" t="str">
        <f t="shared" si="53"/>
        <v/>
      </c>
    </row>
    <row r="3333" spans="2:2" x14ac:dyDescent="0.2">
      <c r="B3333" t="str">
        <f t="shared" ref="B3333:B3396" si="54">D3333&amp;I3333</f>
        <v/>
      </c>
    </row>
    <row r="3334" spans="2:2" x14ac:dyDescent="0.2">
      <c r="B3334" t="str">
        <f t="shared" si="54"/>
        <v/>
      </c>
    </row>
    <row r="3335" spans="2:2" x14ac:dyDescent="0.2">
      <c r="B3335" t="str">
        <f t="shared" si="54"/>
        <v/>
      </c>
    </row>
    <row r="3336" spans="2:2" x14ac:dyDescent="0.2">
      <c r="B3336" t="str">
        <f t="shared" si="54"/>
        <v/>
      </c>
    </row>
    <row r="3337" spans="2:2" x14ac:dyDescent="0.2">
      <c r="B3337" t="str">
        <f t="shared" si="54"/>
        <v/>
      </c>
    </row>
    <row r="3338" spans="2:2" x14ac:dyDescent="0.2">
      <c r="B3338" t="str">
        <f t="shared" si="54"/>
        <v/>
      </c>
    </row>
    <row r="3339" spans="2:2" x14ac:dyDescent="0.2">
      <c r="B3339" t="str">
        <f t="shared" si="54"/>
        <v/>
      </c>
    </row>
    <row r="3340" spans="2:2" x14ac:dyDescent="0.2">
      <c r="B3340" t="str">
        <f t="shared" si="54"/>
        <v/>
      </c>
    </row>
    <row r="3341" spans="2:2" x14ac:dyDescent="0.2">
      <c r="B3341" t="str">
        <f t="shared" si="54"/>
        <v/>
      </c>
    </row>
    <row r="3342" spans="2:2" x14ac:dyDescent="0.2">
      <c r="B3342" t="str">
        <f t="shared" si="54"/>
        <v/>
      </c>
    </row>
    <row r="3343" spans="2:2" x14ac:dyDescent="0.2">
      <c r="B3343" t="str">
        <f t="shared" si="54"/>
        <v/>
      </c>
    </row>
    <row r="3344" spans="2:2" x14ac:dyDescent="0.2">
      <c r="B3344" t="str">
        <f t="shared" si="54"/>
        <v/>
      </c>
    </row>
    <row r="3345" spans="2:2" x14ac:dyDescent="0.2">
      <c r="B3345" t="str">
        <f t="shared" si="54"/>
        <v/>
      </c>
    </row>
    <row r="3346" spans="2:2" x14ac:dyDescent="0.2">
      <c r="B3346" t="str">
        <f t="shared" si="54"/>
        <v/>
      </c>
    </row>
    <row r="3347" spans="2:2" x14ac:dyDescent="0.2">
      <c r="B3347" t="str">
        <f t="shared" si="54"/>
        <v/>
      </c>
    </row>
    <row r="3348" spans="2:2" x14ac:dyDescent="0.2">
      <c r="B3348" t="str">
        <f t="shared" si="54"/>
        <v/>
      </c>
    </row>
    <row r="3349" spans="2:2" x14ac:dyDescent="0.2">
      <c r="B3349" t="str">
        <f t="shared" si="54"/>
        <v/>
      </c>
    </row>
    <row r="3350" spans="2:2" x14ac:dyDescent="0.2">
      <c r="B3350" t="str">
        <f t="shared" si="54"/>
        <v/>
      </c>
    </row>
    <row r="3351" spans="2:2" x14ac:dyDescent="0.2">
      <c r="B3351" t="str">
        <f t="shared" si="54"/>
        <v/>
      </c>
    </row>
    <row r="3352" spans="2:2" x14ac:dyDescent="0.2">
      <c r="B3352" t="str">
        <f t="shared" si="54"/>
        <v/>
      </c>
    </row>
    <row r="3353" spans="2:2" x14ac:dyDescent="0.2">
      <c r="B3353" t="str">
        <f t="shared" si="54"/>
        <v/>
      </c>
    </row>
    <row r="3354" spans="2:2" x14ac:dyDescent="0.2">
      <c r="B3354" t="str">
        <f t="shared" si="54"/>
        <v/>
      </c>
    </row>
    <row r="3355" spans="2:2" x14ac:dyDescent="0.2">
      <c r="B3355" t="str">
        <f t="shared" si="54"/>
        <v/>
      </c>
    </row>
    <row r="3356" spans="2:2" x14ac:dyDescent="0.2">
      <c r="B3356" t="str">
        <f t="shared" si="54"/>
        <v/>
      </c>
    </row>
    <row r="3357" spans="2:2" x14ac:dyDescent="0.2">
      <c r="B3357" t="str">
        <f t="shared" si="54"/>
        <v/>
      </c>
    </row>
    <row r="3358" spans="2:2" x14ac:dyDescent="0.2">
      <c r="B3358" t="str">
        <f t="shared" si="54"/>
        <v/>
      </c>
    </row>
    <row r="3359" spans="2:2" x14ac:dyDescent="0.2">
      <c r="B3359" t="str">
        <f t="shared" si="54"/>
        <v/>
      </c>
    </row>
    <row r="3360" spans="2:2" x14ac:dyDescent="0.2">
      <c r="B3360" t="str">
        <f t="shared" si="54"/>
        <v/>
      </c>
    </row>
    <row r="3361" spans="2:2" x14ac:dyDescent="0.2">
      <c r="B3361" t="str">
        <f t="shared" si="54"/>
        <v/>
      </c>
    </row>
    <row r="3362" spans="2:2" x14ac:dyDescent="0.2">
      <c r="B3362" t="str">
        <f t="shared" si="54"/>
        <v/>
      </c>
    </row>
    <row r="3363" spans="2:2" x14ac:dyDescent="0.2">
      <c r="B3363" t="str">
        <f t="shared" si="54"/>
        <v/>
      </c>
    </row>
    <row r="3364" spans="2:2" x14ac:dyDescent="0.2">
      <c r="B3364" t="str">
        <f t="shared" si="54"/>
        <v/>
      </c>
    </row>
    <row r="3365" spans="2:2" x14ac:dyDescent="0.2">
      <c r="B3365" t="str">
        <f t="shared" si="54"/>
        <v/>
      </c>
    </row>
    <row r="3366" spans="2:2" x14ac:dyDescent="0.2">
      <c r="B3366" t="str">
        <f t="shared" si="54"/>
        <v/>
      </c>
    </row>
    <row r="3367" spans="2:2" x14ac:dyDescent="0.2">
      <c r="B3367" t="str">
        <f t="shared" si="54"/>
        <v/>
      </c>
    </row>
    <row r="3368" spans="2:2" x14ac:dyDescent="0.2">
      <c r="B3368" t="str">
        <f t="shared" si="54"/>
        <v/>
      </c>
    </row>
    <row r="3369" spans="2:2" x14ac:dyDescent="0.2">
      <c r="B3369" t="str">
        <f t="shared" si="54"/>
        <v/>
      </c>
    </row>
    <row r="3370" spans="2:2" x14ac:dyDescent="0.2">
      <c r="B3370" t="str">
        <f t="shared" si="54"/>
        <v/>
      </c>
    </row>
    <row r="3371" spans="2:2" x14ac:dyDescent="0.2">
      <c r="B3371" t="str">
        <f t="shared" si="54"/>
        <v/>
      </c>
    </row>
    <row r="3372" spans="2:2" x14ac:dyDescent="0.2">
      <c r="B3372" t="str">
        <f t="shared" si="54"/>
        <v/>
      </c>
    </row>
    <row r="3373" spans="2:2" x14ac:dyDescent="0.2">
      <c r="B3373" t="str">
        <f t="shared" si="54"/>
        <v/>
      </c>
    </row>
    <row r="3374" spans="2:2" x14ac:dyDescent="0.2">
      <c r="B3374" t="str">
        <f t="shared" si="54"/>
        <v/>
      </c>
    </row>
    <row r="3375" spans="2:2" x14ac:dyDescent="0.2">
      <c r="B3375" t="str">
        <f t="shared" si="54"/>
        <v/>
      </c>
    </row>
    <row r="3376" spans="2:2" x14ac:dyDescent="0.2">
      <c r="B3376" t="str">
        <f t="shared" si="54"/>
        <v/>
      </c>
    </row>
    <row r="3377" spans="2:2" x14ac:dyDescent="0.2">
      <c r="B3377" t="str">
        <f t="shared" si="54"/>
        <v/>
      </c>
    </row>
    <row r="3378" spans="2:2" x14ac:dyDescent="0.2">
      <c r="B3378" t="str">
        <f t="shared" si="54"/>
        <v/>
      </c>
    </row>
    <row r="3379" spans="2:2" x14ac:dyDescent="0.2">
      <c r="B3379" t="str">
        <f t="shared" si="54"/>
        <v/>
      </c>
    </row>
    <row r="3380" spans="2:2" x14ac:dyDescent="0.2">
      <c r="B3380" t="str">
        <f t="shared" si="54"/>
        <v/>
      </c>
    </row>
    <row r="3381" spans="2:2" x14ac:dyDescent="0.2">
      <c r="B3381" t="str">
        <f t="shared" si="54"/>
        <v/>
      </c>
    </row>
    <row r="3382" spans="2:2" x14ac:dyDescent="0.2">
      <c r="B3382" t="str">
        <f t="shared" si="54"/>
        <v/>
      </c>
    </row>
    <row r="3383" spans="2:2" x14ac:dyDescent="0.2">
      <c r="B3383" t="str">
        <f t="shared" si="54"/>
        <v/>
      </c>
    </row>
    <row r="3384" spans="2:2" x14ac:dyDescent="0.2">
      <c r="B3384" t="str">
        <f t="shared" si="54"/>
        <v/>
      </c>
    </row>
    <row r="3385" spans="2:2" x14ac:dyDescent="0.2">
      <c r="B3385" t="str">
        <f t="shared" si="54"/>
        <v/>
      </c>
    </row>
    <row r="3386" spans="2:2" x14ac:dyDescent="0.2">
      <c r="B3386" t="str">
        <f t="shared" si="54"/>
        <v/>
      </c>
    </row>
    <row r="3387" spans="2:2" x14ac:dyDescent="0.2">
      <c r="B3387" t="str">
        <f t="shared" si="54"/>
        <v/>
      </c>
    </row>
    <row r="3388" spans="2:2" x14ac:dyDescent="0.2">
      <c r="B3388" t="str">
        <f t="shared" si="54"/>
        <v/>
      </c>
    </row>
    <row r="3389" spans="2:2" x14ac:dyDescent="0.2">
      <c r="B3389" t="str">
        <f t="shared" si="54"/>
        <v/>
      </c>
    </row>
    <row r="3390" spans="2:2" x14ac:dyDescent="0.2">
      <c r="B3390" t="str">
        <f t="shared" si="54"/>
        <v/>
      </c>
    </row>
    <row r="3391" spans="2:2" x14ac:dyDescent="0.2">
      <c r="B3391" t="str">
        <f t="shared" si="54"/>
        <v/>
      </c>
    </row>
    <row r="3392" spans="2:2" x14ac:dyDescent="0.2">
      <c r="B3392" t="str">
        <f t="shared" si="54"/>
        <v/>
      </c>
    </row>
    <row r="3393" spans="2:2" x14ac:dyDescent="0.2">
      <c r="B3393" t="str">
        <f t="shared" si="54"/>
        <v/>
      </c>
    </row>
    <row r="3394" spans="2:2" x14ac:dyDescent="0.2">
      <c r="B3394" t="str">
        <f t="shared" si="54"/>
        <v/>
      </c>
    </row>
    <row r="3395" spans="2:2" x14ac:dyDescent="0.2">
      <c r="B3395" t="str">
        <f t="shared" si="54"/>
        <v/>
      </c>
    </row>
    <row r="3396" spans="2:2" x14ac:dyDescent="0.2">
      <c r="B3396" t="str">
        <f t="shared" si="54"/>
        <v/>
      </c>
    </row>
    <row r="3397" spans="2:2" x14ac:dyDescent="0.2">
      <c r="B3397" t="str">
        <f t="shared" ref="B3397:B3460" si="55">D3397&amp;I3397</f>
        <v/>
      </c>
    </row>
    <row r="3398" spans="2:2" x14ac:dyDescent="0.2">
      <c r="B3398" t="str">
        <f t="shared" si="55"/>
        <v/>
      </c>
    </row>
    <row r="3399" spans="2:2" x14ac:dyDescent="0.2">
      <c r="B3399" t="str">
        <f t="shared" si="55"/>
        <v/>
      </c>
    </row>
    <row r="3400" spans="2:2" x14ac:dyDescent="0.2">
      <c r="B3400" t="str">
        <f t="shared" si="55"/>
        <v/>
      </c>
    </row>
    <row r="3401" spans="2:2" x14ac:dyDescent="0.2">
      <c r="B3401" t="str">
        <f t="shared" si="55"/>
        <v/>
      </c>
    </row>
    <row r="3402" spans="2:2" x14ac:dyDescent="0.2">
      <c r="B3402" t="str">
        <f t="shared" si="55"/>
        <v/>
      </c>
    </row>
    <row r="3403" spans="2:2" x14ac:dyDescent="0.2">
      <c r="B3403" t="str">
        <f t="shared" si="55"/>
        <v/>
      </c>
    </row>
    <row r="3404" spans="2:2" x14ac:dyDescent="0.2">
      <c r="B3404" t="str">
        <f t="shared" si="55"/>
        <v/>
      </c>
    </row>
    <row r="3405" spans="2:2" x14ac:dyDescent="0.2">
      <c r="B3405" t="str">
        <f t="shared" si="55"/>
        <v/>
      </c>
    </row>
    <row r="3406" spans="2:2" x14ac:dyDescent="0.2">
      <c r="B3406" t="str">
        <f t="shared" si="55"/>
        <v/>
      </c>
    </row>
    <row r="3407" spans="2:2" x14ac:dyDescent="0.2">
      <c r="B3407" t="str">
        <f t="shared" si="55"/>
        <v/>
      </c>
    </row>
    <row r="3408" spans="2:2" x14ac:dyDescent="0.2">
      <c r="B3408" t="str">
        <f t="shared" si="55"/>
        <v/>
      </c>
    </row>
    <row r="3409" spans="2:2" x14ac:dyDescent="0.2">
      <c r="B3409" t="str">
        <f t="shared" si="55"/>
        <v/>
      </c>
    </row>
    <row r="3410" spans="2:2" x14ac:dyDescent="0.2">
      <c r="B3410" t="str">
        <f t="shared" si="55"/>
        <v/>
      </c>
    </row>
    <row r="3411" spans="2:2" x14ac:dyDescent="0.2">
      <c r="B3411" t="str">
        <f t="shared" si="55"/>
        <v/>
      </c>
    </row>
    <row r="3412" spans="2:2" x14ac:dyDescent="0.2">
      <c r="B3412" t="str">
        <f t="shared" si="55"/>
        <v/>
      </c>
    </row>
    <row r="3413" spans="2:2" x14ac:dyDescent="0.2">
      <c r="B3413" t="str">
        <f t="shared" si="55"/>
        <v/>
      </c>
    </row>
    <row r="3414" spans="2:2" x14ac:dyDescent="0.2">
      <c r="B3414" t="str">
        <f t="shared" si="55"/>
        <v/>
      </c>
    </row>
    <row r="3415" spans="2:2" x14ac:dyDescent="0.2">
      <c r="B3415" t="str">
        <f t="shared" si="55"/>
        <v/>
      </c>
    </row>
    <row r="3416" spans="2:2" x14ac:dyDescent="0.2">
      <c r="B3416" t="str">
        <f t="shared" si="55"/>
        <v/>
      </c>
    </row>
    <row r="3417" spans="2:2" x14ac:dyDescent="0.2">
      <c r="B3417" t="str">
        <f t="shared" si="55"/>
        <v/>
      </c>
    </row>
    <row r="3418" spans="2:2" x14ac:dyDescent="0.2">
      <c r="B3418" t="str">
        <f t="shared" si="55"/>
        <v/>
      </c>
    </row>
    <row r="3419" spans="2:2" x14ac:dyDescent="0.2">
      <c r="B3419" t="str">
        <f t="shared" si="55"/>
        <v/>
      </c>
    </row>
    <row r="3420" spans="2:2" x14ac:dyDescent="0.2">
      <c r="B3420" t="str">
        <f t="shared" si="55"/>
        <v/>
      </c>
    </row>
    <row r="3421" spans="2:2" x14ac:dyDescent="0.2">
      <c r="B3421" t="str">
        <f t="shared" si="55"/>
        <v/>
      </c>
    </row>
    <row r="3422" spans="2:2" x14ac:dyDescent="0.2">
      <c r="B3422" t="str">
        <f t="shared" si="55"/>
        <v/>
      </c>
    </row>
    <row r="3423" spans="2:2" x14ac:dyDescent="0.2">
      <c r="B3423" t="str">
        <f t="shared" si="55"/>
        <v/>
      </c>
    </row>
    <row r="3424" spans="2:2" x14ac:dyDescent="0.2">
      <c r="B3424" t="str">
        <f t="shared" si="55"/>
        <v/>
      </c>
    </row>
    <row r="3425" spans="2:2" x14ac:dyDescent="0.2">
      <c r="B3425" t="str">
        <f t="shared" si="55"/>
        <v/>
      </c>
    </row>
    <row r="3426" spans="2:2" x14ac:dyDescent="0.2">
      <c r="B3426" t="str">
        <f t="shared" si="55"/>
        <v/>
      </c>
    </row>
    <row r="3427" spans="2:2" x14ac:dyDescent="0.2">
      <c r="B3427" t="str">
        <f t="shared" si="55"/>
        <v/>
      </c>
    </row>
    <row r="3428" spans="2:2" x14ac:dyDescent="0.2">
      <c r="B3428" t="str">
        <f t="shared" si="55"/>
        <v/>
      </c>
    </row>
    <row r="3429" spans="2:2" x14ac:dyDescent="0.2">
      <c r="B3429" t="str">
        <f t="shared" si="55"/>
        <v/>
      </c>
    </row>
    <row r="3430" spans="2:2" x14ac:dyDescent="0.2">
      <c r="B3430" t="str">
        <f t="shared" si="55"/>
        <v/>
      </c>
    </row>
    <row r="3431" spans="2:2" x14ac:dyDescent="0.2">
      <c r="B3431" t="str">
        <f t="shared" si="55"/>
        <v/>
      </c>
    </row>
    <row r="3432" spans="2:2" x14ac:dyDescent="0.2">
      <c r="B3432" t="str">
        <f t="shared" si="55"/>
        <v/>
      </c>
    </row>
    <row r="3433" spans="2:2" x14ac:dyDescent="0.2">
      <c r="B3433" t="str">
        <f t="shared" si="55"/>
        <v/>
      </c>
    </row>
    <row r="3434" spans="2:2" x14ac:dyDescent="0.2">
      <c r="B3434" t="str">
        <f t="shared" si="55"/>
        <v/>
      </c>
    </row>
    <row r="3435" spans="2:2" x14ac:dyDescent="0.2">
      <c r="B3435" t="str">
        <f t="shared" si="55"/>
        <v/>
      </c>
    </row>
    <row r="3436" spans="2:2" x14ac:dyDescent="0.2">
      <c r="B3436" t="str">
        <f t="shared" si="55"/>
        <v/>
      </c>
    </row>
    <row r="3437" spans="2:2" x14ac:dyDescent="0.2">
      <c r="B3437" t="str">
        <f t="shared" si="55"/>
        <v/>
      </c>
    </row>
    <row r="3438" spans="2:2" x14ac:dyDescent="0.2">
      <c r="B3438" t="str">
        <f t="shared" si="55"/>
        <v/>
      </c>
    </row>
    <row r="3439" spans="2:2" x14ac:dyDescent="0.2">
      <c r="B3439" t="str">
        <f t="shared" si="55"/>
        <v/>
      </c>
    </row>
    <row r="3440" spans="2:2" x14ac:dyDescent="0.2">
      <c r="B3440" t="str">
        <f t="shared" si="55"/>
        <v/>
      </c>
    </row>
    <row r="3441" spans="2:2" x14ac:dyDescent="0.2">
      <c r="B3441" t="str">
        <f t="shared" si="55"/>
        <v/>
      </c>
    </row>
    <row r="3442" spans="2:2" x14ac:dyDescent="0.2">
      <c r="B3442" t="str">
        <f t="shared" si="55"/>
        <v/>
      </c>
    </row>
    <row r="3443" spans="2:2" x14ac:dyDescent="0.2">
      <c r="B3443" t="str">
        <f t="shared" si="55"/>
        <v/>
      </c>
    </row>
    <row r="3444" spans="2:2" x14ac:dyDescent="0.2">
      <c r="B3444" t="str">
        <f t="shared" si="55"/>
        <v/>
      </c>
    </row>
    <row r="3445" spans="2:2" x14ac:dyDescent="0.2">
      <c r="B3445" t="str">
        <f t="shared" si="55"/>
        <v/>
      </c>
    </row>
    <row r="3446" spans="2:2" x14ac:dyDescent="0.2">
      <c r="B3446" t="str">
        <f t="shared" si="55"/>
        <v/>
      </c>
    </row>
    <row r="3447" spans="2:2" x14ac:dyDescent="0.2">
      <c r="B3447" t="str">
        <f t="shared" si="55"/>
        <v/>
      </c>
    </row>
    <row r="3448" spans="2:2" x14ac:dyDescent="0.2">
      <c r="B3448" t="str">
        <f t="shared" si="55"/>
        <v/>
      </c>
    </row>
    <row r="3449" spans="2:2" x14ac:dyDescent="0.2">
      <c r="B3449" t="str">
        <f t="shared" si="55"/>
        <v/>
      </c>
    </row>
    <row r="3450" spans="2:2" x14ac:dyDescent="0.2">
      <c r="B3450" t="str">
        <f t="shared" si="55"/>
        <v/>
      </c>
    </row>
    <row r="3451" spans="2:2" x14ac:dyDescent="0.2">
      <c r="B3451" t="str">
        <f t="shared" si="55"/>
        <v/>
      </c>
    </row>
    <row r="3452" spans="2:2" x14ac:dyDescent="0.2">
      <c r="B3452" t="str">
        <f t="shared" si="55"/>
        <v/>
      </c>
    </row>
    <row r="3453" spans="2:2" x14ac:dyDescent="0.2">
      <c r="B3453" t="str">
        <f t="shared" si="55"/>
        <v/>
      </c>
    </row>
    <row r="3454" spans="2:2" x14ac:dyDescent="0.2">
      <c r="B3454" t="str">
        <f t="shared" si="55"/>
        <v/>
      </c>
    </row>
    <row r="3455" spans="2:2" x14ac:dyDescent="0.2">
      <c r="B3455" t="str">
        <f t="shared" si="55"/>
        <v/>
      </c>
    </row>
    <row r="3456" spans="2:2" x14ac:dyDescent="0.2">
      <c r="B3456" t="str">
        <f t="shared" si="55"/>
        <v/>
      </c>
    </row>
    <row r="3457" spans="2:2" x14ac:dyDescent="0.2">
      <c r="B3457" t="str">
        <f t="shared" si="55"/>
        <v/>
      </c>
    </row>
    <row r="3458" spans="2:2" x14ac:dyDescent="0.2">
      <c r="B3458" t="str">
        <f t="shared" si="55"/>
        <v/>
      </c>
    </row>
    <row r="3459" spans="2:2" x14ac:dyDescent="0.2">
      <c r="B3459" t="str">
        <f t="shared" si="55"/>
        <v/>
      </c>
    </row>
    <row r="3460" spans="2:2" x14ac:dyDescent="0.2">
      <c r="B3460" t="str">
        <f t="shared" si="55"/>
        <v/>
      </c>
    </row>
    <row r="3461" spans="2:2" x14ac:dyDescent="0.2">
      <c r="B3461" t="str">
        <f t="shared" ref="B3461:B3524" si="56">D3461&amp;I3461</f>
        <v/>
      </c>
    </row>
    <row r="3462" spans="2:2" x14ac:dyDescent="0.2">
      <c r="B3462" t="str">
        <f t="shared" si="56"/>
        <v/>
      </c>
    </row>
    <row r="3463" spans="2:2" x14ac:dyDescent="0.2">
      <c r="B3463" t="str">
        <f t="shared" si="56"/>
        <v/>
      </c>
    </row>
    <row r="3464" spans="2:2" x14ac:dyDescent="0.2">
      <c r="B3464" t="str">
        <f t="shared" si="56"/>
        <v/>
      </c>
    </row>
    <row r="3465" spans="2:2" x14ac:dyDescent="0.2">
      <c r="B3465" t="str">
        <f t="shared" si="56"/>
        <v/>
      </c>
    </row>
    <row r="3466" spans="2:2" x14ac:dyDescent="0.2">
      <c r="B3466" t="str">
        <f t="shared" si="56"/>
        <v/>
      </c>
    </row>
    <row r="3467" spans="2:2" x14ac:dyDescent="0.2">
      <c r="B3467" t="str">
        <f t="shared" si="56"/>
        <v/>
      </c>
    </row>
    <row r="3468" spans="2:2" x14ac:dyDescent="0.2">
      <c r="B3468" t="str">
        <f t="shared" si="56"/>
        <v/>
      </c>
    </row>
    <row r="3469" spans="2:2" x14ac:dyDescent="0.2">
      <c r="B3469" t="str">
        <f t="shared" si="56"/>
        <v/>
      </c>
    </row>
    <row r="3470" spans="2:2" x14ac:dyDescent="0.2">
      <c r="B3470" t="str">
        <f t="shared" si="56"/>
        <v/>
      </c>
    </row>
    <row r="3471" spans="2:2" x14ac:dyDescent="0.2">
      <c r="B3471" t="str">
        <f t="shared" si="56"/>
        <v/>
      </c>
    </row>
    <row r="3472" spans="2:2" x14ac:dyDescent="0.2">
      <c r="B3472" t="str">
        <f t="shared" si="56"/>
        <v/>
      </c>
    </row>
    <row r="3473" spans="2:2" x14ac:dyDescent="0.2">
      <c r="B3473" t="str">
        <f t="shared" si="56"/>
        <v/>
      </c>
    </row>
    <row r="3474" spans="2:2" x14ac:dyDescent="0.2">
      <c r="B3474" t="str">
        <f t="shared" si="56"/>
        <v/>
      </c>
    </row>
    <row r="3475" spans="2:2" x14ac:dyDescent="0.2">
      <c r="B3475" t="str">
        <f t="shared" si="56"/>
        <v/>
      </c>
    </row>
    <row r="3476" spans="2:2" x14ac:dyDescent="0.2">
      <c r="B3476" t="str">
        <f t="shared" si="56"/>
        <v/>
      </c>
    </row>
    <row r="3477" spans="2:2" x14ac:dyDescent="0.2">
      <c r="B3477" t="str">
        <f t="shared" si="56"/>
        <v/>
      </c>
    </row>
    <row r="3478" spans="2:2" x14ac:dyDescent="0.2">
      <c r="B3478" t="str">
        <f t="shared" si="56"/>
        <v/>
      </c>
    </row>
    <row r="3479" spans="2:2" x14ac:dyDescent="0.2">
      <c r="B3479" t="str">
        <f t="shared" si="56"/>
        <v/>
      </c>
    </row>
    <row r="3480" spans="2:2" x14ac:dyDescent="0.2">
      <c r="B3480" t="str">
        <f t="shared" si="56"/>
        <v/>
      </c>
    </row>
    <row r="3481" spans="2:2" x14ac:dyDescent="0.2">
      <c r="B3481" t="str">
        <f t="shared" si="56"/>
        <v/>
      </c>
    </row>
    <row r="3482" spans="2:2" x14ac:dyDescent="0.2">
      <c r="B3482" t="str">
        <f t="shared" si="56"/>
        <v/>
      </c>
    </row>
    <row r="3483" spans="2:2" x14ac:dyDescent="0.2">
      <c r="B3483" t="str">
        <f t="shared" si="56"/>
        <v/>
      </c>
    </row>
    <row r="3484" spans="2:2" x14ac:dyDescent="0.2">
      <c r="B3484" t="str">
        <f t="shared" si="56"/>
        <v/>
      </c>
    </row>
    <row r="3485" spans="2:2" x14ac:dyDescent="0.2">
      <c r="B3485" t="str">
        <f t="shared" si="56"/>
        <v/>
      </c>
    </row>
    <row r="3486" spans="2:2" x14ac:dyDescent="0.2">
      <c r="B3486" t="str">
        <f t="shared" si="56"/>
        <v/>
      </c>
    </row>
    <row r="3487" spans="2:2" x14ac:dyDescent="0.2">
      <c r="B3487" t="str">
        <f t="shared" si="56"/>
        <v/>
      </c>
    </row>
    <row r="3488" spans="2:2" x14ac:dyDescent="0.2">
      <c r="B3488" t="str">
        <f t="shared" si="56"/>
        <v/>
      </c>
    </row>
    <row r="3489" spans="2:2" x14ac:dyDescent="0.2">
      <c r="B3489" t="str">
        <f t="shared" si="56"/>
        <v/>
      </c>
    </row>
    <row r="3490" spans="2:2" x14ac:dyDescent="0.2">
      <c r="B3490" t="str">
        <f t="shared" si="56"/>
        <v/>
      </c>
    </row>
    <row r="3491" spans="2:2" x14ac:dyDescent="0.2">
      <c r="B3491" t="str">
        <f t="shared" si="56"/>
        <v/>
      </c>
    </row>
    <row r="3492" spans="2:2" x14ac:dyDescent="0.2">
      <c r="B3492" t="str">
        <f t="shared" si="56"/>
        <v/>
      </c>
    </row>
    <row r="3493" spans="2:2" x14ac:dyDescent="0.2">
      <c r="B3493" t="str">
        <f t="shared" si="56"/>
        <v/>
      </c>
    </row>
    <row r="3494" spans="2:2" x14ac:dyDescent="0.2">
      <c r="B3494" t="str">
        <f t="shared" si="56"/>
        <v/>
      </c>
    </row>
    <row r="3495" spans="2:2" x14ac:dyDescent="0.2">
      <c r="B3495" t="str">
        <f t="shared" si="56"/>
        <v/>
      </c>
    </row>
    <row r="3496" spans="2:2" x14ac:dyDescent="0.2">
      <c r="B3496" t="str">
        <f t="shared" si="56"/>
        <v/>
      </c>
    </row>
    <row r="3497" spans="2:2" x14ac:dyDescent="0.2">
      <c r="B3497" t="str">
        <f t="shared" si="56"/>
        <v/>
      </c>
    </row>
    <row r="3498" spans="2:2" x14ac:dyDescent="0.2">
      <c r="B3498" t="str">
        <f t="shared" si="56"/>
        <v/>
      </c>
    </row>
    <row r="3499" spans="2:2" x14ac:dyDescent="0.2">
      <c r="B3499" t="str">
        <f t="shared" si="56"/>
        <v/>
      </c>
    </row>
    <row r="3500" spans="2:2" x14ac:dyDescent="0.2">
      <c r="B3500" t="str">
        <f t="shared" si="56"/>
        <v/>
      </c>
    </row>
    <row r="3501" spans="2:2" x14ac:dyDescent="0.2">
      <c r="B3501" t="str">
        <f t="shared" si="56"/>
        <v/>
      </c>
    </row>
    <row r="3502" spans="2:2" x14ac:dyDescent="0.2">
      <c r="B3502" t="str">
        <f t="shared" si="56"/>
        <v/>
      </c>
    </row>
    <row r="3503" spans="2:2" x14ac:dyDescent="0.2">
      <c r="B3503" t="str">
        <f t="shared" si="56"/>
        <v/>
      </c>
    </row>
    <row r="3504" spans="2:2" x14ac:dyDescent="0.2">
      <c r="B3504" t="str">
        <f t="shared" si="56"/>
        <v/>
      </c>
    </row>
    <row r="3505" spans="2:2" x14ac:dyDescent="0.2">
      <c r="B3505" t="str">
        <f t="shared" si="56"/>
        <v/>
      </c>
    </row>
    <row r="3506" spans="2:2" x14ac:dyDescent="0.2">
      <c r="B3506" t="str">
        <f t="shared" si="56"/>
        <v/>
      </c>
    </row>
    <row r="3507" spans="2:2" x14ac:dyDescent="0.2">
      <c r="B3507" t="str">
        <f t="shared" si="56"/>
        <v/>
      </c>
    </row>
    <row r="3508" spans="2:2" x14ac:dyDescent="0.2">
      <c r="B3508" t="str">
        <f t="shared" si="56"/>
        <v/>
      </c>
    </row>
    <row r="3509" spans="2:2" x14ac:dyDescent="0.2">
      <c r="B3509" t="str">
        <f t="shared" si="56"/>
        <v/>
      </c>
    </row>
    <row r="3510" spans="2:2" x14ac:dyDescent="0.2">
      <c r="B3510" t="str">
        <f t="shared" si="56"/>
        <v/>
      </c>
    </row>
    <row r="3511" spans="2:2" x14ac:dyDescent="0.2">
      <c r="B3511" t="str">
        <f t="shared" si="56"/>
        <v/>
      </c>
    </row>
    <row r="3512" spans="2:2" x14ac:dyDescent="0.2">
      <c r="B3512" t="str">
        <f t="shared" si="56"/>
        <v/>
      </c>
    </row>
    <row r="3513" spans="2:2" x14ac:dyDescent="0.2">
      <c r="B3513" t="str">
        <f t="shared" si="56"/>
        <v/>
      </c>
    </row>
    <row r="3514" spans="2:2" x14ac:dyDescent="0.2">
      <c r="B3514" t="str">
        <f t="shared" si="56"/>
        <v/>
      </c>
    </row>
    <row r="3515" spans="2:2" x14ac:dyDescent="0.2">
      <c r="B3515" t="str">
        <f t="shared" si="56"/>
        <v/>
      </c>
    </row>
    <row r="3516" spans="2:2" x14ac:dyDescent="0.2">
      <c r="B3516" t="str">
        <f t="shared" si="56"/>
        <v/>
      </c>
    </row>
    <row r="3517" spans="2:2" x14ac:dyDescent="0.2">
      <c r="B3517" t="str">
        <f t="shared" si="56"/>
        <v/>
      </c>
    </row>
    <row r="3518" spans="2:2" x14ac:dyDescent="0.2">
      <c r="B3518" t="str">
        <f t="shared" si="56"/>
        <v/>
      </c>
    </row>
    <row r="3519" spans="2:2" x14ac:dyDescent="0.2">
      <c r="B3519" t="str">
        <f t="shared" si="56"/>
        <v/>
      </c>
    </row>
    <row r="3520" spans="2:2" x14ac:dyDescent="0.2">
      <c r="B3520" t="str">
        <f t="shared" si="56"/>
        <v/>
      </c>
    </row>
    <row r="3521" spans="2:2" x14ac:dyDescent="0.2">
      <c r="B3521" t="str">
        <f t="shared" si="56"/>
        <v/>
      </c>
    </row>
    <row r="3522" spans="2:2" x14ac:dyDescent="0.2">
      <c r="B3522" t="str">
        <f t="shared" si="56"/>
        <v/>
      </c>
    </row>
    <row r="3523" spans="2:2" x14ac:dyDescent="0.2">
      <c r="B3523" t="str">
        <f t="shared" si="56"/>
        <v/>
      </c>
    </row>
    <row r="3524" spans="2:2" x14ac:dyDescent="0.2">
      <c r="B3524" t="str">
        <f t="shared" si="56"/>
        <v/>
      </c>
    </row>
    <row r="3525" spans="2:2" x14ac:dyDescent="0.2">
      <c r="B3525" t="str">
        <f t="shared" ref="B3525:B3588" si="57">D3525&amp;I3525</f>
        <v/>
      </c>
    </row>
    <row r="3526" spans="2:2" x14ac:dyDescent="0.2">
      <c r="B3526" t="str">
        <f t="shared" si="57"/>
        <v/>
      </c>
    </row>
    <row r="3527" spans="2:2" x14ac:dyDescent="0.2">
      <c r="B3527" t="str">
        <f t="shared" si="57"/>
        <v/>
      </c>
    </row>
    <row r="3528" spans="2:2" x14ac:dyDescent="0.2">
      <c r="B3528" t="str">
        <f t="shared" si="57"/>
        <v/>
      </c>
    </row>
    <row r="3529" spans="2:2" x14ac:dyDescent="0.2">
      <c r="B3529" t="str">
        <f t="shared" si="57"/>
        <v/>
      </c>
    </row>
    <row r="3530" spans="2:2" x14ac:dyDescent="0.2">
      <c r="B3530" t="str">
        <f t="shared" si="57"/>
        <v/>
      </c>
    </row>
    <row r="3531" spans="2:2" x14ac:dyDescent="0.2">
      <c r="B3531" t="str">
        <f t="shared" si="57"/>
        <v/>
      </c>
    </row>
    <row r="3532" spans="2:2" x14ac:dyDescent="0.2">
      <c r="B3532" t="str">
        <f t="shared" si="57"/>
        <v/>
      </c>
    </row>
    <row r="3533" spans="2:2" x14ac:dyDescent="0.2">
      <c r="B3533" t="str">
        <f t="shared" si="57"/>
        <v/>
      </c>
    </row>
    <row r="3534" spans="2:2" x14ac:dyDescent="0.2">
      <c r="B3534" t="str">
        <f t="shared" si="57"/>
        <v/>
      </c>
    </row>
    <row r="3535" spans="2:2" x14ac:dyDescent="0.2">
      <c r="B3535" t="str">
        <f t="shared" si="57"/>
        <v/>
      </c>
    </row>
    <row r="3536" spans="2:2" x14ac:dyDescent="0.2">
      <c r="B3536" t="str">
        <f t="shared" si="57"/>
        <v/>
      </c>
    </row>
    <row r="3537" spans="2:2" x14ac:dyDescent="0.2">
      <c r="B3537" t="str">
        <f t="shared" si="57"/>
        <v/>
      </c>
    </row>
    <row r="3538" spans="2:2" x14ac:dyDescent="0.2">
      <c r="B3538" t="str">
        <f t="shared" si="57"/>
        <v/>
      </c>
    </row>
    <row r="3539" spans="2:2" x14ac:dyDescent="0.2">
      <c r="B3539" t="str">
        <f t="shared" si="57"/>
        <v/>
      </c>
    </row>
    <row r="3540" spans="2:2" x14ac:dyDescent="0.2">
      <c r="B3540" t="str">
        <f t="shared" si="57"/>
        <v/>
      </c>
    </row>
    <row r="3541" spans="2:2" x14ac:dyDescent="0.2">
      <c r="B3541" t="str">
        <f t="shared" si="57"/>
        <v/>
      </c>
    </row>
    <row r="3542" spans="2:2" x14ac:dyDescent="0.2">
      <c r="B3542" t="str">
        <f t="shared" si="57"/>
        <v/>
      </c>
    </row>
    <row r="3543" spans="2:2" x14ac:dyDescent="0.2">
      <c r="B3543" t="str">
        <f t="shared" si="57"/>
        <v/>
      </c>
    </row>
    <row r="3544" spans="2:2" x14ac:dyDescent="0.2">
      <c r="B3544" t="str">
        <f t="shared" si="57"/>
        <v/>
      </c>
    </row>
    <row r="3545" spans="2:2" x14ac:dyDescent="0.2">
      <c r="B3545" t="str">
        <f t="shared" si="57"/>
        <v/>
      </c>
    </row>
    <row r="3546" spans="2:2" x14ac:dyDescent="0.2">
      <c r="B3546" t="str">
        <f t="shared" si="57"/>
        <v/>
      </c>
    </row>
    <row r="3547" spans="2:2" x14ac:dyDescent="0.2">
      <c r="B3547" t="str">
        <f t="shared" si="57"/>
        <v/>
      </c>
    </row>
    <row r="3548" spans="2:2" x14ac:dyDescent="0.2">
      <c r="B3548" t="str">
        <f t="shared" si="57"/>
        <v/>
      </c>
    </row>
    <row r="3549" spans="2:2" x14ac:dyDescent="0.2">
      <c r="B3549" t="str">
        <f t="shared" si="57"/>
        <v/>
      </c>
    </row>
    <row r="3550" spans="2:2" x14ac:dyDescent="0.2">
      <c r="B3550" t="str">
        <f t="shared" si="57"/>
        <v/>
      </c>
    </row>
    <row r="3551" spans="2:2" x14ac:dyDescent="0.2">
      <c r="B3551" t="str">
        <f t="shared" si="57"/>
        <v/>
      </c>
    </row>
    <row r="3552" spans="2:2" x14ac:dyDescent="0.2">
      <c r="B3552" t="str">
        <f t="shared" si="57"/>
        <v/>
      </c>
    </row>
    <row r="3553" spans="2:2" x14ac:dyDescent="0.2">
      <c r="B3553" t="str">
        <f t="shared" si="57"/>
        <v/>
      </c>
    </row>
    <row r="3554" spans="2:2" x14ac:dyDescent="0.2">
      <c r="B3554" t="str">
        <f t="shared" si="57"/>
        <v/>
      </c>
    </row>
    <row r="3555" spans="2:2" x14ac:dyDescent="0.2">
      <c r="B3555" t="str">
        <f t="shared" si="57"/>
        <v/>
      </c>
    </row>
    <row r="3556" spans="2:2" x14ac:dyDescent="0.2">
      <c r="B3556" t="str">
        <f t="shared" si="57"/>
        <v/>
      </c>
    </row>
    <row r="3557" spans="2:2" x14ac:dyDescent="0.2">
      <c r="B3557" t="str">
        <f t="shared" si="57"/>
        <v/>
      </c>
    </row>
    <row r="3558" spans="2:2" x14ac:dyDescent="0.2">
      <c r="B3558" t="str">
        <f t="shared" si="57"/>
        <v/>
      </c>
    </row>
    <row r="3559" spans="2:2" x14ac:dyDescent="0.2">
      <c r="B3559" t="str">
        <f t="shared" si="57"/>
        <v/>
      </c>
    </row>
    <row r="3560" spans="2:2" x14ac:dyDescent="0.2">
      <c r="B3560" t="str">
        <f t="shared" si="57"/>
        <v/>
      </c>
    </row>
    <row r="3561" spans="2:2" x14ac:dyDescent="0.2">
      <c r="B3561" t="str">
        <f t="shared" si="57"/>
        <v/>
      </c>
    </row>
    <row r="3562" spans="2:2" x14ac:dyDescent="0.2">
      <c r="B3562" t="str">
        <f t="shared" si="57"/>
        <v/>
      </c>
    </row>
    <row r="3563" spans="2:2" x14ac:dyDescent="0.2">
      <c r="B3563" t="str">
        <f t="shared" si="57"/>
        <v/>
      </c>
    </row>
    <row r="3564" spans="2:2" x14ac:dyDescent="0.2">
      <c r="B3564" t="str">
        <f t="shared" si="57"/>
        <v/>
      </c>
    </row>
    <row r="3565" spans="2:2" x14ac:dyDescent="0.2">
      <c r="B3565" t="str">
        <f t="shared" si="57"/>
        <v/>
      </c>
    </row>
    <row r="3566" spans="2:2" x14ac:dyDescent="0.2">
      <c r="B3566" t="str">
        <f t="shared" si="57"/>
        <v/>
      </c>
    </row>
    <row r="3567" spans="2:2" x14ac:dyDescent="0.2">
      <c r="B3567" t="str">
        <f t="shared" si="57"/>
        <v/>
      </c>
    </row>
    <row r="3568" spans="2:2" x14ac:dyDescent="0.2">
      <c r="B3568" t="str">
        <f t="shared" si="57"/>
        <v/>
      </c>
    </row>
    <row r="3569" spans="2:2" x14ac:dyDescent="0.2">
      <c r="B3569" t="str">
        <f t="shared" si="57"/>
        <v/>
      </c>
    </row>
    <row r="3570" spans="2:2" x14ac:dyDescent="0.2">
      <c r="B3570" t="str">
        <f t="shared" si="57"/>
        <v/>
      </c>
    </row>
    <row r="3571" spans="2:2" x14ac:dyDescent="0.2">
      <c r="B3571" t="str">
        <f t="shared" si="57"/>
        <v/>
      </c>
    </row>
    <row r="3572" spans="2:2" x14ac:dyDescent="0.2">
      <c r="B3572" t="str">
        <f t="shared" si="57"/>
        <v/>
      </c>
    </row>
    <row r="3573" spans="2:2" x14ac:dyDescent="0.2">
      <c r="B3573" t="str">
        <f t="shared" si="57"/>
        <v/>
      </c>
    </row>
    <row r="3574" spans="2:2" x14ac:dyDescent="0.2">
      <c r="B3574" t="str">
        <f t="shared" si="57"/>
        <v/>
      </c>
    </row>
    <row r="3575" spans="2:2" x14ac:dyDescent="0.2">
      <c r="B3575" t="str">
        <f t="shared" si="57"/>
        <v/>
      </c>
    </row>
    <row r="3576" spans="2:2" x14ac:dyDescent="0.2">
      <c r="B3576" t="str">
        <f t="shared" si="57"/>
        <v/>
      </c>
    </row>
    <row r="3577" spans="2:2" x14ac:dyDescent="0.2">
      <c r="B3577" t="str">
        <f t="shared" si="57"/>
        <v/>
      </c>
    </row>
    <row r="3578" spans="2:2" x14ac:dyDescent="0.2">
      <c r="B3578" t="str">
        <f t="shared" si="57"/>
        <v/>
      </c>
    </row>
    <row r="3579" spans="2:2" x14ac:dyDescent="0.2">
      <c r="B3579" t="str">
        <f t="shared" si="57"/>
        <v/>
      </c>
    </row>
    <row r="3580" spans="2:2" x14ac:dyDescent="0.2">
      <c r="B3580" t="str">
        <f t="shared" si="57"/>
        <v/>
      </c>
    </row>
    <row r="3581" spans="2:2" x14ac:dyDescent="0.2">
      <c r="B3581" t="str">
        <f t="shared" si="57"/>
        <v/>
      </c>
    </row>
    <row r="3582" spans="2:2" x14ac:dyDescent="0.2">
      <c r="B3582" t="str">
        <f t="shared" si="57"/>
        <v/>
      </c>
    </row>
    <row r="3583" spans="2:2" x14ac:dyDescent="0.2">
      <c r="B3583" t="str">
        <f t="shared" si="57"/>
        <v/>
      </c>
    </row>
    <row r="3584" spans="2:2" x14ac:dyDescent="0.2">
      <c r="B3584" t="str">
        <f t="shared" si="57"/>
        <v/>
      </c>
    </row>
    <row r="3585" spans="2:2" x14ac:dyDescent="0.2">
      <c r="B3585" t="str">
        <f t="shared" si="57"/>
        <v/>
      </c>
    </row>
    <row r="3586" spans="2:2" x14ac:dyDescent="0.2">
      <c r="B3586" t="str">
        <f t="shared" si="57"/>
        <v/>
      </c>
    </row>
    <row r="3587" spans="2:2" x14ac:dyDescent="0.2">
      <c r="B3587" t="str">
        <f t="shared" si="57"/>
        <v/>
      </c>
    </row>
    <row r="3588" spans="2:2" x14ac:dyDescent="0.2">
      <c r="B3588" t="str">
        <f t="shared" si="57"/>
        <v/>
      </c>
    </row>
    <row r="3589" spans="2:2" x14ac:dyDescent="0.2">
      <c r="B3589" t="str">
        <f t="shared" ref="B3589:B3652" si="58">D3589&amp;I3589</f>
        <v/>
      </c>
    </row>
    <row r="3590" spans="2:2" x14ac:dyDescent="0.2">
      <c r="B3590" t="str">
        <f t="shared" si="58"/>
        <v/>
      </c>
    </row>
    <row r="3591" spans="2:2" x14ac:dyDescent="0.2">
      <c r="B3591" t="str">
        <f t="shared" si="58"/>
        <v/>
      </c>
    </row>
    <row r="3592" spans="2:2" x14ac:dyDescent="0.2">
      <c r="B3592" t="str">
        <f t="shared" si="58"/>
        <v/>
      </c>
    </row>
    <row r="3593" spans="2:2" x14ac:dyDescent="0.2">
      <c r="B3593" t="str">
        <f t="shared" si="58"/>
        <v/>
      </c>
    </row>
    <row r="3594" spans="2:2" x14ac:dyDescent="0.2">
      <c r="B3594" t="str">
        <f t="shared" si="58"/>
        <v/>
      </c>
    </row>
    <row r="3595" spans="2:2" x14ac:dyDescent="0.2">
      <c r="B3595" t="str">
        <f t="shared" si="58"/>
        <v/>
      </c>
    </row>
    <row r="3596" spans="2:2" x14ac:dyDescent="0.2">
      <c r="B3596" t="str">
        <f t="shared" si="58"/>
        <v/>
      </c>
    </row>
    <row r="3597" spans="2:2" x14ac:dyDescent="0.2">
      <c r="B3597" t="str">
        <f t="shared" si="58"/>
        <v/>
      </c>
    </row>
    <row r="3598" spans="2:2" x14ac:dyDescent="0.2">
      <c r="B3598" t="str">
        <f t="shared" si="58"/>
        <v/>
      </c>
    </row>
    <row r="3599" spans="2:2" x14ac:dyDescent="0.2">
      <c r="B3599" t="str">
        <f t="shared" si="58"/>
        <v/>
      </c>
    </row>
    <row r="3600" spans="2:2" x14ac:dyDescent="0.2">
      <c r="B3600" t="str">
        <f t="shared" si="58"/>
        <v/>
      </c>
    </row>
    <row r="3601" spans="2:2" x14ac:dyDescent="0.2">
      <c r="B3601" t="str">
        <f t="shared" si="58"/>
        <v/>
      </c>
    </row>
    <row r="3602" spans="2:2" x14ac:dyDescent="0.2">
      <c r="B3602" t="str">
        <f t="shared" si="58"/>
        <v/>
      </c>
    </row>
    <row r="3603" spans="2:2" x14ac:dyDescent="0.2">
      <c r="B3603" t="str">
        <f t="shared" si="58"/>
        <v/>
      </c>
    </row>
    <row r="3604" spans="2:2" x14ac:dyDescent="0.2">
      <c r="B3604" t="str">
        <f t="shared" si="58"/>
        <v/>
      </c>
    </row>
    <row r="3605" spans="2:2" x14ac:dyDescent="0.2">
      <c r="B3605" t="str">
        <f t="shared" si="58"/>
        <v/>
      </c>
    </row>
    <row r="3606" spans="2:2" x14ac:dyDescent="0.2">
      <c r="B3606" t="str">
        <f t="shared" si="58"/>
        <v/>
      </c>
    </row>
    <row r="3607" spans="2:2" x14ac:dyDescent="0.2">
      <c r="B3607" t="str">
        <f t="shared" si="58"/>
        <v/>
      </c>
    </row>
    <row r="3608" spans="2:2" x14ac:dyDescent="0.2">
      <c r="B3608" t="str">
        <f t="shared" si="58"/>
        <v/>
      </c>
    </row>
    <row r="3609" spans="2:2" x14ac:dyDescent="0.2">
      <c r="B3609" t="str">
        <f t="shared" si="58"/>
        <v/>
      </c>
    </row>
    <row r="3610" spans="2:2" x14ac:dyDescent="0.2">
      <c r="B3610" t="str">
        <f t="shared" si="58"/>
        <v/>
      </c>
    </row>
    <row r="3611" spans="2:2" x14ac:dyDescent="0.2">
      <c r="B3611" t="str">
        <f t="shared" si="58"/>
        <v/>
      </c>
    </row>
    <row r="3612" spans="2:2" x14ac:dyDescent="0.2">
      <c r="B3612" t="str">
        <f t="shared" si="58"/>
        <v/>
      </c>
    </row>
    <row r="3613" spans="2:2" x14ac:dyDescent="0.2">
      <c r="B3613" t="str">
        <f t="shared" si="58"/>
        <v/>
      </c>
    </row>
    <row r="3614" spans="2:2" x14ac:dyDescent="0.2">
      <c r="B3614" t="str">
        <f t="shared" si="58"/>
        <v/>
      </c>
    </row>
    <row r="3615" spans="2:2" x14ac:dyDescent="0.2">
      <c r="B3615" t="str">
        <f t="shared" si="58"/>
        <v/>
      </c>
    </row>
    <row r="3616" spans="2:2" x14ac:dyDescent="0.2">
      <c r="B3616" t="str">
        <f t="shared" si="58"/>
        <v/>
      </c>
    </row>
    <row r="3617" spans="2:2" x14ac:dyDescent="0.2">
      <c r="B3617" t="str">
        <f t="shared" si="58"/>
        <v/>
      </c>
    </row>
    <row r="3618" spans="2:2" x14ac:dyDescent="0.2">
      <c r="B3618" t="str">
        <f t="shared" si="58"/>
        <v/>
      </c>
    </row>
    <row r="3619" spans="2:2" x14ac:dyDescent="0.2">
      <c r="B3619" t="str">
        <f t="shared" si="58"/>
        <v/>
      </c>
    </row>
    <row r="3620" spans="2:2" x14ac:dyDescent="0.2">
      <c r="B3620" t="str">
        <f t="shared" si="58"/>
        <v/>
      </c>
    </row>
    <row r="3621" spans="2:2" x14ac:dyDescent="0.2">
      <c r="B3621" t="str">
        <f t="shared" si="58"/>
        <v/>
      </c>
    </row>
    <row r="3622" spans="2:2" x14ac:dyDescent="0.2">
      <c r="B3622" t="str">
        <f t="shared" si="58"/>
        <v/>
      </c>
    </row>
    <row r="3623" spans="2:2" x14ac:dyDescent="0.2">
      <c r="B3623" t="str">
        <f t="shared" si="58"/>
        <v/>
      </c>
    </row>
    <row r="3624" spans="2:2" x14ac:dyDescent="0.2">
      <c r="B3624" t="str">
        <f t="shared" si="58"/>
        <v/>
      </c>
    </row>
    <row r="3625" spans="2:2" x14ac:dyDescent="0.2">
      <c r="B3625" t="str">
        <f t="shared" si="58"/>
        <v/>
      </c>
    </row>
    <row r="3626" spans="2:2" x14ac:dyDescent="0.2">
      <c r="B3626" t="str">
        <f t="shared" si="58"/>
        <v/>
      </c>
    </row>
    <row r="3627" spans="2:2" x14ac:dyDescent="0.2">
      <c r="B3627" t="str">
        <f t="shared" si="58"/>
        <v/>
      </c>
    </row>
    <row r="3628" spans="2:2" x14ac:dyDescent="0.2">
      <c r="B3628" t="str">
        <f t="shared" si="58"/>
        <v/>
      </c>
    </row>
    <row r="3629" spans="2:2" x14ac:dyDescent="0.2">
      <c r="B3629" t="str">
        <f t="shared" si="58"/>
        <v/>
      </c>
    </row>
    <row r="3630" spans="2:2" x14ac:dyDescent="0.2">
      <c r="B3630" t="str">
        <f t="shared" si="58"/>
        <v/>
      </c>
    </row>
    <row r="3631" spans="2:2" x14ac:dyDescent="0.2">
      <c r="B3631" t="str">
        <f t="shared" si="58"/>
        <v/>
      </c>
    </row>
    <row r="3632" spans="2:2" x14ac:dyDescent="0.2">
      <c r="B3632" t="str">
        <f t="shared" si="58"/>
        <v/>
      </c>
    </row>
    <row r="3633" spans="2:2" x14ac:dyDescent="0.2">
      <c r="B3633" t="str">
        <f t="shared" si="58"/>
        <v/>
      </c>
    </row>
    <row r="3634" spans="2:2" x14ac:dyDescent="0.2">
      <c r="B3634" t="str">
        <f t="shared" si="58"/>
        <v/>
      </c>
    </row>
    <row r="3635" spans="2:2" x14ac:dyDescent="0.2">
      <c r="B3635" t="str">
        <f t="shared" si="58"/>
        <v/>
      </c>
    </row>
    <row r="3636" spans="2:2" x14ac:dyDescent="0.2">
      <c r="B3636" t="str">
        <f t="shared" si="58"/>
        <v/>
      </c>
    </row>
    <row r="3637" spans="2:2" x14ac:dyDescent="0.2">
      <c r="B3637" t="str">
        <f t="shared" si="58"/>
        <v/>
      </c>
    </row>
    <row r="3638" spans="2:2" x14ac:dyDescent="0.2">
      <c r="B3638" t="str">
        <f t="shared" si="58"/>
        <v/>
      </c>
    </row>
    <row r="3639" spans="2:2" x14ac:dyDescent="0.2">
      <c r="B3639" t="str">
        <f t="shared" si="58"/>
        <v/>
      </c>
    </row>
    <row r="3640" spans="2:2" x14ac:dyDescent="0.2">
      <c r="B3640" t="str">
        <f t="shared" si="58"/>
        <v/>
      </c>
    </row>
    <row r="3641" spans="2:2" x14ac:dyDescent="0.2">
      <c r="B3641" t="str">
        <f t="shared" si="58"/>
        <v/>
      </c>
    </row>
    <row r="3642" spans="2:2" x14ac:dyDescent="0.2">
      <c r="B3642" t="str">
        <f t="shared" si="58"/>
        <v/>
      </c>
    </row>
    <row r="3643" spans="2:2" x14ac:dyDescent="0.2">
      <c r="B3643" t="str">
        <f t="shared" si="58"/>
        <v/>
      </c>
    </row>
    <row r="3644" spans="2:2" x14ac:dyDescent="0.2">
      <c r="B3644" t="str">
        <f t="shared" si="58"/>
        <v/>
      </c>
    </row>
    <row r="3645" spans="2:2" x14ac:dyDescent="0.2">
      <c r="B3645" t="str">
        <f t="shared" si="58"/>
        <v/>
      </c>
    </row>
    <row r="3646" spans="2:2" x14ac:dyDescent="0.2">
      <c r="B3646" t="str">
        <f t="shared" si="58"/>
        <v/>
      </c>
    </row>
    <row r="3647" spans="2:2" x14ac:dyDescent="0.2">
      <c r="B3647" t="str">
        <f t="shared" si="58"/>
        <v/>
      </c>
    </row>
    <row r="3648" spans="2:2" x14ac:dyDescent="0.2">
      <c r="B3648" t="str">
        <f t="shared" si="58"/>
        <v/>
      </c>
    </row>
    <row r="3649" spans="2:2" x14ac:dyDescent="0.2">
      <c r="B3649" t="str">
        <f t="shared" si="58"/>
        <v/>
      </c>
    </row>
    <row r="3650" spans="2:2" x14ac:dyDescent="0.2">
      <c r="B3650" t="str">
        <f t="shared" si="58"/>
        <v/>
      </c>
    </row>
    <row r="3651" spans="2:2" x14ac:dyDescent="0.2">
      <c r="B3651" t="str">
        <f t="shared" si="58"/>
        <v/>
      </c>
    </row>
    <row r="3652" spans="2:2" x14ac:dyDescent="0.2">
      <c r="B3652" t="str">
        <f t="shared" si="58"/>
        <v/>
      </c>
    </row>
    <row r="3653" spans="2:2" x14ac:dyDescent="0.2">
      <c r="B3653" t="str">
        <f t="shared" ref="B3653:B3716" si="59">D3653&amp;I3653</f>
        <v/>
      </c>
    </row>
    <row r="3654" spans="2:2" x14ac:dyDescent="0.2">
      <c r="B3654" t="str">
        <f t="shared" si="59"/>
        <v/>
      </c>
    </row>
    <row r="3655" spans="2:2" x14ac:dyDescent="0.2">
      <c r="B3655" t="str">
        <f t="shared" si="59"/>
        <v/>
      </c>
    </row>
    <row r="3656" spans="2:2" x14ac:dyDescent="0.2">
      <c r="B3656" t="str">
        <f t="shared" si="59"/>
        <v/>
      </c>
    </row>
    <row r="3657" spans="2:2" x14ac:dyDescent="0.2">
      <c r="B3657" t="str">
        <f t="shared" si="59"/>
        <v/>
      </c>
    </row>
    <row r="3658" spans="2:2" x14ac:dyDescent="0.2">
      <c r="B3658" t="str">
        <f t="shared" si="59"/>
        <v/>
      </c>
    </row>
    <row r="3659" spans="2:2" x14ac:dyDescent="0.2">
      <c r="B3659" t="str">
        <f t="shared" si="59"/>
        <v/>
      </c>
    </row>
    <row r="3660" spans="2:2" x14ac:dyDescent="0.2">
      <c r="B3660" t="str">
        <f t="shared" si="59"/>
        <v/>
      </c>
    </row>
    <row r="3661" spans="2:2" x14ac:dyDescent="0.2">
      <c r="B3661" t="str">
        <f t="shared" si="59"/>
        <v/>
      </c>
    </row>
    <row r="3662" spans="2:2" x14ac:dyDescent="0.2">
      <c r="B3662" t="str">
        <f t="shared" si="59"/>
        <v/>
      </c>
    </row>
    <row r="3663" spans="2:2" x14ac:dyDescent="0.2">
      <c r="B3663" t="str">
        <f t="shared" si="59"/>
        <v/>
      </c>
    </row>
    <row r="3664" spans="2:2" x14ac:dyDescent="0.2">
      <c r="B3664" t="str">
        <f t="shared" si="59"/>
        <v/>
      </c>
    </row>
    <row r="3665" spans="2:2" x14ac:dyDescent="0.2">
      <c r="B3665" t="str">
        <f t="shared" si="59"/>
        <v/>
      </c>
    </row>
    <row r="3666" spans="2:2" x14ac:dyDescent="0.2">
      <c r="B3666" t="str">
        <f t="shared" si="59"/>
        <v/>
      </c>
    </row>
    <row r="3667" spans="2:2" x14ac:dyDescent="0.2">
      <c r="B3667" t="str">
        <f t="shared" si="59"/>
        <v/>
      </c>
    </row>
    <row r="3668" spans="2:2" x14ac:dyDescent="0.2">
      <c r="B3668" t="str">
        <f t="shared" si="59"/>
        <v/>
      </c>
    </row>
    <row r="3669" spans="2:2" x14ac:dyDescent="0.2">
      <c r="B3669" t="str">
        <f t="shared" si="59"/>
        <v/>
      </c>
    </row>
    <row r="3670" spans="2:2" x14ac:dyDescent="0.2">
      <c r="B3670" t="str">
        <f t="shared" si="59"/>
        <v/>
      </c>
    </row>
    <row r="3671" spans="2:2" x14ac:dyDescent="0.2">
      <c r="B3671" t="str">
        <f t="shared" si="59"/>
        <v/>
      </c>
    </row>
    <row r="3672" spans="2:2" x14ac:dyDescent="0.2">
      <c r="B3672" t="str">
        <f t="shared" si="59"/>
        <v/>
      </c>
    </row>
    <row r="3673" spans="2:2" x14ac:dyDescent="0.2">
      <c r="B3673" t="str">
        <f t="shared" si="59"/>
        <v/>
      </c>
    </row>
    <row r="3674" spans="2:2" x14ac:dyDescent="0.2">
      <c r="B3674" t="str">
        <f t="shared" si="59"/>
        <v/>
      </c>
    </row>
    <row r="3675" spans="2:2" x14ac:dyDescent="0.2">
      <c r="B3675" t="str">
        <f t="shared" si="59"/>
        <v/>
      </c>
    </row>
    <row r="3676" spans="2:2" x14ac:dyDescent="0.2">
      <c r="B3676" t="str">
        <f t="shared" si="59"/>
        <v/>
      </c>
    </row>
    <row r="3677" spans="2:2" x14ac:dyDescent="0.2">
      <c r="B3677" t="str">
        <f t="shared" si="59"/>
        <v/>
      </c>
    </row>
    <row r="3678" spans="2:2" x14ac:dyDescent="0.2">
      <c r="B3678" t="str">
        <f t="shared" si="59"/>
        <v/>
      </c>
    </row>
    <row r="3679" spans="2:2" x14ac:dyDescent="0.2">
      <c r="B3679" t="str">
        <f t="shared" si="59"/>
        <v/>
      </c>
    </row>
    <row r="3680" spans="2:2" x14ac:dyDescent="0.2">
      <c r="B3680" t="str">
        <f t="shared" si="59"/>
        <v/>
      </c>
    </row>
    <row r="3681" spans="2:2" x14ac:dyDescent="0.2">
      <c r="B3681" t="str">
        <f t="shared" si="59"/>
        <v/>
      </c>
    </row>
    <row r="3682" spans="2:2" x14ac:dyDescent="0.2">
      <c r="B3682" t="str">
        <f t="shared" si="59"/>
        <v/>
      </c>
    </row>
    <row r="3683" spans="2:2" x14ac:dyDescent="0.2">
      <c r="B3683" t="str">
        <f t="shared" si="59"/>
        <v/>
      </c>
    </row>
    <row r="3684" spans="2:2" x14ac:dyDescent="0.2">
      <c r="B3684" t="str">
        <f t="shared" si="59"/>
        <v/>
      </c>
    </row>
    <row r="3685" spans="2:2" x14ac:dyDescent="0.2">
      <c r="B3685" t="str">
        <f t="shared" si="59"/>
        <v/>
      </c>
    </row>
    <row r="3686" spans="2:2" x14ac:dyDescent="0.2">
      <c r="B3686" t="str">
        <f t="shared" si="59"/>
        <v/>
      </c>
    </row>
    <row r="3687" spans="2:2" x14ac:dyDescent="0.2">
      <c r="B3687" t="str">
        <f t="shared" si="59"/>
        <v/>
      </c>
    </row>
    <row r="3688" spans="2:2" x14ac:dyDescent="0.2">
      <c r="B3688" t="str">
        <f t="shared" si="59"/>
        <v/>
      </c>
    </row>
    <row r="3689" spans="2:2" x14ac:dyDescent="0.2">
      <c r="B3689" t="str">
        <f t="shared" si="59"/>
        <v/>
      </c>
    </row>
    <row r="3690" spans="2:2" x14ac:dyDescent="0.2">
      <c r="B3690" t="str">
        <f t="shared" si="59"/>
        <v/>
      </c>
    </row>
    <row r="3691" spans="2:2" x14ac:dyDescent="0.2">
      <c r="B3691" t="str">
        <f t="shared" si="59"/>
        <v/>
      </c>
    </row>
    <row r="3692" spans="2:2" x14ac:dyDescent="0.2">
      <c r="B3692" t="str">
        <f t="shared" si="59"/>
        <v/>
      </c>
    </row>
    <row r="3693" spans="2:2" x14ac:dyDescent="0.2">
      <c r="B3693" t="str">
        <f t="shared" si="59"/>
        <v/>
      </c>
    </row>
    <row r="3694" spans="2:2" x14ac:dyDescent="0.2">
      <c r="B3694" t="str">
        <f t="shared" si="59"/>
        <v/>
      </c>
    </row>
    <row r="3695" spans="2:2" x14ac:dyDescent="0.2">
      <c r="B3695" t="str">
        <f t="shared" si="59"/>
        <v/>
      </c>
    </row>
    <row r="3696" spans="2:2" x14ac:dyDescent="0.2">
      <c r="B3696" t="str">
        <f t="shared" si="59"/>
        <v/>
      </c>
    </row>
    <row r="3697" spans="2:2" x14ac:dyDescent="0.2">
      <c r="B3697" t="str">
        <f t="shared" si="59"/>
        <v/>
      </c>
    </row>
    <row r="3698" spans="2:2" x14ac:dyDescent="0.2">
      <c r="B3698" t="str">
        <f t="shared" si="59"/>
        <v/>
      </c>
    </row>
    <row r="3699" spans="2:2" x14ac:dyDescent="0.2">
      <c r="B3699" t="str">
        <f t="shared" si="59"/>
        <v/>
      </c>
    </row>
    <row r="3700" spans="2:2" x14ac:dyDescent="0.2">
      <c r="B3700" t="str">
        <f t="shared" si="59"/>
        <v/>
      </c>
    </row>
    <row r="3701" spans="2:2" x14ac:dyDescent="0.2">
      <c r="B3701" t="str">
        <f t="shared" si="59"/>
        <v/>
      </c>
    </row>
    <row r="3702" spans="2:2" x14ac:dyDescent="0.2">
      <c r="B3702" t="str">
        <f t="shared" si="59"/>
        <v/>
      </c>
    </row>
    <row r="3703" spans="2:2" x14ac:dyDescent="0.2">
      <c r="B3703" t="str">
        <f t="shared" si="59"/>
        <v/>
      </c>
    </row>
    <row r="3704" spans="2:2" x14ac:dyDescent="0.2">
      <c r="B3704" t="str">
        <f t="shared" si="59"/>
        <v/>
      </c>
    </row>
    <row r="3705" spans="2:2" x14ac:dyDescent="0.2">
      <c r="B3705" t="str">
        <f t="shared" si="59"/>
        <v/>
      </c>
    </row>
    <row r="3706" spans="2:2" x14ac:dyDescent="0.2">
      <c r="B3706" t="str">
        <f t="shared" si="59"/>
        <v/>
      </c>
    </row>
    <row r="3707" spans="2:2" x14ac:dyDescent="0.2">
      <c r="B3707" t="str">
        <f t="shared" si="59"/>
        <v/>
      </c>
    </row>
    <row r="3708" spans="2:2" x14ac:dyDescent="0.2">
      <c r="B3708" t="str">
        <f t="shared" si="59"/>
        <v/>
      </c>
    </row>
    <row r="3709" spans="2:2" x14ac:dyDescent="0.2">
      <c r="B3709" t="str">
        <f t="shared" si="59"/>
        <v/>
      </c>
    </row>
    <row r="3710" spans="2:2" x14ac:dyDescent="0.2">
      <c r="B3710" t="str">
        <f t="shared" si="59"/>
        <v/>
      </c>
    </row>
    <row r="3711" spans="2:2" x14ac:dyDescent="0.2">
      <c r="B3711" t="str">
        <f t="shared" si="59"/>
        <v/>
      </c>
    </row>
    <row r="3712" spans="2:2" x14ac:dyDescent="0.2">
      <c r="B3712" t="str">
        <f t="shared" si="59"/>
        <v/>
      </c>
    </row>
    <row r="3713" spans="2:2" x14ac:dyDescent="0.2">
      <c r="B3713" t="str">
        <f t="shared" si="59"/>
        <v/>
      </c>
    </row>
    <row r="3714" spans="2:2" x14ac:dyDescent="0.2">
      <c r="B3714" t="str">
        <f t="shared" si="59"/>
        <v/>
      </c>
    </row>
    <row r="3715" spans="2:2" x14ac:dyDescent="0.2">
      <c r="B3715" t="str">
        <f t="shared" si="59"/>
        <v/>
      </c>
    </row>
    <row r="3716" spans="2:2" x14ac:dyDescent="0.2">
      <c r="B3716" t="str">
        <f t="shared" si="59"/>
        <v/>
      </c>
    </row>
    <row r="3717" spans="2:2" x14ac:dyDescent="0.2">
      <c r="B3717" t="str">
        <f t="shared" ref="B3717:B3780" si="60">D3717&amp;I3717</f>
        <v/>
      </c>
    </row>
    <row r="3718" spans="2:2" x14ac:dyDescent="0.2">
      <c r="B3718" t="str">
        <f t="shared" si="60"/>
        <v/>
      </c>
    </row>
    <row r="3719" spans="2:2" x14ac:dyDescent="0.2">
      <c r="B3719" t="str">
        <f t="shared" si="60"/>
        <v/>
      </c>
    </row>
    <row r="3720" spans="2:2" x14ac:dyDescent="0.2">
      <c r="B3720" t="str">
        <f t="shared" si="60"/>
        <v/>
      </c>
    </row>
    <row r="3721" spans="2:2" x14ac:dyDescent="0.2">
      <c r="B3721" t="str">
        <f t="shared" si="60"/>
        <v/>
      </c>
    </row>
    <row r="3722" spans="2:2" x14ac:dyDescent="0.2">
      <c r="B3722" t="str">
        <f t="shared" si="60"/>
        <v/>
      </c>
    </row>
    <row r="3723" spans="2:2" x14ac:dyDescent="0.2">
      <c r="B3723" t="str">
        <f t="shared" si="60"/>
        <v/>
      </c>
    </row>
    <row r="3724" spans="2:2" x14ac:dyDescent="0.2">
      <c r="B3724" t="str">
        <f t="shared" si="60"/>
        <v/>
      </c>
    </row>
    <row r="3725" spans="2:2" x14ac:dyDescent="0.2">
      <c r="B3725" t="str">
        <f t="shared" si="60"/>
        <v/>
      </c>
    </row>
    <row r="3726" spans="2:2" x14ac:dyDescent="0.2">
      <c r="B3726" t="str">
        <f t="shared" si="60"/>
        <v/>
      </c>
    </row>
    <row r="3727" spans="2:2" x14ac:dyDescent="0.2">
      <c r="B3727" t="str">
        <f t="shared" si="60"/>
        <v/>
      </c>
    </row>
    <row r="3728" spans="2:2" x14ac:dyDescent="0.2">
      <c r="B3728" t="str">
        <f t="shared" si="60"/>
        <v/>
      </c>
    </row>
    <row r="3729" spans="2:2" x14ac:dyDescent="0.2">
      <c r="B3729" t="str">
        <f t="shared" si="60"/>
        <v/>
      </c>
    </row>
    <row r="3730" spans="2:2" x14ac:dyDescent="0.2">
      <c r="B3730" t="str">
        <f t="shared" si="60"/>
        <v/>
      </c>
    </row>
    <row r="3731" spans="2:2" x14ac:dyDescent="0.2">
      <c r="B3731" t="str">
        <f t="shared" si="60"/>
        <v/>
      </c>
    </row>
    <row r="3732" spans="2:2" x14ac:dyDescent="0.2">
      <c r="B3732" t="str">
        <f t="shared" si="60"/>
        <v/>
      </c>
    </row>
    <row r="3733" spans="2:2" x14ac:dyDescent="0.2">
      <c r="B3733" t="str">
        <f t="shared" si="60"/>
        <v/>
      </c>
    </row>
    <row r="3734" spans="2:2" x14ac:dyDescent="0.2">
      <c r="B3734" t="str">
        <f t="shared" si="60"/>
        <v/>
      </c>
    </row>
    <row r="3735" spans="2:2" x14ac:dyDescent="0.2">
      <c r="B3735" t="str">
        <f t="shared" si="60"/>
        <v/>
      </c>
    </row>
    <row r="3736" spans="2:2" x14ac:dyDescent="0.2">
      <c r="B3736" t="str">
        <f t="shared" si="60"/>
        <v/>
      </c>
    </row>
    <row r="3737" spans="2:2" x14ac:dyDescent="0.2">
      <c r="B3737" t="str">
        <f t="shared" si="60"/>
        <v/>
      </c>
    </row>
    <row r="3738" spans="2:2" x14ac:dyDescent="0.2">
      <c r="B3738" t="str">
        <f t="shared" si="60"/>
        <v/>
      </c>
    </row>
    <row r="3739" spans="2:2" x14ac:dyDescent="0.2">
      <c r="B3739" t="str">
        <f t="shared" si="60"/>
        <v/>
      </c>
    </row>
    <row r="3740" spans="2:2" x14ac:dyDescent="0.2">
      <c r="B3740" t="str">
        <f t="shared" si="60"/>
        <v/>
      </c>
    </row>
    <row r="3741" spans="2:2" x14ac:dyDescent="0.2">
      <c r="B3741" t="str">
        <f t="shared" si="60"/>
        <v/>
      </c>
    </row>
    <row r="3742" spans="2:2" x14ac:dyDescent="0.2">
      <c r="B3742" t="str">
        <f t="shared" si="60"/>
        <v/>
      </c>
    </row>
    <row r="3743" spans="2:2" x14ac:dyDescent="0.2">
      <c r="B3743" t="str">
        <f t="shared" si="60"/>
        <v/>
      </c>
    </row>
    <row r="3744" spans="2:2" x14ac:dyDescent="0.2">
      <c r="B3744" t="str">
        <f t="shared" si="60"/>
        <v/>
      </c>
    </row>
    <row r="3745" spans="2:2" x14ac:dyDescent="0.2">
      <c r="B3745" t="str">
        <f t="shared" si="60"/>
        <v/>
      </c>
    </row>
    <row r="3746" spans="2:2" x14ac:dyDescent="0.2">
      <c r="B3746" t="str">
        <f t="shared" si="60"/>
        <v/>
      </c>
    </row>
    <row r="3747" spans="2:2" x14ac:dyDescent="0.2">
      <c r="B3747" t="str">
        <f t="shared" si="60"/>
        <v/>
      </c>
    </row>
    <row r="3748" spans="2:2" x14ac:dyDescent="0.2">
      <c r="B3748" t="str">
        <f t="shared" si="60"/>
        <v/>
      </c>
    </row>
    <row r="3749" spans="2:2" x14ac:dyDescent="0.2">
      <c r="B3749" t="str">
        <f t="shared" si="60"/>
        <v/>
      </c>
    </row>
    <row r="3750" spans="2:2" x14ac:dyDescent="0.2">
      <c r="B3750" t="str">
        <f t="shared" si="60"/>
        <v/>
      </c>
    </row>
    <row r="3751" spans="2:2" x14ac:dyDescent="0.2">
      <c r="B3751" t="str">
        <f t="shared" si="60"/>
        <v/>
      </c>
    </row>
    <row r="3752" spans="2:2" x14ac:dyDescent="0.2">
      <c r="B3752" t="str">
        <f t="shared" si="60"/>
        <v/>
      </c>
    </row>
    <row r="3753" spans="2:2" x14ac:dyDescent="0.2">
      <c r="B3753" t="str">
        <f t="shared" si="60"/>
        <v/>
      </c>
    </row>
    <row r="3754" spans="2:2" x14ac:dyDescent="0.2">
      <c r="B3754" t="str">
        <f t="shared" si="60"/>
        <v/>
      </c>
    </row>
    <row r="3755" spans="2:2" x14ac:dyDescent="0.2">
      <c r="B3755" t="str">
        <f t="shared" si="60"/>
        <v/>
      </c>
    </row>
    <row r="3756" spans="2:2" x14ac:dyDescent="0.2">
      <c r="B3756" t="str">
        <f t="shared" si="60"/>
        <v/>
      </c>
    </row>
    <row r="3757" spans="2:2" x14ac:dyDescent="0.2">
      <c r="B3757" t="str">
        <f t="shared" si="60"/>
        <v/>
      </c>
    </row>
    <row r="3758" spans="2:2" x14ac:dyDescent="0.2">
      <c r="B3758" t="str">
        <f t="shared" si="60"/>
        <v/>
      </c>
    </row>
    <row r="3759" spans="2:2" x14ac:dyDescent="0.2">
      <c r="B3759" t="str">
        <f t="shared" si="60"/>
        <v/>
      </c>
    </row>
    <row r="3760" spans="2:2" x14ac:dyDescent="0.2">
      <c r="B3760" t="str">
        <f t="shared" si="60"/>
        <v/>
      </c>
    </row>
    <row r="3761" spans="2:2" x14ac:dyDescent="0.2">
      <c r="B3761" t="str">
        <f t="shared" si="60"/>
        <v/>
      </c>
    </row>
    <row r="3762" spans="2:2" x14ac:dyDescent="0.2">
      <c r="B3762" t="str">
        <f t="shared" si="60"/>
        <v/>
      </c>
    </row>
    <row r="3763" spans="2:2" x14ac:dyDescent="0.2">
      <c r="B3763" t="str">
        <f t="shared" si="60"/>
        <v/>
      </c>
    </row>
    <row r="3764" spans="2:2" x14ac:dyDescent="0.2">
      <c r="B3764" t="str">
        <f t="shared" si="60"/>
        <v/>
      </c>
    </row>
    <row r="3765" spans="2:2" x14ac:dyDescent="0.2">
      <c r="B3765" t="str">
        <f t="shared" si="60"/>
        <v/>
      </c>
    </row>
    <row r="3766" spans="2:2" x14ac:dyDescent="0.2">
      <c r="B3766" t="str">
        <f t="shared" si="60"/>
        <v/>
      </c>
    </row>
    <row r="3767" spans="2:2" x14ac:dyDescent="0.2">
      <c r="B3767" t="str">
        <f t="shared" si="60"/>
        <v/>
      </c>
    </row>
    <row r="3768" spans="2:2" x14ac:dyDescent="0.2">
      <c r="B3768" t="str">
        <f t="shared" si="60"/>
        <v/>
      </c>
    </row>
    <row r="3769" spans="2:2" x14ac:dyDescent="0.2">
      <c r="B3769" t="str">
        <f t="shared" si="60"/>
        <v/>
      </c>
    </row>
    <row r="3770" spans="2:2" x14ac:dyDescent="0.2">
      <c r="B3770" t="str">
        <f t="shared" si="60"/>
        <v/>
      </c>
    </row>
    <row r="3771" spans="2:2" x14ac:dyDescent="0.2">
      <c r="B3771" t="str">
        <f t="shared" si="60"/>
        <v/>
      </c>
    </row>
    <row r="3772" spans="2:2" x14ac:dyDescent="0.2">
      <c r="B3772" t="str">
        <f t="shared" si="60"/>
        <v/>
      </c>
    </row>
    <row r="3773" spans="2:2" x14ac:dyDescent="0.2">
      <c r="B3773" t="str">
        <f t="shared" si="60"/>
        <v/>
      </c>
    </row>
    <row r="3774" spans="2:2" x14ac:dyDescent="0.2">
      <c r="B3774" t="str">
        <f t="shared" si="60"/>
        <v/>
      </c>
    </row>
    <row r="3775" spans="2:2" x14ac:dyDescent="0.2">
      <c r="B3775" t="str">
        <f t="shared" si="60"/>
        <v/>
      </c>
    </row>
    <row r="3776" spans="2:2" x14ac:dyDescent="0.2">
      <c r="B3776" t="str">
        <f t="shared" si="60"/>
        <v/>
      </c>
    </row>
    <row r="3777" spans="2:2" x14ac:dyDescent="0.2">
      <c r="B3777" t="str">
        <f t="shared" si="60"/>
        <v/>
      </c>
    </row>
    <row r="3778" spans="2:2" x14ac:dyDescent="0.2">
      <c r="B3778" t="str">
        <f t="shared" si="60"/>
        <v/>
      </c>
    </row>
    <row r="3779" spans="2:2" x14ac:dyDescent="0.2">
      <c r="B3779" t="str">
        <f t="shared" si="60"/>
        <v/>
      </c>
    </row>
    <row r="3780" spans="2:2" x14ac:dyDescent="0.2">
      <c r="B3780" t="str">
        <f t="shared" si="60"/>
        <v/>
      </c>
    </row>
    <row r="3781" spans="2:2" x14ac:dyDescent="0.2">
      <c r="B3781" t="str">
        <f t="shared" ref="B3781:B3844" si="61">D3781&amp;I3781</f>
        <v/>
      </c>
    </row>
    <row r="3782" spans="2:2" x14ac:dyDescent="0.2">
      <c r="B3782" t="str">
        <f t="shared" si="61"/>
        <v/>
      </c>
    </row>
    <row r="3783" spans="2:2" x14ac:dyDescent="0.2">
      <c r="B3783" t="str">
        <f t="shared" si="61"/>
        <v/>
      </c>
    </row>
    <row r="3784" spans="2:2" x14ac:dyDescent="0.2">
      <c r="B3784" t="str">
        <f t="shared" si="61"/>
        <v/>
      </c>
    </row>
    <row r="3785" spans="2:2" x14ac:dyDescent="0.2">
      <c r="B3785" t="str">
        <f t="shared" si="61"/>
        <v/>
      </c>
    </row>
    <row r="3786" spans="2:2" x14ac:dyDescent="0.2">
      <c r="B3786" t="str">
        <f t="shared" si="61"/>
        <v/>
      </c>
    </row>
    <row r="3787" spans="2:2" x14ac:dyDescent="0.2">
      <c r="B3787" t="str">
        <f t="shared" si="61"/>
        <v/>
      </c>
    </row>
    <row r="3788" spans="2:2" x14ac:dyDescent="0.2">
      <c r="B3788" t="str">
        <f t="shared" si="61"/>
        <v/>
      </c>
    </row>
    <row r="3789" spans="2:2" x14ac:dyDescent="0.2">
      <c r="B3789" t="str">
        <f t="shared" si="61"/>
        <v/>
      </c>
    </row>
    <row r="3790" spans="2:2" x14ac:dyDescent="0.2">
      <c r="B3790" t="str">
        <f t="shared" si="61"/>
        <v/>
      </c>
    </row>
    <row r="3791" spans="2:2" x14ac:dyDescent="0.2">
      <c r="B3791" t="str">
        <f t="shared" si="61"/>
        <v/>
      </c>
    </row>
    <row r="3792" spans="2:2" x14ac:dyDescent="0.2">
      <c r="B3792" t="str">
        <f t="shared" si="61"/>
        <v/>
      </c>
    </row>
    <row r="3793" spans="2:2" x14ac:dyDescent="0.2">
      <c r="B3793" t="str">
        <f t="shared" si="61"/>
        <v/>
      </c>
    </row>
    <row r="3794" spans="2:2" x14ac:dyDescent="0.2">
      <c r="B3794" t="str">
        <f t="shared" si="61"/>
        <v/>
      </c>
    </row>
    <row r="3795" spans="2:2" x14ac:dyDescent="0.2">
      <c r="B3795" t="str">
        <f t="shared" si="61"/>
        <v/>
      </c>
    </row>
    <row r="3796" spans="2:2" x14ac:dyDescent="0.2">
      <c r="B3796" t="str">
        <f t="shared" si="61"/>
        <v/>
      </c>
    </row>
    <row r="3797" spans="2:2" x14ac:dyDescent="0.2">
      <c r="B3797" t="str">
        <f t="shared" si="61"/>
        <v/>
      </c>
    </row>
    <row r="3798" spans="2:2" x14ac:dyDescent="0.2">
      <c r="B3798" t="str">
        <f t="shared" si="61"/>
        <v/>
      </c>
    </row>
    <row r="3799" spans="2:2" x14ac:dyDescent="0.2">
      <c r="B3799" t="str">
        <f t="shared" si="61"/>
        <v/>
      </c>
    </row>
    <row r="3800" spans="2:2" x14ac:dyDescent="0.2">
      <c r="B3800" t="str">
        <f t="shared" si="61"/>
        <v/>
      </c>
    </row>
    <row r="3801" spans="2:2" x14ac:dyDescent="0.2">
      <c r="B3801" t="str">
        <f t="shared" si="61"/>
        <v/>
      </c>
    </row>
    <row r="3802" spans="2:2" x14ac:dyDescent="0.2">
      <c r="B3802" t="str">
        <f t="shared" si="61"/>
        <v/>
      </c>
    </row>
    <row r="3803" spans="2:2" x14ac:dyDescent="0.2">
      <c r="B3803" t="str">
        <f t="shared" si="61"/>
        <v/>
      </c>
    </row>
    <row r="3804" spans="2:2" x14ac:dyDescent="0.2">
      <c r="B3804" t="str">
        <f t="shared" si="61"/>
        <v/>
      </c>
    </row>
    <row r="3805" spans="2:2" x14ac:dyDescent="0.2">
      <c r="B3805" t="str">
        <f t="shared" si="61"/>
        <v/>
      </c>
    </row>
    <row r="3806" spans="2:2" x14ac:dyDescent="0.2">
      <c r="B3806" t="str">
        <f t="shared" si="61"/>
        <v/>
      </c>
    </row>
    <row r="3807" spans="2:2" x14ac:dyDescent="0.2">
      <c r="B3807" t="str">
        <f t="shared" si="61"/>
        <v/>
      </c>
    </row>
    <row r="3808" spans="2:2" x14ac:dyDescent="0.2">
      <c r="B3808" t="str">
        <f t="shared" si="61"/>
        <v/>
      </c>
    </row>
    <row r="3809" spans="2:2" x14ac:dyDescent="0.2">
      <c r="B3809" t="str">
        <f t="shared" si="61"/>
        <v/>
      </c>
    </row>
    <row r="3810" spans="2:2" x14ac:dyDescent="0.2">
      <c r="B3810" t="str">
        <f t="shared" si="61"/>
        <v/>
      </c>
    </row>
    <row r="3811" spans="2:2" x14ac:dyDescent="0.2">
      <c r="B3811" t="str">
        <f t="shared" si="61"/>
        <v/>
      </c>
    </row>
    <row r="3812" spans="2:2" x14ac:dyDescent="0.2">
      <c r="B3812" t="str">
        <f t="shared" si="61"/>
        <v/>
      </c>
    </row>
    <row r="3813" spans="2:2" x14ac:dyDescent="0.2">
      <c r="B3813" t="str">
        <f t="shared" si="61"/>
        <v/>
      </c>
    </row>
    <row r="3814" spans="2:2" x14ac:dyDescent="0.2">
      <c r="B3814" t="str">
        <f t="shared" si="61"/>
        <v/>
      </c>
    </row>
    <row r="3815" spans="2:2" x14ac:dyDescent="0.2">
      <c r="B3815" t="str">
        <f t="shared" si="61"/>
        <v/>
      </c>
    </row>
    <row r="3816" spans="2:2" x14ac:dyDescent="0.2">
      <c r="B3816" t="str">
        <f t="shared" si="61"/>
        <v/>
      </c>
    </row>
    <row r="3817" spans="2:2" x14ac:dyDescent="0.2">
      <c r="B3817" t="str">
        <f t="shared" si="61"/>
        <v/>
      </c>
    </row>
    <row r="3818" spans="2:2" x14ac:dyDescent="0.2">
      <c r="B3818" t="str">
        <f t="shared" si="61"/>
        <v/>
      </c>
    </row>
    <row r="3819" spans="2:2" x14ac:dyDescent="0.2">
      <c r="B3819" t="str">
        <f t="shared" si="61"/>
        <v/>
      </c>
    </row>
    <row r="3820" spans="2:2" x14ac:dyDescent="0.2">
      <c r="B3820" t="str">
        <f t="shared" si="61"/>
        <v/>
      </c>
    </row>
    <row r="3821" spans="2:2" x14ac:dyDescent="0.2">
      <c r="B3821" t="str">
        <f t="shared" si="61"/>
        <v/>
      </c>
    </row>
    <row r="3822" spans="2:2" x14ac:dyDescent="0.2">
      <c r="B3822" t="str">
        <f t="shared" si="61"/>
        <v/>
      </c>
    </row>
    <row r="3823" spans="2:2" x14ac:dyDescent="0.2">
      <c r="B3823" t="str">
        <f t="shared" si="61"/>
        <v/>
      </c>
    </row>
    <row r="3824" spans="2:2" x14ac:dyDescent="0.2">
      <c r="B3824" t="str">
        <f t="shared" si="61"/>
        <v/>
      </c>
    </row>
    <row r="3825" spans="2:2" x14ac:dyDescent="0.2">
      <c r="B3825" t="str">
        <f t="shared" si="61"/>
        <v/>
      </c>
    </row>
    <row r="3826" spans="2:2" x14ac:dyDescent="0.2">
      <c r="B3826" t="str">
        <f t="shared" si="61"/>
        <v/>
      </c>
    </row>
    <row r="3827" spans="2:2" x14ac:dyDescent="0.2">
      <c r="B3827" t="str">
        <f t="shared" si="61"/>
        <v/>
      </c>
    </row>
    <row r="3828" spans="2:2" x14ac:dyDescent="0.2">
      <c r="B3828" t="str">
        <f t="shared" si="61"/>
        <v/>
      </c>
    </row>
    <row r="3829" spans="2:2" x14ac:dyDescent="0.2">
      <c r="B3829" t="str">
        <f t="shared" si="61"/>
        <v/>
      </c>
    </row>
    <row r="3830" spans="2:2" x14ac:dyDescent="0.2">
      <c r="B3830" t="str">
        <f t="shared" si="61"/>
        <v/>
      </c>
    </row>
    <row r="3831" spans="2:2" x14ac:dyDescent="0.2">
      <c r="B3831" t="str">
        <f t="shared" si="61"/>
        <v/>
      </c>
    </row>
    <row r="3832" spans="2:2" x14ac:dyDescent="0.2">
      <c r="B3832" t="str">
        <f t="shared" si="61"/>
        <v/>
      </c>
    </row>
    <row r="3833" spans="2:2" x14ac:dyDescent="0.2">
      <c r="B3833" t="str">
        <f t="shared" si="61"/>
        <v/>
      </c>
    </row>
    <row r="3834" spans="2:2" x14ac:dyDescent="0.2">
      <c r="B3834" t="str">
        <f t="shared" si="61"/>
        <v/>
      </c>
    </row>
    <row r="3835" spans="2:2" x14ac:dyDescent="0.2">
      <c r="B3835" t="str">
        <f t="shared" si="61"/>
        <v/>
      </c>
    </row>
    <row r="3836" spans="2:2" x14ac:dyDescent="0.2">
      <c r="B3836" t="str">
        <f t="shared" si="61"/>
        <v/>
      </c>
    </row>
    <row r="3837" spans="2:2" x14ac:dyDescent="0.2">
      <c r="B3837" t="str">
        <f t="shared" si="61"/>
        <v/>
      </c>
    </row>
    <row r="3838" spans="2:2" x14ac:dyDescent="0.2">
      <c r="B3838" t="str">
        <f t="shared" si="61"/>
        <v/>
      </c>
    </row>
    <row r="3839" spans="2:2" x14ac:dyDescent="0.2">
      <c r="B3839" t="str">
        <f t="shared" si="61"/>
        <v/>
      </c>
    </row>
    <row r="3840" spans="2:2" x14ac:dyDescent="0.2">
      <c r="B3840" t="str">
        <f t="shared" si="61"/>
        <v/>
      </c>
    </row>
    <row r="3841" spans="2:2" x14ac:dyDescent="0.2">
      <c r="B3841" t="str">
        <f t="shared" si="61"/>
        <v/>
      </c>
    </row>
    <row r="3842" spans="2:2" x14ac:dyDescent="0.2">
      <c r="B3842" t="str">
        <f t="shared" si="61"/>
        <v/>
      </c>
    </row>
    <row r="3843" spans="2:2" x14ac:dyDescent="0.2">
      <c r="B3843" t="str">
        <f t="shared" si="61"/>
        <v/>
      </c>
    </row>
    <row r="3844" spans="2:2" x14ac:dyDescent="0.2">
      <c r="B3844" t="str">
        <f t="shared" si="61"/>
        <v/>
      </c>
    </row>
    <row r="3845" spans="2:2" x14ac:dyDescent="0.2">
      <c r="B3845" t="str">
        <f t="shared" ref="B3845:B3908" si="62">D3845&amp;I3845</f>
        <v/>
      </c>
    </row>
    <row r="3846" spans="2:2" x14ac:dyDescent="0.2">
      <c r="B3846" t="str">
        <f t="shared" si="62"/>
        <v/>
      </c>
    </row>
    <row r="3847" spans="2:2" x14ac:dyDescent="0.2">
      <c r="B3847" t="str">
        <f t="shared" si="62"/>
        <v/>
      </c>
    </row>
    <row r="3848" spans="2:2" x14ac:dyDescent="0.2">
      <c r="B3848" t="str">
        <f t="shared" si="62"/>
        <v/>
      </c>
    </row>
    <row r="3849" spans="2:2" x14ac:dyDescent="0.2">
      <c r="B3849" t="str">
        <f t="shared" si="62"/>
        <v/>
      </c>
    </row>
    <row r="3850" spans="2:2" x14ac:dyDescent="0.2">
      <c r="B3850" t="str">
        <f t="shared" si="62"/>
        <v/>
      </c>
    </row>
    <row r="3851" spans="2:2" x14ac:dyDescent="0.2">
      <c r="B3851" t="str">
        <f t="shared" si="62"/>
        <v/>
      </c>
    </row>
    <row r="3852" spans="2:2" x14ac:dyDescent="0.2">
      <c r="B3852" t="str">
        <f t="shared" si="62"/>
        <v/>
      </c>
    </row>
    <row r="3853" spans="2:2" x14ac:dyDescent="0.2">
      <c r="B3853" t="str">
        <f t="shared" si="62"/>
        <v/>
      </c>
    </row>
    <row r="3854" spans="2:2" x14ac:dyDescent="0.2">
      <c r="B3854" t="str">
        <f t="shared" si="62"/>
        <v/>
      </c>
    </row>
    <row r="3855" spans="2:2" x14ac:dyDescent="0.2">
      <c r="B3855" t="str">
        <f t="shared" si="62"/>
        <v/>
      </c>
    </row>
    <row r="3856" spans="2:2" x14ac:dyDescent="0.2">
      <c r="B3856" t="str">
        <f t="shared" si="62"/>
        <v/>
      </c>
    </row>
    <row r="3857" spans="2:2" x14ac:dyDescent="0.2">
      <c r="B3857" t="str">
        <f t="shared" si="62"/>
        <v/>
      </c>
    </row>
    <row r="3858" spans="2:2" x14ac:dyDescent="0.2">
      <c r="B3858" t="str">
        <f t="shared" si="62"/>
        <v/>
      </c>
    </row>
    <row r="3859" spans="2:2" x14ac:dyDescent="0.2">
      <c r="B3859" t="str">
        <f t="shared" si="62"/>
        <v/>
      </c>
    </row>
    <row r="3860" spans="2:2" x14ac:dyDescent="0.2">
      <c r="B3860" t="str">
        <f t="shared" si="62"/>
        <v/>
      </c>
    </row>
    <row r="3861" spans="2:2" x14ac:dyDescent="0.2">
      <c r="B3861" t="str">
        <f t="shared" si="62"/>
        <v/>
      </c>
    </row>
    <row r="3862" spans="2:2" x14ac:dyDescent="0.2">
      <c r="B3862" t="str">
        <f t="shared" si="62"/>
        <v/>
      </c>
    </row>
    <row r="3863" spans="2:2" x14ac:dyDescent="0.2">
      <c r="B3863" t="str">
        <f t="shared" si="62"/>
        <v/>
      </c>
    </row>
    <row r="3864" spans="2:2" x14ac:dyDescent="0.2">
      <c r="B3864" t="str">
        <f t="shared" si="62"/>
        <v/>
      </c>
    </row>
    <row r="3865" spans="2:2" x14ac:dyDescent="0.2">
      <c r="B3865" t="str">
        <f t="shared" si="62"/>
        <v/>
      </c>
    </row>
    <row r="3866" spans="2:2" x14ac:dyDescent="0.2">
      <c r="B3866" t="str">
        <f t="shared" si="62"/>
        <v/>
      </c>
    </row>
    <row r="3867" spans="2:2" x14ac:dyDescent="0.2">
      <c r="B3867" t="str">
        <f t="shared" si="62"/>
        <v/>
      </c>
    </row>
    <row r="3868" spans="2:2" x14ac:dyDescent="0.2">
      <c r="B3868" t="str">
        <f t="shared" si="62"/>
        <v/>
      </c>
    </row>
    <row r="3869" spans="2:2" x14ac:dyDescent="0.2">
      <c r="B3869" t="str">
        <f t="shared" si="62"/>
        <v/>
      </c>
    </row>
    <row r="3870" spans="2:2" x14ac:dyDescent="0.2">
      <c r="B3870" t="str">
        <f t="shared" si="62"/>
        <v/>
      </c>
    </row>
    <row r="3871" spans="2:2" x14ac:dyDescent="0.2">
      <c r="B3871" t="str">
        <f t="shared" si="62"/>
        <v/>
      </c>
    </row>
    <row r="3872" spans="2:2" x14ac:dyDescent="0.2">
      <c r="B3872" t="str">
        <f t="shared" si="62"/>
        <v/>
      </c>
    </row>
    <row r="3873" spans="2:2" x14ac:dyDescent="0.2">
      <c r="B3873" t="str">
        <f t="shared" si="62"/>
        <v/>
      </c>
    </row>
    <row r="3874" spans="2:2" x14ac:dyDescent="0.2">
      <c r="B3874" t="str">
        <f t="shared" si="62"/>
        <v/>
      </c>
    </row>
    <row r="3875" spans="2:2" x14ac:dyDescent="0.2">
      <c r="B3875" t="str">
        <f t="shared" si="62"/>
        <v/>
      </c>
    </row>
    <row r="3876" spans="2:2" x14ac:dyDescent="0.2">
      <c r="B3876" t="str">
        <f t="shared" si="62"/>
        <v/>
      </c>
    </row>
    <row r="3877" spans="2:2" x14ac:dyDescent="0.2">
      <c r="B3877" t="str">
        <f t="shared" si="62"/>
        <v/>
      </c>
    </row>
    <row r="3878" spans="2:2" x14ac:dyDescent="0.2">
      <c r="B3878" t="str">
        <f t="shared" si="62"/>
        <v/>
      </c>
    </row>
    <row r="3879" spans="2:2" x14ac:dyDescent="0.2">
      <c r="B3879" t="str">
        <f t="shared" si="62"/>
        <v/>
      </c>
    </row>
    <row r="3880" spans="2:2" x14ac:dyDescent="0.2">
      <c r="B3880" t="str">
        <f t="shared" si="62"/>
        <v/>
      </c>
    </row>
    <row r="3881" spans="2:2" x14ac:dyDescent="0.2">
      <c r="B3881" t="str">
        <f t="shared" si="62"/>
        <v/>
      </c>
    </row>
    <row r="3882" spans="2:2" x14ac:dyDescent="0.2">
      <c r="B3882" t="str">
        <f t="shared" si="62"/>
        <v/>
      </c>
    </row>
    <row r="3883" spans="2:2" x14ac:dyDescent="0.2">
      <c r="B3883" t="str">
        <f t="shared" si="62"/>
        <v/>
      </c>
    </row>
    <row r="3884" spans="2:2" x14ac:dyDescent="0.2">
      <c r="B3884" t="str">
        <f t="shared" si="62"/>
        <v/>
      </c>
    </row>
    <row r="3885" spans="2:2" x14ac:dyDescent="0.2">
      <c r="B3885" t="str">
        <f t="shared" si="62"/>
        <v/>
      </c>
    </row>
    <row r="3886" spans="2:2" x14ac:dyDescent="0.2">
      <c r="B3886" t="str">
        <f t="shared" si="62"/>
        <v/>
      </c>
    </row>
    <row r="3887" spans="2:2" x14ac:dyDescent="0.2">
      <c r="B3887" t="str">
        <f t="shared" si="62"/>
        <v/>
      </c>
    </row>
    <row r="3888" spans="2:2" x14ac:dyDescent="0.2">
      <c r="B3888" t="str">
        <f t="shared" si="62"/>
        <v/>
      </c>
    </row>
    <row r="3889" spans="2:2" x14ac:dyDescent="0.2">
      <c r="B3889" t="str">
        <f t="shared" si="62"/>
        <v/>
      </c>
    </row>
    <row r="3890" spans="2:2" x14ac:dyDescent="0.2">
      <c r="B3890" t="str">
        <f t="shared" si="62"/>
        <v/>
      </c>
    </row>
    <row r="3891" spans="2:2" x14ac:dyDescent="0.2">
      <c r="B3891" t="str">
        <f t="shared" si="62"/>
        <v/>
      </c>
    </row>
    <row r="3892" spans="2:2" x14ac:dyDescent="0.2">
      <c r="B3892" t="str">
        <f t="shared" si="62"/>
        <v/>
      </c>
    </row>
    <row r="3893" spans="2:2" x14ac:dyDescent="0.2">
      <c r="B3893" t="str">
        <f t="shared" si="62"/>
        <v/>
      </c>
    </row>
    <row r="3894" spans="2:2" x14ac:dyDescent="0.2">
      <c r="B3894" t="str">
        <f t="shared" si="62"/>
        <v/>
      </c>
    </row>
    <row r="3895" spans="2:2" x14ac:dyDescent="0.2">
      <c r="B3895" t="str">
        <f t="shared" si="62"/>
        <v/>
      </c>
    </row>
    <row r="3896" spans="2:2" x14ac:dyDescent="0.2">
      <c r="B3896" t="str">
        <f t="shared" si="62"/>
        <v/>
      </c>
    </row>
    <row r="3897" spans="2:2" x14ac:dyDescent="0.2">
      <c r="B3897" t="str">
        <f t="shared" si="62"/>
        <v/>
      </c>
    </row>
    <row r="3898" spans="2:2" x14ac:dyDescent="0.2">
      <c r="B3898" t="str">
        <f t="shared" si="62"/>
        <v/>
      </c>
    </row>
    <row r="3899" spans="2:2" x14ac:dyDescent="0.2">
      <c r="B3899" t="str">
        <f t="shared" si="62"/>
        <v/>
      </c>
    </row>
    <row r="3900" spans="2:2" x14ac:dyDescent="0.2">
      <c r="B3900" t="str">
        <f t="shared" si="62"/>
        <v/>
      </c>
    </row>
    <row r="3901" spans="2:2" x14ac:dyDescent="0.2">
      <c r="B3901" t="str">
        <f t="shared" si="62"/>
        <v/>
      </c>
    </row>
    <row r="3902" spans="2:2" x14ac:dyDescent="0.2">
      <c r="B3902" t="str">
        <f t="shared" si="62"/>
        <v/>
      </c>
    </row>
    <row r="3903" spans="2:2" x14ac:dyDescent="0.2">
      <c r="B3903" t="str">
        <f t="shared" si="62"/>
        <v/>
      </c>
    </row>
    <row r="3904" spans="2:2" x14ac:dyDescent="0.2">
      <c r="B3904" t="str">
        <f t="shared" si="62"/>
        <v/>
      </c>
    </row>
    <row r="3905" spans="2:2" x14ac:dyDescent="0.2">
      <c r="B3905" t="str">
        <f t="shared" si="62"/>
        <v/>
      </c>
    </row>
    <row r="3906" spans="2:2" x14ac:dyDescent="0.2">
      <c r="B3906" t="str">
        <f t="shared" si="62"/>
        <v/>
      </c>
    </row>
    <row r="3907" spans="2:2" x14ac:dyDescent="0.2">
      <c r="B3907" t="str">
        <f t="shared" si="62"/>
        <v/>
      </c>
    </row>
    <row r="3908" spans="2:2" x14ac:dyDescent="0.2">
      <c r="B3908" t="str">
        <f t="shared" si="62"/>
        <v/>
      </c>
    </row>
    <row r="3909" spans="2:2" x14ac:dyDescent="0.2">
      <c r="B3909" t="str">
        <f t="shared" ref="B3909:B3972" si="63">D3909&amp;I3909</f>
        <v/>
      </c>
    </row>
    <row r="3910" spans="2:2" x14ac:dyDescent="0.2">
      <c r="B3910" t="str">
        <f t="shared" si="63"/>
        <v/>
      </c>
    </row>
    <row r="3911" spans="2:2" x14ac:dyDescent="0.2">
      <c r="B3911" t="str">
        <f t="shared" si="63"/>
        <v/>
      </c>
    </row>
    <row r="3912" spans="2:2" x14ac:dyDescent="0.2">
      <c r="B3912" t="str">
        <f t="shared" si="63"/>
        <v/>
      </c>
    </row>
    <row r="3913" spans="2:2" x14ac:dyDescent="0.2">
      <c r="B3913" t="str">
        <f t="shared" si="63"/>
        <v/>
      </c>
    </row>
    <row r="3914" spans="2:2" x14ac:dyDescent="0.2">
      <c r="B3914" t="str">
        <f t="shared" si="63"/>
        <v/>
      </c>
    </row>
    <row r="3915" spans="2:2" x14ac:dyDescent="0.2">
      <c r="B3915" t="str">
        <f t="shared" si="63"/>
        <v/>
      </c>
    </row>
    <row r="3916" spans="2:2" x14ac:dyDescent="0.2">
      <c r="B3916" t="str">
        <f t="shared" si="63"/>
        <v/>
      </c>
    </row>
    <row r="3917" spans="2:2" x14ac:dyDescent="0.2">
      <c r="B3917" t="str">
        <f t="shared" si="63"/>
        <v/>
      </c>
    </row>
    <row r="3918" spans="2:2" x14ac:dyDescent="0.2">
      <c r="B3918" t="str">
        <f t="shared" si="63"/>
        <v/>
      </c>
    </row>
    <row r="3919" spans="2:2" x14ac:dyDescent="0.2">
      <c r="B3919" t="str">
        <f t="shared" si="63"/>
        <v/>
      </c>
    </row>
    <row r="3920" spans="2:2" x14ac:dyDescent="0.2">
      <c r="B3920" t="str">
        <f t="shared" si="63"/>
        <v/>
      </c>
    </row>
    <row r="3921" spans="2:2" x14ac:dyDescent="0.2">
      <c r="B3921" t="str">
        <f t="shared" si="63"/>
        <v/>
      </c>
    </row>
    <row r="3922" spans="2:2" x14ac:dyDescent="0.2">
      <c r="B3922" t="str">
        <f t="shared" si="63"/>
        <v/>
      </c>
    </row>
    <row r="3923" spans="2:2" x14ac:dyDescent="0.2">
      <c r="B3923" t="str">
        <f t="shared" si="63"/>
        <v/>
      </c>
    </row>
    <row r="3924" spans="2:2" x14ac:dyDescent="0.2">
      <c r="B3924" t="str">
        <f t="shared" si="63"/>
        <v/>
      </c>
    </row>
    <row r="3925" spans="2:2" x14ac:dyDescent="0.2">
      <c r="B3925" t="str">
        <f t="shared" si="63"/>
        <v/>
      </c>
    </row>
    <row r="3926" spans="2:2" x14ac:dyDescent="0.2">
      <c r="B3926" t="str">
        <f t="shared" si="63"/>
        <v/>
      </c>
    </row>
    <row r="3927" spans="2:2" x14ac:dyDescent="0.2">
      <c r="B3927" t="str">
        <f t="shared" si="63"/>
        <v/>
      </c>
    </row>
    <row r="3928" spans="2:2" x14ac:dyDescent="0.2">
      <c r="B3928" t="str">
        <f t="shared" si="63"/>
        <v/>
      </c>
    </row>
    <row r="3929" spans="2:2" x14ac:dyDescent="0.2">
      <c r="B3929" t="str">
        <f t="shared" si="63"/>
        <v/>
      </c>
    </row>
    <row r="3930" spans="2:2" x14ac:dyDescent="0.2">
      <c r="B3930" t="str">
        <f t="shared" si="63"/>
        <v/>
      </c>
    </row>
    <row r="3931" spans="2:2" x14ac:dyDescent="0.2">
      <c r="B3931" t="str">
        <f t="shared" si="63"/>
        <v/>
      </c>
    </row>
    <row r="3932" spans="2:2" x14ac:dyDescent="0.2">
      <c r="B3932" t="str">
        <f t="shared" si="63"/>
        <v/>
      </c>
    </row>
    <row r="3933" spans="2:2" x14ac:dyDescent="0.2">
      <c r="B3933" t="str">
        <f t="shared" si="63"/>
        <v/>
      </c>
    </row>
    <row r="3934" spans="2:2" x14ac:dyDescent="0.2">
      <c r="B3934" t="str">
        <f t="shared" si="63"/>
        <v/>
      </c>
    </row>
    <row r="3935" spans="2:2" x14ac:dyDescent="0.2">
      <c r="B3935" t="str">
        <f t="shared" si="63"/>
        <v/>
      </c>
    </row>
    <row r="3936" spans="2:2" x14ac:dyDescent="0.2">
      <c r="B3936" t="str">
        <f t="shared" si="63"/>
        <v/>
      </c>
    </row>
    <row r="3937" spans="2:2" x14ac:dyDescent="0.2">
      <c r="B3937" t="str">
        <f t="shared" si="63"/>
        <v/>
      </c>
    </row>
    <row r="3938" spans="2:2" x14ac:dyDescent="0.2">
      <c r="B3938" t="str">
        <f t="shared" si="63"/>
        <v/>
      </c>
    </row>
    <row r="3939" spans="2:2" x14ac:dyDescent="0.2">
      <c r="B3939" t="str">
        <f t="shared" si="63"/>
        <v/>
      </c>
    </row>
    <row r="3940" spans="2:2" x14ac:dyDescent="0.2">
      <c r="B3940" t="str">
        <f t="shared" si="63"/>
        <v/>
      </c>
    </row>
    <row r="3941" spans="2:2" x14ac:dyDescent="0.2">
      <c r="B3941" t="str">
        <f t="shared" si="63"/>
        <v/>
      </c>
    </row>
    <row r="3942" spans="2:2" x14ac:dyDescent="0.2">
      <c r="B3942" t="str">
        <f t="shared" si="63"/>
        <v/>
      </c>
    </row>
    <row r="3943" spans="2:2" x14ac:dyDescent="0.2">
      <c r="B3943" t="str">
        <f t="shared" si="63"/>
        <v/>
      </c>
    </row>
    <row r="3944" spans="2:2" x14ac:dyDescent="0.2">
      <c r="B3944" t="str">
        <f t="shared" si="63"/>
        <v/>
      </c>
    </row>
    <row r="3945" spans="2:2" x14ac:dyDescent="0.2">
      <c r="B3945" t="str">
        <f t="shared" si="63"/>
        <v/>
      </c>
    </row>
    <row r="3946" spans="2:2" x14ac:dyDescent="0.2">
      <c r="B3946" t="str">
        <f t="shared" si="63"/>
        <v/>
      </c>
    </row>
    <row r="3947" spans="2:2" x14ac:dyDescent="0.2">
      <c r="B3947" t="str">
        <f t="shared" si="63"/>
        <v/>
      </c>
    </row>
    <row r="3948" spans="2:2" x14ac:dyDescent="0.2">
      <c r="B3948" t="str">
        <f t="shared" si="63"/>
        <v/>
      </c>
    </row>
    <row r="3949" spans="2:2" x14ac:dyDescent="0.2">
      <c r="B3949" t="str">
        <f t="shared" si="63"/>
        <v/>
      </c>
    </row>
    <row r="3950" spans="2:2" x14ac:dyDescent="0.2">
      <c r="B3950" t="str">
        <f t="shared" si="63"/>
        <v/>
      </c>
    </row>
    <row r="3951" spans="2:2" x14ac:dyDescent="0.2">
      <c r="B3951" t="str">
        <f t="shared" si="63"/>
        <v/>
      </c>
    </row>
    <row r="3952" spans="2:2" x14ac:dyDescent="0.2">
      <c r="B3952" t="str">
        <f t="shared" si="63"/>
        <v/>
      </c>
    </row>
    <row r="3953" spans="2:2" x14ac:dyDescent="0.2">
      <c r="B3953" t="str">
        <f t="shared" si="63"/>
        <v/>
      </c>
    </row>
    <row r="3954" spans="2:2" x14ac:dyDescent="0.2">
      <c r="B3954" t="str">
        <f t="shared" si="63"/>
        <v/>
      </c>
    </row>
    <row r="3955" spans="2:2" x14ac:dyDescent="0.2">
      <c r="B3955" t="str">
        <f t="shared" si="63"/>
        <v/>
      </c>
    </row>
    <row r="3956" spans="2:2" x14ac:dyDescent="0.2">
      <c r="B3956" t="str">
        <f t="shared" si="63"/>
        <v/>
      </c>
    </row>
    <row r="3957" spans="2:2" x14ac:dyDescent="0.2">
      <c r="B3957" t="str">
        <f t="shared" si="63"/>
        <v/>
      </c>
    </row>
    <row r="3958" spans="2:2" x14ac:dyDescent="0.2">
      <c r="B3958" t="str">
        <f t="shared" si="63"/>
        <v/>
      </c>
    </row>
    <row r="3959" spans="2:2" x14ac:dyDescent="0.2">
      <c r="B3959" t="str">
        <f t="shared" si="63"/>
        <v/>
      </c>
    </row>
    <row r="3960" spans="2:2" x14ac:dyDescent="0.2">
      <c r="B3960" t="str">
        <f t="shared" si="63"/>
        <v/>
      </c>
    </row>
    <row r="3961" spans="2:2" x14ac:dyDescent="0.2">
      <c r="B3961" t="str">
        <f t="shared" si="63"/>
        <v/>
      </c>
    </row>
    <row r="3962" spans="2:2" x14ac:dyDescent="0.2">
      <c r="B3962" t="str">
        <f t="shared" si="63"/>
        <v/>
      </c>
    </row>
    <row r="3963" spans="2:2" x14ac:dyDescent="0.2">
      <c r="B3963" t="str">
        <f t="shared" si="63"/>
        <v/>
      </c>
    </row>
    <row r="3964" spans="2:2" x14ac:dyDescent="0.2">
      <c r="B3964" t="str">
        <f t="shared" si="63"/>
        <v/>
      </c>
    </row>
    <row r="3965" spans="2:2" x14ac:dyDescent="0.2">
      <c r="B3965" t="str">
        <f t="shared" si="63"/>
        <v/>
      </c>
    </row>
    <row r="3966" spans="2:2" x14ac:dyDescent="0.2">
      <c r="B3966" t="str">
        <f t="shared" si="63"/>
        <v/>
      </c>
    </row>
    <row r="3967" spans="2:2" x14ac:dyDescent="0.2">
      <c r="B3967" t="str">
        <f t="shared" si="63"/>
        <v/>
      </c>
    </row>
    <row r="3968" spans="2:2" x14ac:dyDescent="0.2">
      <c r="B3968" t="str">
        <f t="shared" si="63"/>
        <v/>
      </c>
    </row>
    <row r="3969" spans="2:2" x14ac:dyDescent="0.2">
      <c r="B3969" t="str">
        <f t="shared" si="63"/>
        <v/>
      </c>
    </row>
    <row r="3970" spans="2:2" x14ac:dyDescent="0.2">
      <c r="B3970" t="str">
        <f t="shared" si="63"/>
        <v/>
      </c>
    </row>
    <row r="3971" spans="2:2" x14ac:dyDescent="0.2">
      <c r="B3971" t="str">
        <f t="shared" si="63"/>
        <v/>
      </c>
    </row>
    <row r="3972" spans="2:2" x14ac:dyDescent="0.2">
      <c r="B3972" t="str">
        <f t="shared" si="63"/>
        <v/>
      </c>
    </row>
    <row r="3973" spans="2:2" x14ac:dyDescent="0.2">
      <c r="B3973" t="str">
        <f t="shared" ref="B3973:B4036" si="64">D3973&amp;I3973</f>
        <v/>
      </c>
    </row>
    <row r="3974" spans="2:2" x14ac:dyDescent="0.2">
      <c r="B3974" t="str">
        <f t="shared" si="64"/>
        <v/>
      </c>
    </row>
    <row r="3975" spans="2:2" x14ac:dyDescent="0.2">
      <c r="B3975" t="str">
        <f t="shared" si="64"/>
        <v/>
      </c>
    </row>
    <row r="3976" spans="2:2" x14ac:dyDescent="0.2">
      <c r="B3976" t="str">
        <f t="shared" si="64"/>
        <v/>
      </c>
    </row>
    <row r="3977" spans="2:2" x14ac:dyDescent="0.2">
      <c r="B3977" t="str">
        <f t="shared" si="64"/>
        <v/>
      </c>
    </row>
    <row r="3978" spans="2:2" x14ac:dyDescent="0.2">
      <c r="B3978" t="str">
        <f t="shared" si="64"/>
        <v/>
      </c>
    </row>
    <row r="3979" spans="2:2" x14ac:dyDescent="0.2">
      <c r="B3979" t="str">
        <f t="shared" si="64"/>
        <v/>
      </c>
    </row>
    <row r="3980" spans="2:2" x14ac:dyDescent="0.2">
      <c r="B3980" t="str">
        <f t="shared" si="64"/>
        <v/>
      </c>
    </row>
    <row r="3981" spans="2:2" x14ac:dyDescent="0.2">
      <c r="B3981" t="str">
        <f t="shared" si="64"/>
        <v/>
      </c>
    </row>
    <row r="3982" spans="2:2" x14ac:dyDescent="0.2">
      <c r="B3982" t="str">
        <f t="shared" si="64"/>
        <v/>
      </c>
    </row>
    <row r="3983" spans="2:2" x14ac:dyDescent="0.2">
      <c r="B3983" t="str">
        <f t="shared" si="64"/>
        <v/>
      </c>
    </row>
    <row r="3984" spans="2:2" x14ac:dyDescent="0.2">
      <c r="B3984" t="str">
        <f t="shared" si="64"/>
        <v/>
      </c>
    </row>
    <row r="3985" spans="2:2" x14ac:dyDescent="0.2">
      <c r="B3985" t="str">
        <f t="shared" si="64"/>
        <v/>
      </c>
    </row>
    <row r="3986" spans="2:2" x14ac:dyDescent="0.2">
      <c r="B3986" t="str">
        <f t="shared" si="64"/>
        <v/>
      </c>
    </row>
    <row r="3987" spans="2:2" x14ac:dyDescent="0.2">
      <c r="B3987" t="str">
        <f t="shared" si="64"/>
        <v/>
      </c>
    </row>
    <row r="3988" spans="2:2" x14ac:dyDescent="0.2">
      <c r="B3988" t="str">
        <f t="shared" si="64"/>
        <v/>
      </c>
    </row>
    <row r="3989" spans="2:2" x14ac:dyDescent="0.2">
      <c r="B3989" t="str">
        <f t="shared" si="64"/>
        <v/>
      </c>
    </row>
    <row r="3990" spans="2:2" x14ac:dyDescent="0.2">
      <c r="B3990" t="str">
        <f t="shared" si="64"/>
        <v/>
      </c>
    </row>
    <row r="3991" spans="2:2" x14ac:dyDescent="0.2">
      <c r="B3991" t="str">
        <f t="shared" si="64"/>
        <v/>
      </c>
    </row>
    <row r="3992" spans="2:2" x14ac:dyDescent="0.2">
      <c r="B3992" t="str">
        <f t="shared" si="64"/>
        <v/>
      </c>
    </row>
    <row r="3993" spans="2:2" x14ac:dyDescent="0.2">
      <c r="B3993" t="str">
        <f t="shared" si="64"/>
        <v/>
      </c>
    </row>
    <row r="3994" spans="2:2" x14ac:dyDescent="0.2">
      <c r="B3994" t="str">
        <f t="shared" si="64"/>
        <v/>
      </c>
    </row>
    <row r="3995" spans="2:2" x14ac:dyDescent="0.2">
      <c r="B3995" t="str">
        <f t="shared" si="64"/>
        <v/>
      </c>
    </row>
    <row r="3996" spans="2:2" x14ac:dyDescent="0.2">
      <c r="B3996" t="str">
        <f t="shared" si="64"/>
        <v/>
      </c>
    </row>
    <row r="3997" spans="2:2" x14ac:dyDescent="0.2">
      <c r="B3997" t="str">
        <f t="shared" si="64"/>
        <v/>
      </c>
    </row>
    <row r="3998" spans="2:2" x14ac:dyDescent="0.2">
      <c r="B3998" t="str">
        <f t="shared" si="64"/>
        <v/>
      </c>
    </row>
    <row r="3999" spans="2:2" x14ac:dyDescent="0.2">
      <c r="B3999" t="str">
        <f t="shared" si="64"/>
        <v/>
      </c>
    </row>
    <row r="4000" spans="2:2" x14ac:dyDescent="0.2">
      <c r="B4000" t="str">
        <f t="shared" si="64"/>
        <v/>
      </c>
    </row>
    <row r="4001" spans="2:2" x14ac:dyDescent="0.2">
      <c r="B4001" t="str">
        <f t="shared" si="64"/>
        <v/>
      </c>
    </row>
    <row r="4002" spans="2:2" x14ac:dyDescent="0.2">
      <c r="B4002" t="str">
        <f t="shared" si="64"/>
        <v/>
      </c>
    </row>
    <row r="4003" spans="2:2" x14ac:dyDescent="0.2">
      <c r="B4003" t="str">
        <f t="shared" si="64"/>
        <v/>
      </c>
    </row>
    <row r="4004" spans="2:2" x14ac:dyDescent="0.2">
      <c r="B4004" t="str">
        <f t="shared" si="64"/>
        <v/>
      </c>
    </row>
    <row r="4005" spans="2:2" x14ac:dyDescent="0.2">
      <c r="B4005" t="str">
        <f t="shared" si="64"/>
        <v/>
      </c>
    </row>
    <row r="4006" spans="2:2" x14ac:dyDescent="0.2">
      <c r="B4006" t="str">
        <f t="shared" si="64"/>
        <v/>
      </c>
    </row>
    <row r="4007" spans="2:2" x14ac:dyDescent="0.2">
      <c r="B4007" t="str">
        <f t="shared" si="64"/>
        <v/>
      </c>
    </row>
    <row r="4008" spans="2:2" x14ac:dyDescent="0.2">
      <c r="B4008" t="str">
        <f t="shared" si="64"/>
        <v/>
      </c>
    </row>
    <row r="4009" spans="2:2" x14ac:dyDescent="0.2">
      <c r="B4009" t="str">
        <f t="shared" si="64"/>
        <v/>
      </c>
    </row>
    <row r="4010" spans="2:2" x14ac:dyDescent="0.2">
      <c r="B4010" t="str">
        <f t="shared" si="64"/>
        <v/>
      </c>
    </row>
    <row r="4011" spans="2:2" x14ac:dyDescent="0.2">
      <c r="B4011" t="str">
        <f t="shared" si="64"/>
        <v/>
      </c>
    </row>
    <row r="4012" spans="2:2" x14ac:dyDescent="0.2">
      <c r="B4012" t="str">
        <f t="shared" si="64"/>
        <v/>
      </c>
    </row>
    <row r="4013" spans="2:2" x14ac:dyDescent="0.2">
      <c r="B4013" t="str">
        <f t="shared" si="64"/>
        <v/>
      </c>
    </row>
    <row r="4014" spans="2:2" x14ac:dyDescent="0.2">
      <c r="B4014" t="str">
        <f t="shared" si="64"/>
        <v/>
      </c>
    </row>
    <row r="4015" spans="2:2" x14ac:dyDescent="0.2">
      <c r="B4015" t="str">
        <f t="shared" si="64"/>
        <v/>
      </c>
    </row>
    <row r="4016" spans="2:2" x14ac:dyDescent="0.2">
      <c r="B4016" t="str">
        <f t="shared" si="64"/>
        <v/>
      </c>
    </row>
    <row r="4017" spans="2:2" x14ac:dyDescent="0.2">
      <c r="B4017" t="str">
        <f t="shared" si="64"/>
        <v/>
      </c>
    </row>
    <row r="4018" spans="2:2" x14ac:dyDescent="0.2">
      <c r="B4018" t="str">
        <f t="shared" si="64"/>
        <v/>
      </c>
    </row>
    <row r="4019" spans="2:2" x14ac:dyDescent="0.2">
      <c r="B4019" t="str">
        <f t="shared" si="64"/>
        <v/>
      </c>
    </row>
    <row r="4020" spans="2:2" x14ac:dyDescent="0.2">
      <c r="B4020" t="str">
        <f t="shared" si="64"/>
        <v/>
      </c>
    </row>
    <row r="4021" spans="2:2" x14ac:dyDescent="0.2">
      <c r="B4021" t="str">
        <f t="shared" si="64"/>
        <v/>
      </c>
    </row>
    <row r="4022" spans="2:2" x14ac:dyDescent="0.2">
      <c r="B4022" t="str">
        <f t="shared" si="64"/>
        <v/>
      </c>
    </row>
    <row r="4023" spans="2:2" x14ac:dyDescent="0.2">
      <c r="B4023" t="str">
        <f t="shared" si="64"/>
        <v/>
      </c>
    </row>
    <row r="4024" spans="2:2" x14ac:dyDescent="0.2">
      <c r="B4024" t="str">
        <f t="shared" si="64"/>
        <v/>
      </c>
    </row>
    <row r="4025" spans="2:2" x14ac:dyDescent="0.2">
      <c r="B4025" t="str">
        <f t="shared" si="64"/>
        <v/>
      </c>
    </row>
    <row r="4026" spans="2:2" x14ac:dyDescent="0.2">
      <c r="B4026" t="str">
        <f t="shared" si="64"/>
        <v/>
      </c>
    </row>
    <row r="4027" spans="2:2" x14ac:dyDescent="0.2">
      <c r="B4027" t="str">
        <f t="shared" si="64"/>
        <v/>
      </c>
    </row>
    <row r="4028" spans="2:2" x14ac:dyDescent="0.2">
      <c r="B4028" t="str">
        <f t="shared" si="64"/>
        <v/>
      </c>
    </row>
    <row r="4029" spans="2:2" x14ac:dyDescent="0.2">
      <c r="B4029" t="str">
        <f t="shared" si="64"/>
        <v/>
      </c>
    </row>
    <row r="4030" spans="2:2" x14ac:dyDescent="0.2">
      <c r="B4030" t="str">
        <f t="shared" si="64"/>
        <v/>
      </c>
    </row>
    <row r="4031" spans="2:2" x14ac:dyDescent="0.2">
      <c r="B4031" t="str">
        <f t="shared" si="64"/>
        <v/>
      </c>
    </row>
    <row r="4032" spans="2:2" x14ac:dyDescent="0.2">
      <c r="B4032" t="str">
        <f t="shared" si="64"/>
        <v/>
      </c>
    </row>
    <row r="4033" spans="2:2" x14ac:dyDescent="0.2">
      <c r="B4033" t="str">
        <f t="shared" si="64"/>
        <v/>
      </c>
    </row>
    <row r="4034" spans="2:2" x14ac:dyDescent="0.2">
      <c r="B4034" t="str">
        <f t="shared" si="64"/>
        <v/>
      </c>
    </row>
    <row r="4035" spans="2:2" x14ac:dyDescent="0.2">
      <c r="B4035" t="str">
        <f t="shared" si="64"/>
        <v/>
      </c>
    </row>
    <row r="4036" spans="2:2" x14ac:dyDescent="0.2">
      <c r="B4036" t="str">
        <f t="shared" si="64"/>
        <v/>
      </c>
    </row>
    <row r="4037" spans="2:2" x14ac:dyDescent="0.2">
      <c r="B4037" t="str">
        <f t="shared" ref="B4037:B4100" si="65">D4037&amp;I4037</f>
        <v/>
      </c>
    </row>
    <row r="4038" spans="2:2" x14ac:dyDescent="0.2">
      <c r="B4038" t="str">
        <f t="shared" si="65"/>
        <v/>
      </c>
    </row>
    <row r="4039" spans="2:2" x14ac:dyDescent="0.2">
      <c r="B4039" t="str">
        <f t="shared" si="65"/>
        <v/>
      </c>
    </row>
    <row r="4040" spans="2:2" x14ac:dyDescent="0.2">
      <c r="B4040" t="str">
        <f t="shared" si="65"/>
        <v/>
      </c>
    </row>
    <row r="4041" spans="2:2" x14ac:dyDescent="0.2">
      <c r="B4041" t="str">
        <f t="shared" si="65"/>
        <v/>
      </c>
    </row>
    <row r="4042" spans="2:2" x14ac:dyDescent="0.2">
      <c r="B4042" t="str">
        <f t="shared" si="65"/>
        <v/>
      </c>
    </row>
    <row r="4043" spans="2:2" x14ac:dyDescent="0.2">
      <c r="B4043" t="str">
        <f t="shared" si="65"/>
        <v/>
      </c>
    </row>
    <row r="4044" spans="2:2" x14ac:dyDescent="0.2">
      <c r="B4044" t="str">
        <f t="shared" si="65"/>
        <v/>
      </c>
    </row>
    <row r="4045" spans="2:2" x14ac:dyDescent="0.2">
      <c r="B4045" t="str">
        <f t="shared" si="65"/>
        <v/>
      </c>
    </row>
    <row r="4046" spans="2:2" x14ac:dyDescent="0.2">
      <c r="B4046" t="str">
        <f t="shared" si="65"/>
        <v/>
      </c>
    </row>
    <row r="4047" spans="2:2" x14ac:dyDescent="0.2">
      <c r="B4047" t="str">
        <f t="shared" si="65"/>
        <v/>
      </c>
    </row>
    <row r="4048" spans="2:2" x14ac:dyDescent="0.2">
      <c r="B4048" t="str">
        <f t="shared" si="65"/>
        <v/>
      </c>
    </row>
    <row r="4049" spans="2:2" x14ac:dyDescent="0.2">
      <c r="B4049" t="str">
        <f t="shared" si="65"/>
        <v/>
      </c>
    </row>
    <row r="4050" spans="2:2" x14ac:dyDescent="0.2">
      <c r="B4050" t="str">
        <f t="shared" si="65"/>
        <v/>
      </c>
    </row>
    <row r="4051" spans="2:2" x14ac:dyDescent="0.2">
      <c r="B4051" t="str">
        <f t="shared" si="65"/>
        <v/>
      </c>
    </row>
    <row r="4052" spans="2:2" x14ac:dyDescent="0.2">
      <c r="B4052" t="str">
        <f t="shared" si="65"/>
        <v/>
      </c>
    </row>
    <row r="4053" spans="2:2" x14ac:dyDescent="0.2">
      <c r="B4053" t="str">
        <f t="shared" si="65"/>
        <v/>
      </c>
    </row>
    <row r="4054" spans="2:2" x14ac:dyDescent="0.2">
      <c r="B4054" t="str">
        <f t="shared" si="65"/>
        <v/>
      </c>
    </row>
    <row r="4055" spans="2:2" x14ac:dyDescent="0.2">
      <c r="B4055" t="str">
        <f t="shared" si="65"/>
        <v/>
      </c>
    </row>
    <row r="4056" spans="2:2" x14ac:dyDescent="0.2">
      <c r="B4056" t="str">
        <f t="shared" si="65"/>
        <v/>
      </c>
    </row>
    <row r="4057" spans="2:2" x14ac:dyDescent="0.2">
      <c r="B4057" t="str">
        <f t="shared" si="65"/>
        <v/>
      </c>
    </row>
    <row r="4058" spans="2:2" x14ac:dyDescent="0.2">
      <c r="B4058" t="str">
        <f t="shared" si="65"/>
        <v/>
      </c>
    </row>
    <row r="4059" spans="2:2" x14ac:dyDescent="0.2">
      <c r="B4059" t="str">
        <f t="shared" si="65"/>
        <v/>
      </c>
    </row>
    <row r="4060" spans="2:2" x14ac:dyDescent="0.2">
      <c r="B4060" t="str">
        <f t="shared" si="65"/>
        <v/>
      </c>
    </row>
    <row r="4061" spans="2:2" x14ac:dyDescent="0.2">
      <c r="B4061" t="str">
        <f t="shared" si="65"/>
        <v/>
      </c>
    </row>
    <row r="4062" spans="2:2" x14ac:dyDescent="0.2">
      <c r="B4062" t="str">
        <f t="shared" si="65"/>
        <v/>
      </c>
    </row>
    <row r="4063" spans="2:2" x14ac:dyDescent="0.2">
      <c r="B4063" t="str">
        <f t="shared" si="65"/>
        <v/>
      </c>
    </row>
    <row r="4064" spans="2:2" x14ac:dyDescent="0.2">
      <c r="B4064" t="str">
        <f t="shared" si="65"/>
        <v/>
      </c>
    </row>
    <row r="4065" spans="2:2" x14ac:dyDescent="0.2">
      <c r="B4065" t="str">
        <f t="shared" si="65"/>
        <v/>
      </c>
    </row>
    <row r="4066" spans="2:2" x14ac:dyDescent="0.2">
      <c r="B4066" t="str">
        <f t="shared" si="65"/>
        <v/>
      </c>
    </row>
    <row r="4067" spans="2:2" x14ac:dyDescent="0.2">
      <c r="B4067" t="str">
        <f t="shared" si="65"/>
        <v/>
      </c>
    </row>
    <row r="4068" spans="2:2" x14ac:dyDescent="0.2">
      <c r="B4068" t="str">
        <f t="shared" si="65"/>
        <v/>
      </c>
    </row>
    <row r="4069" spans="2:2" x14ac:dyDescent="0.2">
      <c r="B4069" t="str">
        <f t="shared" si="65"/>
        <v/>
      </c>
    </row>
    <row r="4070" spans="2:2" x14ac:dyDescent="0.2">
      <c r="B4070" t="str">
        <f t="shared" si="65"/>
        <v/>
      </c>
    </row>
    <row r="4071" spans="2:2" x14ac:dyDescent="0.2">
      <c r="B4071" t="str">
        <f t="shared" si="65"/>
        <v/>
      </c>
    </row>
    <row r="4072" spans="2:2" x14ac:dyDescent="0.2">
      <c r="B4072" t="str">
        <f t="shared" si="65"/>
        <v/>
      </c>
    </row>
    <row r="4073" spans="2:2" x14ac:dyDescent="0.2">
      <c r="B4073" t="str">
        <f t="shared" si="65"/>
        <v/>
      </c>
    </row>
    <row r="4074" spans="2:2" x14ac:dyDescent="0.2">
      <c r="B4074" t="str">
        <f t="shared" si="65"/>
        <v/>
      </c>
    </row>
    <row r="4075" spans="2:2" x14ac:dyDescent="0.2">
      <c r="B4075" t="str">
        <f t="shared" si="65"/>
        <v/>
      </c>
    </row>
    <row r="4076" spans="2:2" x14ac:dyDescent="0.2">
      <c r="B4076" t="str">
        <f t="shared" si="65"/>
        <v/>
      </c>
    </row>
    <row r="4077" spans="2:2" x14ac:dyDescent="0.2">
      <c r="B4077" t="str">
        <f t="shared" si="65"/>
        <v/>
      </c>
    </row>
    <row r="4078" spans="2:2" x14ac:dyDescent="0.2">
      <c r="B4078" t="str">
        <f t="shared" si="65"/>
        <v/>
      </c>
    </row>
    <row r="4079" spans="2:2" x14ac:dyDescent="0.2">
      <c r="B4079" t="str">
        <f t="shared" si="65"/>
        <v/>
      </c>
    </row>
    <row r="4080" spans="2:2" x14ac:dyDescent="0.2">
      <c r="B4080" t="str">
        <f t="shared" si="65"/>
        <v/>
      </c>
    </row>
    <row r="4081" spans="2:2" x14ac:dyDescent="0.2">
      <c r="B4081" t="str">
        <f t="shared" si="65"/>
        <v/>
      </c>
    </row>
    <row r="4082" spans="2:2" x14ac:dyDescent="0.2">
      <c r="B4082" t="str">
        <f t="shared" si="65"/>
        <v/>
      </c>
    </row>
    <row r="4083" spans="2:2" x14ac:dyDescent="0.2">
      <c r="B4083" t="str">
        <f t="shared" si="65"/>
        <v/>
      </c>
    </row>
    <row r="4084" spans="2:2" x14ac:dyDescent="0.2">
      <c r="B4084" t="str">
        <f t="shared" si="65"/>
        <v/>
      </c>
    </row>
    <row r="4085" spans="2:2" x14ac:dyDescent="0.2">
      <c r="B4085" t="str">
        <f t="shared" si="65"/>
        <v/>
      </c>
    </row>
    <row r="4086" spans="2:2" x14ac:dyDescent="0.2">
      <c r="B4086" t="str">
        <f t="shared" si="65"/>
        <v/>
      </c>
    </row>
    <row r="4087" spans="2:2" x14ac:dyDescent="0.2">
      <c r="B4087" t="str">
        <f t="shared" si="65"/>
        <v/>
      </c>
    </row>
    <row r="4088" spans="2:2" x14ac:dyDescent="0.2">
      <c r="B4088" t="str">
        <f t="shared" si="65"/>
        <v/>
      </c>
    </row>
    <row r="4089" spans="2:2" x14ac:dyDescent="0.2">
      <c r="B4089" t="str">
        <f t="shared" si="65"/>
        <v/>
      </c>
    </row>
    <row r="4090" spans="2:2" x14ac:dyDescent="0.2">
      <c r="B4090" t="str">
        <f t="shared" si="65"/>
        <v/>
      </c>
    </row>
    <row r="4091" spans="2:2" x14ac:dyDescent="0.2">
      <c r="B4091" t="str">
        <f t="shared" si="65"/>
        <v/>
      </c>
    </row>
    <row r="4092" spans="2:2" x14ac:dyDescent="0.2">
      <c r="B4092" t="str">
        <f t="shared" si="65"/>
        <v/>
      </c>
    </row>
    <row r="4093" spans="2:2" x14ac:dyDescent="0.2">
      <c r="B4093" t="str">
        <f t="shared" si="65"/>
        <v/>
      </c>
    </row>
    <row r="4094" spans="2:2" x14ac:dyDescent="0.2">
      <c r="B4094" t="str">
        <f t="shared" si="65"/>
        <v/>
      </c>
    </row>
    <row r="4095" spans="2:2" x14ac:dyDescent="0.2">
      <c r="B4095" t="str">
        <f t="shared" si="65"/>
        <v/>
      </c>
    </row>
    <row r="4096" spans="2:2" x14ac:dyDescent="0.2">
      <c r="B4096" t="str">
        <f t="shared" si="65"/>
        <v/>
      </c>
    </row>
    <row r="4097" spans="2:2" x14ac:dyDescent="0.2">
      <c r="B4097" t="str">
        <f t="shared" si="65"/>
        <v/>
      </c>
    </row>
    <row r="4098" spans="2:2" x14ac:dyDescent="0.2">
      <c r="B4098" t="str">
        <f t="shared" si="65"/>
        <v/>
      </c>
    </row>
    <row r="4099" spans="2:2" x14ac:dyDescent="0.2">
      <c r="B4099" t="str">
        <f t="shared" si="65"/>
        <v/>
      </c>
    </row>
    <row r="4100" spans="2:2" x14ac:dyDescent="0.2">
      <c r="B4100" t="str">
        <f t="shared" si="65"/>
        <v/>
      </c>
    </row>
    <row r="4101" spans="2:2" x14ac:dyDescent="0.2">
      <c r="B4101" t="str">
        <f t="shared" ref="B4101:B4164" si="66">D4101&amp;I4101</f>
        <v/>
      </c>
    </row>
    <row r="4102" spans="2:2" x14ac:dyDescent="0.2">
      <c r="B4102" t="str">
        <f t="shared" si="66"/>
        <v/>
      </c>
    </row>
    <row r="4103" spans="2:2" x14ac:dyDescent="0.2">
      <c r="B4103" t="str">
        <f t="shared" si="66"/>
        <v/>
      </c>
    </row>
    <row r="4104" spans="2:2" x14ac:dyDescent="0.2">
      <c r="B4104" t="str">
        <f t="shared" si="66"/>
        <v/>
      </c>
    </row>
    <row r="4105" spans="2:2" x14ac:dyDescent="0.2">
      <c r="B4105" t="str">
        <f t="shared" si="66"/>
        <v/>
      </c>
    </row>
    <row r="4106" spans="2:2" x14ac:dyDescent="0.2">
      <c r="B4106" t="str">
        <f t="shared" si="66"/>
        <v/>
      </c>
    </row>
    <row r="4107" spans="2:2" x14ac:dyDescent="0.2">
      <c r="B4107" t="str">
        <f t="shared" si="66"/>
        <v/>
      </c>
    </row>
    <row r="4108" spans="2:2" x14ac:dyDescent="0.2">
      <c r="B4108" t="str">
        <f t="shared" si="66"/>
        <v/>
      </c>
    </row>
    <row r="4109" spans="2:2" x14ac:dyDescent="0.2">
      <c r="B4109" t="str">
        <f t="shared" si="66"/>
        <v/>
      </c>
    </row>
    <row r="4110" spans="2:2" x14ac:dyDescent="0.2">
      <c r="B4110" t="str">
        <f t="shared" si="66"/>
        <v/>
      </c>
    </row>
    <row r="4111" spans="2:2" x14ac:dyDescent="0.2">
      <c r="B4111" t="str">
        <f t="shared" si="66"/>
        <v/>
      </c>
    </row>
    <row r="4112" spans="2:2" x14ac:dyDescent="0.2">
      <c r="B4112" t="str">
        <f t="shared" si="66"/>
        <v/>
      </c>
    </row>
    <row r="4113" spans="2:2" x14ac:dyDescent="0.2">
      <c r="B4113" t="str">
        <f t="shared" si="66"/>
        <v/>
      </c>
    </row>
    <row r="4114" spans="2:2" x14ac:dyDescent="0.2">
      <c r="B4114" t="str">
        <f t="shared" si="66"/>
        <v/>
      </c>
    </row>
    <row r="4115" spans="2:2" x14ac:dyDescent="0.2">
      <c r="B4115" t="str">
        <f t="shared" si="66"/>
        <v/>
      </c>
    </row>
    <row r="4116" spans="2:2" x14ac:dyDescent="0.2">
      <c r="B4116" t="str">
        <f t="shared" si="66"/>
        <v/>
      </c>
    </row>
    <row r="4117" spans="2:2" x14ac:dyDescent="0.2">
      <c r="B4117" t="str">
        <f t="shared" si="66"/>
        <v/>
      </c>
    </row>
    <row r="4118" spans="2:2" x14ac:dyDescent="0.2">
      <c r="B4118" t="str">
        <f t="shared" si="66"/>
        <v/>
      </c>
    </row>
    <row r="4119" spans="2:2" x14ac:dyDescent="0.2">
      <c r="B4119" t="str">
        <f t="shared" si="66"/>
        <v/>
      </c>
    </row>
    <row r="4120" spans="2:2" x14ac:dyDescent="0.2">
      <c r="B4120" t="str">
        <f t="shared" si="66"/>
        <v/>
      </c>
    </row>
    <row r="4121" spans="2:2" x14ac:dyDescent="0.2">
      <c r="B4121" t="str">
        <f t="shared" si="66"/>
        <v/>
      </c>
    </row>
    <row r="4122" spans="2:2" x14ac:dyDescent="0.2">
      <c r="B4122" t="str">
        <f t="shared" si="66"/>
        <v/>
      </c>
    </row>
    <row r="4123" spans="2:2" x14ac:dyDescent="0.2">
      <c r="B4123" t="str">
        <f t="shared" si="66"/>
        <v/>
      </c>
    </row>
    <row r="4124" spans="2:2" x14ac:dyDescent="0.2">
      <c r="B4124" t="str">
        <f t="shared" si="66"/>
        <v/>
      </c>
    </row>
    <row r="4125" spans="2:2" x14ac:dyDescent="0.2">
      <c r="B4125" t="str">
        <f t="shared" si="66"/>
        <v/>
      </c>
    </row>
    <row r="4126" spans="2:2" x14ac:dyDescent="0.2">
      <c r="B4126" t="str">
        <f t="shared" si="66"/>
        <v/>
      </c>
    </row>
    <row r="4127" spans="2:2" x14ac:dyDescent="0.2">
      <c r="B4127" t="str">
        <f t="shared" si="66"/>
        <v/>
      </c>
    </row>
    <row r="4128" spans="2:2" x14ac:dyDescent="0.2">
      <c r="B4128" t="str">
        <f t="shared" si="66"/>
        <v/>
      </c>
    </row>
    <row r="4129" spans="2:2" x14ac:dyDescent="0.2">
      <c r="B4129" t="str">
        <f t="shared" si="66"/>
        <v/>
      </c>
    </row>
    <row r="4130" spans="2:2" x14ac:dyDescent="0.2">
      <c r="B4130" t="str">
        <f t="shared" si="66"/>
        <v/>
      </c>
    </row>
    <row r="4131" spans="2:2" x14ac:dyDescent="0.2">
      <c r="B4131" t="str">
        <f t="shared" si="66"/>
        <v/>
      </c>
    </row>
    <row r="4132" spans="2:2" x14ac:dyDescent="0.2">
      <c r="B4132" t="str">
        <f t="shared" si="66"/>
        <v/>
      </c>
    </row>
    <row r="4133" spans="2:2" x14ac:dyDescent="0.2">
      <c r="B4133" t="str">
        <f t="shared" si="66"/>
        <v/>
      </c>
    </row>
    <row r="4134" spans="2:2" x14ac:dyDescent="0.2">
      <c r="B4134" t="str">
        <f t="shared" si="66"/>
        <v/>
      </c>
    </row>
    <row r="4135" spans="2:2" x14ac:dyDescent="0.2">
      <c r="B4135" t="str">
        <f t="shared" si="66"/>
        <v/>
      </c>
    </row>
    <row r="4136" spans="2:2" x14ac:dyDescent="0.2">
      <c r="B4136" t="str">
        <f t="shared" si="66"/>
        <v/>
      </c>
    </row>
    <row r="4137" spans="2:2" x14ac:dyDescent="0.2">
      <c r="B4137" t="str">
        <f t="shared" si="66"/>
        <v/>
      </c>
    </row>
    <row r="4138" spans="2:2" x14ac:dyDescent="0.2">
      <c r="B4138" t="str">
        <f t="shared" si="66"/>
        <v/>
      </c>
    </row>
    <row r="4139" spans="2:2" x14ac:dyDescent="0.2">
      <c r="B4139" t="str">
        <f t="shared" si="66"/>
        <v/>
      </c>
    </row>
    <row r="4140" spans="2:2" x14ac:dyDescent="0.2">
      <c r="B4140" t="str">
        <f t="shared" si="66"/>
        <v/>
      </c>
    </row>
    <row r="4141" spans="2:2" x14ac:dyDescent="0.2">
      <c r="B4141" t="str">
        <f t="shared" si="66"/>
        <v/>
      </c>
    </row>
    <row r="4142" spans="2:2" x14ac:dyDescent="0.2">
      <c r="B4142" t="str">
        <f t="shared" si="66"/>
        <v/>
      </c>
    </row>
    <row r="4143" spans="2:2" x14ac:dyDescent="0.2">
      <c r="B4143" t="str">
        <f t="shared" si="66"/>
        <v/>
      </c>
    </row>
    <row r="4144" spans="2:2" x14ac:dyDescent="0.2">
      <c r="B4144" t="str">
        <f t="shared" si="66"/>
        <v/>
      </c>
    </row>
    <row r="4145" spans="2:2" x14ac:dyDescent="0.2">
      <c r="B4145" t="str">
        <f t="shared" si="66"/>
        <v/>
      </c>
    </row>
    <row r="4146" spans="2:2" x14ac:dyDescent="0.2">
      <c r="B4146" t="str">
        <f t="shared" si="66"/>
        <v/>
      </c>
    </row>
    <row r="4147" spans="2:2" x14ac:dyDescent="0.2">
      <c r="B4147" t="str">
        <f t="shared" si="66"/>
        <v/>
      </c>
    </row>
    <row r="4148" spans="2:2" x14ac:dyDescent="0.2">
      <c r="B4148" t="str">
        <f t="shared" si="66"/>
        <v/>
      </c>
    </row>
    <row r="4149" spans="2:2" x14ac:dyDescent="0.2">
      <c r="B4149" t="str">
        <f t="shared" si="66"/>
        <v/>
      </c>
    </row>
    <row r="4150" spans="2:2" x14ac:dyDescent="0.2">
      <c r="B4150" t="str">
        <f t="shared" si="66"/>
        <v/>
      </c>
    </row>
    <row r="4151" spans="2:2" x14ac:dyDescent="0.2">
      <c r="B4151" t="str">
        <f t="shared" si="66"/>
        <v/>
      </c>
    </row>
    <row r="4152" spans="2:2" x14ac:dyDescent="0.2">
      <c r="B4152" t="str">
        <f t="shared" si="66"/>
        <v/>
      </c>
    </row>
    <row r="4153" spans="2:2" x14ac:dyDescent="0.2">
      <c r="B4153" t="str">
        <f t="shared" si="66"/>
        <v/>
      </c>
    </row>
    <row r="4154" spans="2:2" x14ac:dyDescent="0.2">
      <c r="B4154" t="str">
        <f t="shared" si="66"/>
        <v/>
      </c>
    </row>
    <row r="4155" spans="2:2" x14ac:dyDescent="0.2">
      <c r="B4155" t="str">
        <f t="shared" si="66"/>
        <v/>
      </c>
    </row>
    <row r="4156" spans="2:2" x14ac:dyDescent="0.2">
      <c r="B4156" t="str">
        <f t="shared" si="66"/>
        <v/>
      </c>
    </row>
    <row r="4157" spans="2:2" x14ac:dyDescent="0.2">
      <c r="B4157" t="str">
        <f t="shared" si="66"/>
        <v/>
      </c>
    </row>
    <row r="4158" spans="2:2" x14ac:dyDescent="0.2">
      <c r="B4158" t="str">
        <f t="shared" si="66"/>
        <v/>
      </c>
    </row>
    <row r="4159" spans="2:2" x14ac:dyDescent="0.2">
      <c r="B4159" t="str">
        <f t="shared" si="66"/>
        <v/>
      </c>
    </row>
    <row r="4160" spans="2:2" x14ac:dyDescent="0.2">
      <c r="B4160" t="str">
        <f t="shared" si="66"/>
        <v/>
      </c>
    </row>
    <row r="4161" spans="2:2" x14ac:dyDescent="0.2">
      <c r="B4161" t="str">
        <f t="shared" si="66"/>
        <v/>
      </c>
    </row>
    <row r="4162" spans="2:2" x14ac:dyDescent="0.2">
      <c r="B4162" t="str">
        <f t="shared" si="66"/>
        <v/>
      </c>
    </row>
    <row r="4163" spans="2:2" x14ac:dyDescent="0.2">
      <c r="B4163" t="str">
        <f t="shared" si="66"/>
        <v/>
      </c>
    </row>
    <row r="4164" spans="2:2" x14ac:dyDescent="0.2">
      <c r="B4164" t="str">
        <f t="shared" si="66"/>
        <v/>
      </c>
    </row>
    <row r="4165" spans="2:2" x14ac:dyDescent="0.2">
      <c r="B4165" t="str">
        <f t="shared" ref="B4165:B4228" si="67">D4165&amp;I4165</f>
        <v/>
      </c>
    </row>
    <row r="4166" spans="2:2" x14ac:dyDescent="0.2">
      <c r="B4166" t="str">
        <f t="shared" si="67"/>
        <v/>
      </c>
    </row>
    <row r="4167" spans="2:2" x14ac:dyDescent="0.2">
      <c r="B4167" t="str">
        <f t="shared" si="67"/>
        <v/>
      </c>
    </row>
    <row r="4168" spans="2:2" x14ac:dyDescent="0.2">
      <c r="B4168" t="str">
        <f t="shared" si="67"/>
        <v/>
      </c>
    </row>
    <row r="4169" spans="2:2" x14ac:dyDescent="0.2">
      <c r="B4169" t="str">
        <f t="shared" si="67"/>
        <v/>
      </c>
    </row>
    <row r="4170" spans="2:2" x14ac:dyDescent="0.2">
      <c r="B4170" t="str">
        <f t="shared" si="67"/>
        <v/>
      </c>
    </row>
    <row r="4171" spans="2:2" x14ac:dyDescent="0.2">
      <c r="B4171" t="str">
        <f t="shared" si="67"/>
        <v/>
      </c>
    </row>
    <row r="4172" spans="2:2" x14ac:dyDescent="0.2">
      <c r="B4172" t="str">
        <f t="shared" si="67"/>
        <v/>
      </c>
    </row>
    <row r="4173" spans="2:2" x14ac:dyDescent="0.2">
      <c r="B4173" t="str">
        <f t="shared" si="67"/>
        <v/>
      </c>
    </row>
    <row r="4174" spans="2:2" x14ac:dyDescent="0.2">
      <c r="B4174" t="str">
        <f t="shared" si="67"/>
        <v/>
      </c>
    </row>
    <row r="4175" spans="2:2" x14ac:dyDescent="0.2">
      <c r="B4175" t="str">
        <f t="shared" si="67"/>
        <v/>
      </c>
    </row>
    <row r="4176" spans="2:2" x14ac:dyDescent="0.2">
      <c r="B4176" t="str">
        <f t="shared" si="67"/>
        <v/>
      </c>
    </row>
    <row r="4177" spans="2:2" x14ac:dyDescent="0.2">
      <c r="B4177" t="str">
        <f t="shared" si="67"/>
        <v/>
      </c>
    </row>
    <row r="4178" spans="2:2" x14ac:dyDescent="0.2">
      <c r="B4178" t="str">
        <f t="shared" si="67"/>
        <v/>
      </c>
    </row>
    <row r="4179" spans="2:2" x14ac:dyDescent="0.2">
      <c r="B4179" t="str">
        <f t="shared" si="67"/>
        <v/>
      </c>
    </row>
    <row r="4180" spans="2:2" x14ac:dyDescent="0.2">
      <c r="B4180" t="str">
        <f t="shared" si="67"/>
        <v/>
      </c>
    </row>
    <row r="4181" spans="2:2" x14ac:dyDescent="0.2">
      <c r="B4181" t="str">
        <f t="shared" si="67"/>
        <v/>
      </c>
    </row>
    <row r="4182" spans="2:2" x14ac:dyDescent="0.2">
      <c r="B4182" t="str">
        <f t="shared" si="67"/>
        <v/>
      </c>
    </row>
    <row r="4183" spans="2:2" x14ac:dyDescent="0.2">
      <c r="B4183" t="str">
        <f t="shared" si="67"/>
        <v/>
      </c>
    </row>
    <row r="4184" spans="2:2" x14ac:dyDescent="0.2">
      <c r="B4184" t="str">
        <f t="shared" si="67"/>
        <v/>
      </c>
    </row>
    <row r="4185" spans="2:2" x14ac:dyDescent="0.2">
      <c r="B4185" t="str">
        <f t="shared" si="67"/>
        <v/>
      </c>
    </row>
    <row r="4186" spans="2:2" x14ac:dyDescent="0.2">
      <c r="B4186" t="str">
        <f t="shared" si="67"/>
        <v/>
      </c>
    </row>
    <row r="4187" spans="2:2" x14ac:dyDescent="0.2">
      <c r="B4187" t="str">
        <f t="shared" si="67"/>
        <v/>
      </c>
    </row>
    <row r="4188" spans="2:2" x14ac:dyDescent="0.2">
      <c r="B4188" t="str">
        <f t="shared" si="67"/>
        <v/>
      </c>
    </row>
    <row r="4189" spans="2:2" x14ac:dyDescent="0.2">
      <c r="B4189" t="str">
        <f t="shared" si="67"/>
        <v/>
      </c>
    </row>
    <row r="4190" spans="2:2" x14ac:dyDescent="0.2">
      <c r="B4190" t="str">
        <f t="shared" si="67"/>
        <v/>
      </c>
    </row>
    <row r="4191" spans="2:2" x14ac:dyDescent="0.2">
      <c r="B4191" t="str">
        <f t="shared" si="67"/>
        <v/>
      </c>
    </row>
    <row r="4192" spans="2:2" x14ac:dyDescent="0.2">
      <c r="B4192" t="str">
        <f t="shared" si="67"/>
        <v/>
      </c>
    </row>
    <row r="4193" spans="2:2" x14ac:dyDescent="0.2">
      <c r="B4193" t="str">
        <f t="shared" si="67"/>
        <v/>
      </c>
    </row>
    <row r="4194" spans="2:2" x14ac:dyDescent="0.2">
      <c r="B4194" t="str">
        <f t="shared" si="67"/>
        <v/>
      </c>
    </row>
    <row r="4195" spans="2:2" x14ac:dyDescent="0.2">
      <c r="B4195" t="str">
        <f t="shared" si="67"/>
        <v/>
      </c>
    </row>
    <row r="4196" spans="2:2" x14ac:dyDescent="0.2">
      <c r="B4196" t="str">
        <f t="shared" si="67"/>
        <v/>
      </c>
    </row>
    <row r="4197" spans="2:2" x14ac:dyDescent="0.2">
      <c r="B4197" t="str">
        <f t="shared" si="67"/>
        <v/>
      </c>
    </row>
    <row r="4198" spans="2:2" x14ac:dyDescent="0.2">
      <c r="B4198" t="str">
        <f t="shared" si="67"/>
        <v/>
      </c>
    </row>
    <row r="4199" spans="2:2" x14ac:dyDescent="0.2">
      <c r="B4199" t="str">
        <f t="shared" si="67"/>
        <v/>
      </c>
    </row>
    <row r="4200" spans="2:2" x14ac:dyDescent="0.2">
      <c r="B4200" t="str">
        <f t="shared" si="67"/>
        <v/>
      </c>
    </row>
    <row r="4201" spans="2:2" x14ac:dyDescent="0.2">
      <c r="B4201" t="str">
        <f t="shared" si="67"/>
        <v/>
      </c>
    </row>
    <row r="4202" spans="2:2" x14ac:dyDescent="0.2">
      <c r="B4202" t="str">
        <f t="shared" si="67"/>
        <v/>
      </c>
    </row>
    <row r="4203" spans="2:2" x14ac:dyDescent="0.2">
      <c r="B4203" t="str">
        <f t="shared" si="67"/>
        <v/>
      </c>
    </row>
    <row r="4204" spans="2:2" x14ac:dyDescent="0.2">
      <c r="B4204" t="str">
        <f t="shared" si="67"/>
        <v/>
      </c>
    </row>
    <row r="4205" spans="2:2" x14ac:dyDescent="0.2">
      <c r="B4205" t="str">
        <f t="shared" si="67"/>
        <v/>
      </c>
    </row>
    <row r="4206" spans="2:2" x14ac:dyDescent="0.2">
      <c r="B4206" t="str">
        <f t="shared" si="67"/>
        <v/>
      </c>
    </row>
    <row r="4207" spans="2:2" x14ac:dyDescent="0.2">
      <c r="B4207" t="str">
        <f t="shared" si="67"/>
        <v/>
      </c>
    </row>
    <row r="4208" spans="2:2" x14ac:dyDescent="0.2">
      <c r="B4208" t="str">
        <f t="shared" si="67"/>
        <v/>
      </c>
    </row>
    <row r="4209" spans="2:2" x14ac:dyDescent="0.2">
      <c r="B4209" t="str">
        <f t="shared" si="67"/>
        <v/>
      </c>
    </row>
    <row r="4210" spans="2:2" x14ac:dyDescent="0.2">
      <c r="B4210" t="str">
        <f t="shared" si="67"/>
        <v/>
      </c>
    </row>
    <row r="4211" spans="2:2" x14ac:dyDescent="0.2">
      <c r="B4211" t="str">
        <f t="shared" si="67"/>
        <v/>
      </c>
    </row>
    <row r="4212" spans="2:2" x14ac:dyDescent="0.2">
      <c r="B4212" t="str">
        <f t="shared" si="67"/>
        <v/>
      </c>
    </row>
    <row r="4213" spans="2:2" x14ac:dyDescent="0.2">
      <c r="B4213" t="str">
        <f t="shared" si="67"/>
        <v/>
      </c>
    </row>
    <row r="4214" spans="2:2" x14ac:dyDescent="0.2">
      <c r="B4214" t="str">
        <f t="shared" si="67"/>
        <v/>
      </c>
    </row>
    <row r="4215" spans="2:2" x14ac:dyDescent="0.2">
      <c r="B4215" t="str">
        <f t="shared" si="67"/>
        <v/>
      </c>
    </row>
    <row r="4216" spans="2:2" x14ac:dyDescent="0.2">
      <c r="B4216" t="str">
        <f t="shared" si="67"/>
        <v/>
      </c>
    </row>
    <row r="4217" spans="2:2" x14ac:dyDescent="0.2">
      <c r="B4217" t="str">
        <f t="shared" si="67"/>
        <v/>
      </c>
    </row>
    <row r="4218" spans="2:2" x14ac:dyDescent="0.2">
      <c r="B4218" t="str">
        <f t="shared" si="67"/>
        <v/>
      </c>
    </row>
    <row r="4219" spans="2:2" x14ac:dyDescent="0.2">
      <c r="B4219" t="str">
        <f t="shared" si="67"/>
        <v/>
      </c>
    </row>
    <row r="4220" spans="2:2" x14ac:dyDescent="0.2">
      <c r="B4220" t="str">
        <f t="shared" si="67"/>
        <v/>
      </c>
    </row>
    <row r="4221" spans="2:2" x14ac:dyDescent="0.2">
      <c r="B4221" t="str">
        <f t="shared" si="67"/>
        <v/>
      </c>
    </row>
    <row r="4222" spans="2:2" x14ac:dyDescent="0.2">
      <c r="B4222" t="str">
        <f t="shared" si="67"/>
        <v/>
      </c>
    </row>
    <row r="4223" spans="2:2" x14ac:dyDescent="0.2">
      <c r="B4223" t="str">
        <f t="shared" si="67"/>
        <v/>
      </c>
    </row>
    <row r="4224" spans="2:2" x14ac:dyDescent="0.2">
      <c r="B4224" t="str">
        <f t="shared" si="67"/>
        <v/>
      </c>
    </row>
    <row r="4225" spans="2:2" x14ac:dyDescent="0.2">
      <c r="B4225" t="str">
        <f t="shared" si="67"/>
        <v/>
      </c>
    </row>
    <row r="4226" spans="2:2" x14ac:dyDescent="0.2">
      <c r="B4226" t="str">
        <f t="shared" si="67"/>
        <v/>
      </c>
    </row>
    <row r="4227" spans="2:2" x14ac:dyDescent="0.2">
      <c r="B4227" t="str">
        <f t="shared" si="67"/>
        <v/>
      </c>
    </row>
    <row r="4228" spans="2:2" x14ac:dyDescent="0.2">
      <c r="B4228" t="str">
        <f t="shared" si="67"/>
        <v/>
      </c>
    </row>
    <row r="4229" spans="2:2" x14ac:dyDescent="0.2">
      <c r="B4229" t="str">
        <f t="shared" ref="B4229:B4292" si="68">D4229&amp;I4229</f>
        <v/>
      </c>
    </row>
    <row r="4230" spans="2:2" x14ac:dyDescent="0.2">
      <c r="B4230" t="str">
        <f t="shared" si="68"/>
        <v/>
      </c>
    </row>
    <row r="4231" spans="2:2" x14ac:dyDescent="0.2">
      <c r="B4231" t="str">
        <f t="shared" si="68"/>
        <v/>
      </c>
    </row>
    <row r="4232" spans="2:2" x14ac:dyDescent="0.2">
      <c r="B4232" t="str">
        <f t="shared" si="68"/>
        <v/>
      </c>
    </row>
    <row r="4233" spans="2:2" x14ac:dyDescent="0.2">
      <c r="B4233" t="str">
        <f t="shared" si="68"/>
        <v/>
      </c>
    </row>
    <row r="4234" spans="2:2" x14ac:dyDescent="0.2">
      <c r="B4234" t="str">
        <f t="shared" si="68"/>
        <v/>
      </c>
    </row>
    <row r="4235" spans="2:2" x14ac:dyDescent="0.2">
      <c r="B4235" t="str">
        <f t="shared" si="68"/>
        <v/>
      </c>
    </row>
    <row r="4236" spans="2:2" x14ac:dyDescent="0.2">
      <c r="B4236" t="str">
        <f t="shared" si="68"/>
        <v/>
      </c>
    </row>
    <row r="4237" spans="2:2" x14ac:dyDescent="0.2">
      <c r="B4237" t="str">
        <f t="shared" si="68"/>
        <v/>
      </c>
    </row>
    <row r="4238" spans="2:2" x14ac:dyDescent="0.2">
      <c r="B4238" t="str">
        <f t="shared" si="68"/>
        <v/>
      </c>
    </row>
    <row r="4239" spans="2:2" x14ac:dyDescent="0.2">
      <c r="B4239" t="str">
        <f t="shared" si="68"/>
        <v/>
      </c>
    </row>
    <row r="4240" spans="2:2" x14ac:dyDescent="0.2">
      <c r="B4240" t="str">
        <f t="shared" si="68"/>
        <v/>
      </c>
    </row>
    <row r="4241" spans="2:2" x14ac:dyDescent="0.2">
      <c r="B4241" t="str">
        <f t="shared" si="68"/>
        <v/>
      </c>
    </row>
    <row r="4242" spans="2:2" x14ac:dyDescent="0.2">
      <c r="B4242" t="str">
        <f t="shared" si="68"/>
        <v/>
      </c>
    </row>
    <row r="4243" spans="2:2" x14ac:dyDescent="0.2">
      <c r="B4243" t="str">
        <f t="shared" si="68"/>
        <v/>
      </c>
    </row>
    <row r="4244" spans="2:2" x14ac:dyDescent="0.2">
      <c r="B4244" t="str">
        <f t="shared" si="68"/>
        <v/>
      </c>
    </row>
    <row r="4245" spans="2:2" x14ac:dyDescent="0.2">
      <c r="B4245" t="str">
        <f t="shared" si="68"/>
        <v/>
      </c>
    </row>
    <row r="4246" spans="2:2" x14ac:dyDescent="0.2">
      <c r="B4246" t="str">
        <f t="shared" si="68"/>
        <v/>
      </c>
    </row>
    <row r="4247" spans="2:2" x14ac:dyDescent="0.2">
      <c r="B4247" t="str">
        <f t="shared" si="68"/>
        <v/>
      </c>
    </row>
    <row r="4248" spans="2:2" x14ac:dyDescent="0.2">
      <c r="B4248" t="str">
        <f t="shared" si="68"/>
        <v/>
      </c>
    </row>
    <row r="4249" spans="2:2" x14ac:dyDescent="0.2">
      <c r="B4249" t="str">
        <f t="shared" si="68"/>
        <v/>
      </c>
    </row>
    <row r="4250" spans="2:2" x14ac:dyDescent="0.2">
      <c r="B4250" t="str">
        <f t="shared" si="68"/>
        <v/>
      </c>
    </row>
    <row r="4251" spans="2:2" x14ac:dyDescent="0.2">
      <c r="B4251" t="str">
        <f t="shared" si="68"/>
        <v/>
      </c>
    </row>
    <row r="4252" spans="2:2" x14ac:dyDescent="0.2">
      <c r="B4252" t="str">
        <f t="shared" si="68"/>
        <v/>
      </c>
    </row>
    <row r="4253" spans="2:2" x14ac:dyDescent="0.2">
      <c r="B4253" t="str">
        <f t="shared" si="68"/>
        <v/>
      </c>
    </row>
    <row r="4254" spans="2:2" x14ac:dyDescent="0.2">
      <c r="B4254" t="str">
        <f t="shared" si="68"/>
        <v/>
      </c>
    </row>
    <row r="4255" spans="2:2" x14ac:dyDescent="0.2">
      <c r="B4255" t="str">
        <f t="shared" si="68"/>
        <v/>
      </c>
    </row>
    <row r="4256" spans="2:2" x14ac:dyDescent="0.2">
      <c r="B4256" t="str">
        <f t="shared" si="68"/>
        <v/>
      </c>
    </row>
    <row r="4257" spans="2:2" x14ac:dyDescent="0.2">
      <c r="B4257" t="str">
        <f t="shared" si="68"/>
        <v/>
      </c>
    </row>
    <row r="4258" spans="2:2" x14ac:dyDescent="0.2">
      <c r="B4258" t="str">
        <f t="shared" si="68"/>
        <v/>
      </c>
    </row>
    <row r="4259" spans="2:2" x14ac:dyDescent="0.2">
      <c r="B4259" t="str">
        <f t="shared" si="68"/>
        <v/>
      </c>
    </row>
    <row r="4260" spans="2:2" x14ac:dyDescent="0.2">
      <c r="B4260" t="str">
        <f t="shared" si="68"/>
        <v/>
      </c>
    </row>
    <row r="4261" spans="2:2" x14ac:dyDescent="0.2">
      <c r="B4261" t="str">
        <f t="shared" si="68"/>
        <v/>
      </c>
    </row>
    <row r="4262" spans="2:2" x14ac:dyDescent="0.2">
      <c r="B4262" t="str">
        <f t="shared" si="68"/>
        <v/>
      </c>
    </row>
    <row r="4263" spans="2:2" x14ac:dyDescent="0.2">
      <c r="B4263" t="str">
        <f t="shared" si="68"/>
        <v/>
      </c>
    </row>
    <row r="4264" spans="2:2" x14ac:dyDescent="0.2">
      <c r="B4264" t="str">
        <f t="shared" si="68"/>
        <v/>
      </c>
    </row>
    <row r="4265" spans="2:2" x14ac:dyDescent="0.2">
      <c r="B4265" t="str">
        <f t="shared" si="68"/>
        <v/>
      </c>
    </row>
    <row r="4266" spans="2:2" x14ac:dyDescent="0.2">
      <c r="B4266" t="str">
        <f t="shared" si="68"/>
        <v/>
      </c>
    </row>
    <row r="4267" spans="2:2" x14ac:dyDescent="0.2">
      <c r="B4267" t="str">
        <f t="shared" si="68"/>
        <v/>
      </c>
    </row>
    <row r="4268" spans="2:2" x14ac:dyDescent="0.2">
      <c r="B4268" t="str">
        <f t="shared" si="68"/>
        <v/>
      </c>
    </row>
    <row r="4269" spans="2:2" x14ac:dyDescent="0.2">
      <c r="B4269" t="str">
        <f t="shared" si="68"/>
        <v/>
      </c>
    </row>
    <row r="4270" spans="2:2" x14ac:dyDescent="0.2">
      <c r="B4270" t="str">
        <f t="shared" si="68"/>
        <v/>
      </c>
    </row>
    <row r="4271" spans="2:2" x14ac:dyDescent="0.2">
      <c r="B4271" t="str">
        <f t="shared" si="68"/>
        <v/>
      </c>
    </row>
    <row r="4272" spans="2:2" x14ac:dyDescent="0.2">
      <c r="B4272" t="str">
        <f t="shared" si="68"/>
        <v/>
      </c>
    </row>
    <row r="4273" spans="2:2" x14ac:dyDescent="0.2">
      <c r="B4273" t="str">
        <f t="shared" si="68"/>
        <v/>
      </c>
    </row>
    <row r="4274" spans="2:2" x14ac:dyDescent="0.2">
      <c r="B4274" t="str">
        <f t="shared" si="68"/>
        <v/>
      </c>
    </row>
    <row r="4275" spans="2:2" x14ac:dyDescent="0.2">
      <c r="B4275" t="str">
        <f t="shared" si="68"/>
        <v/>
      </c>
    </row>
    <row r="4276" spans="2:2" x14ac:dyDescent="0.2">
      <c r="B4276" t="str">
        <f t="shared" si="68"/>
        <v/>
      </c>
    </row>
    <row r="4277" spans="2:2" x14ac:dyDescent="0.2">
      <c r="B4277" t="str">
        <f t="shared" si="68"/>
        <v/>
      </c>
    </row>
    <row r="4278" spans="2:2" x14ac:dyDescent="0.2">
      <c r="B4278" t="str">
        <f t="shared" si="68"/>
        <v/>
      </c>
    </row>
    <row r="4279" spans="2:2" x14ac:dyDescent="0.2">
      <c r="B4279" t="str">
        <f t="shared" si="68"/>
        <v/>
      </c>
    </row>
    <row r="4280" spans="2:2" x14ac:dyDescent="0.2">
      <c r="B4280" t="str">
        <f t="shared" si="68"/>
        <v/>
      </c>
    </row>
    <row r="4281" spans="2:2" x14ac:dyDescent="0.2">
      <c r="B4281" t="str">
        <f t="shared" si="68"/>
        <v/>
      </c>
    </row>
    <row r="4282" spans="2:2" x14ac:dyDescent="0.2">
      <c r="B4282" t="str">
        <f t="shared" si="68"/>
        <v/>
      </c>
    </row>
    <row r="4283" spans="2:2" x14ac:dyDescent="0.2">
      <c r="B4283" t="str">
        <f t="shared" si="68"/>
        <v/>
      </c>
    </row>
    <row r="4284" spans="2:2" x14ac:dyDescent="0.2">
      <c r="B4284" t="str">
        <f t="shared" si="68"/>
        <v/>
      </c>
    </row>
    <row r="4285" spans="2:2" x14ac:dyDescent="0.2">
      <c r="B4285" t="str">
        <f t="shared" si="68"/>
        <v/>
      </c>
    </row>
    <row r="4286" spans="2:2" x14ac:dyDescent="0.2">
      <c r="B4286" t="str">
        <f t="shared" si="68"/>
        <v/>
      </c>
    </row>
    <row r="4287" spans="2:2" x14ac:dyDescent="0.2">
      <c r="B4287" t="str">
        <f t="shared" si="68"/>
        <v/>
      </c>
    </row>
    <row r="4288" spans="2:2" x14ac:dyDescent="0.2">
      <c r="B4288" t="str">
        <f t="shared" si="68"/>
        <v/>
      </c>
    </row>
    <row r="4289" spans="2:2" x14ac:dyDescent="0.2">
      <c r="B4289" t="str">
        <f t="shared" si="68"/>
        <v/>
      </c>
    </row>
    <row r="4290" spans="2:2" x14ac:dyDescent="0.2">
      <c r="B4290" t="str">
        <f t="shared" si="68"/>
        <v/>
      </c>
    </row>
    <row r="4291" spans="2:2" x14ac:dyDescent="0.2">
      <c r="B4291" t="str">
        <f t="shared" si="68"/>
        <v/>
      </c>
    </row>
    <row r="4292" spans="2:2" x14ac:dyDescent="0.2">
      <c r="B4292" t="str">
        <f t="shared" si="68"/>
        <v/>
      </c>
    </row>
    <row r="4293" spans="2:2" x14ac:dyDescent="0.2">
      <c r="B4293" t="str">
        <f t="shared" ref="B4293:B4356" si="69">D4293&amp;I4293</f>
        <v/>
      </c>
    </row>
    <row r="4294" spans="2:2" x14ac:dyDescent="0.2">
      <c r="B4294" t="str">
        <f t="shared" si="69"/>
        <v/>
      </c>
    </row>
    <row r="4295" spans="2:2" x14ac:dyDescent="0.2">
      <c r="B4295" t="str">
        <f t="shared" si="69"/>
        <v/>
      </c>
    </row>
    <row r="4296" spans="2:2" x14ac:dyDescent="0.2">
      <c r="B4296" t="str">
        <f t="shared" si="69"/>
        <v/>
      </c>
    </row>
    <row r="4297" spans="2:2" x14ac:dyDescent="0.2">
      <c r="B4297" t="str">
        <f t="shared" si="69"/>
        <v/>
      </c>
    </row>
    <row r="4298" spans="2:2" x14ac:dyDescent="0.2">
      <c r="B4298" t="str">
        <f t="shared" si="69"/>
        <v/>
      </c>
    </row>
    <row r="4299" spans="2:2" x14ac:dyDescent="0.2">
      <c r="B4299" t="str">
        <f t="shared" si="69"/>
        <v/>
      </c>
    </row>
    <row r="4300" spans="2:2" x14ac:dyDescent="0.2">
      <c r="B4300" t="str">
        <f t="shared" si="69"/>
        <v/>
      </c>
    </row>
    <row r="4301" spans="2:2" x14ac:dyDescent="0.2">
      <c r="B4301" t="str">
        <f t="shared" si="69"/>
        <v/>
      </c>
    </row>
    <row r="4302" spans="2:2" x14ac:dyDescent="0.2">
      <c r="B4302" t="str">
        <f t="shared" si="69"/>
        <v/>
      </c>
    </row>
    <row r="4303" spans="2:2" x14ac:dyDescent="0.2">
      <c r="B4303" t="str">
        <f t="shared" si="69"/>
        <v/>
      </c>
    </row>
    <row r="4304" spans="2:2" x14ac:dyDescent="0.2">
      <c r="B4304" t="str">
        <f t="shared" si="69"/>
        <v/>
      </c>
    </row>
    <row r="4305" spans="2:2" x14ac:dyDescent="0.2">
      <c r="B4305" t="str">
        <f t="shared" si="69"/>
        <v/>
      </c>
    </row>
    <row r="4306" spans="2:2" x14ac:dyDescent="0.2">
      <c r="B4306" t="str">
        <f t="shared" si="69"/>
        <v/>
      </c>
    </row>
    <row r="4307" spans="2:2" x14ac:dyDescent="0.2">
      <c r="B4307" t="str">
        <f t="shared" si="69"/>
        <v/>
      </c>
    </row>
    <row r="4308" spans="2:2" x14ac:dyDescent="0.2">
      <c r="B4308" t="str">
        <f t="shared" si="69"/>
        <v/>
      </c>
    </row>
    <row r="4309" spans="2:2" x14ac:dyDescent="0.2">
      <c r="B4309" t="str">
        <f t="shared" si="69"/>
        <v/>
      </c>
    </row>
    <row r="4310" spans="2:2" x14ac:dyDescent="0.2">
      <c r="B4310" t="str">
        <f t="shared" si="69"/>
        <v/>
      </c>
    </row>
    <row r="4311" spans="2:2" x14ac:dyDescent="0.2">
      <c r="B4311" t="str">
        <f t="shared" si="69"/>
        <v/>
      </c>
    </row>
    <row r="4312" spans="2:2" x14ac:dyDescent="0.2">
      <c r="B4312" t="str">
        <f t="shared" si="69"/>
        <v/>
      </c>
    </row>
    <row r="4313" spans="2:2" x14ac:dyDescent="0.2">
      <c r="B4313" t="str">
        <f t="shared" si="69"/>
        <v/>
      </c>
    </row>
    <row r="4314" spans="2:2" x14ac:dyDescent="0.2">
      <c r="B4314" t="str">
        <f t="shared" si="69"/>
        <v/>
      </c>
    </row>
    <row r="4315" spans="2:2" x14ac:dyDescent="0.2">
      <c r="B4315" t="str">
        <f t="shared" si="69"/>
        <v/>
      </c>
    </row>
    <row r="4316" spans="2:2" x14ac:dyDescent="0.2">
      <c r="B4316" t="str">
        <f t="shared" si="69"/>
        <v/>
      </c>
    </row>
    <row r="4317" spans="2:2" x14ac:dyDescent="0.2">
      <c r="B4317" t="str">
        <f t="shared" si="69"/>
        <v/>
      </c>
    </row>
    <row r="4318" spans="2:2" x14ac:dyDescent="0.2">
      <c r="B4318" t="str">
        <f t="shared" si="69"/>
        <v/>
      </c>
    </row>
    <row r="4319" spans="2:2" x14ac:dyDescent="0.2">
      <c r="B4319" t="str">
        <f t="shared" si="69"/>
        <v/>
      </c>
    </row>
    <row r="4320" spans="2:2" x14ac:dyDescent="0.2">
      <c r="B4320" t="str">
        <f t="shared" si="69"/>
        <v/>
      </c>
    </row>
    <row r="4321" spans="2:2" x14ac:dyDescent="0.2">
      <c r="B4321" t="str">
        <f t="shared" si="69"/>
        <v/>
      </c>
    </row>
    <row r="4322" spans="2:2" x14ac:dyDescent="0.2">
      <c r="B4322" t="str">
        <f t="shared" si="69"/>
        <v/>
      </c>
    </row>
    <row r="4323" spans="2:2" x14ac:dyDescent="0.2">
      <c r="B4323" t="str">
        <f t="shared" si="69"/>
        <v/>
      </c>
    </row>
    <row r="4324" spans="2:2" x14ac:dyDescent="0.2">
      <c r="B4324" t="str">
        <f t="shared" si="69"/>
        <v/>
      </c>
    </row>
    <row r="4325" spans="2:2" x14ac:dyDescent="0.2">
      <c r="B4325" t="str">
        <f t="shared" si="69"/>
        <v/>
      </c>
    </row>
    <row r="4326" spans="2:2" x14ac:dyDescent="0.2">
      <c r="B4326" t="str">
        <f t="shared" si="69"/>
        <v/>
      </c>
    </row>
    <row r="4327" spans="2:2" x14ac:dyDescent="0.2">
      <c r="B4327" t="str">
        <f t="shared" si="69"/>
        <v/>
      </c>
    </row>
    <row r="4328" spans="2:2" x14ac:dyDescent="0.2">
      <c r="B4328" t="str">
        <f t="shared" si="69"/>
        <v/>
      </c>
    </row>
    <row r="4329" spans="2:2" x14ac:dyDescent="0.2">
      <c r="B4329" t="str">
        <f t="shared" si="69"/>
        <v/>
      </c>
    </row>
    <row r="4330" spans="2:2" x14ac:dyDescent="0.2">
      <c r="B4330" t="str">
        <f t="shared" si="69"/>
        <v/>
      </c>
    </row>
    <row r="4331" spans="2:2" x14ac:dyDescent="0.2">
      <c r="B4331" t="str">
        <f t="shared" si="69"/>
        <v/>
      </c>
    </row>
    <row r="4332" spans="2:2" x14ac:dyDescent="0.2">
      <c r="B4332" t="str">
        <f t="shared" si="69"/>
        <v/>
      </c>
    </row>
    <row r="4333" spans="2:2" x14ac:dyDescent="0.2">
      <c r="B4333" t="str">
        <f t="shared" si="69"/>
        <v/>
      </c>
    </row>
    <row r="4334" spans="2:2" x14ac:dyDescent="0.2">
      <c r="B4334" t="str">
        <f t="shared" si="69"/>
        <v/>
      </c>
    </row>
    <row r="4335" spans="2:2" x14ac:dyDescent="0.2">
      <c r="B4335" t="str">
        <f t="shared" si="69"/>
        <v/>
      </c>
    </row>
    <row r="4336" spans="2:2" x14ac:dyDescent="0.2">
      <c r="B4336" t="str">
        <f t="shared" si="69"/>
        <v/>
      </c>
    </row>
    <row r="4337" spans="2:2" x14ac:dyDescent="0.2">
      <c r="B4337" t="str">
        <f t="shared" si="69"/>
        <v/>
      </c>
    </row>
    <row r="4338" spans="2:2" x14ac:dyDescent="0.2">
      <c r="B4338" t="str">
        <f t="shared" si="69"/>
        <v/>
      </c>
    </row>
    <row r="4339" spans="2:2" x14ac:dyDescent="0.2">
      <c r="B4339" t="str">
        <f t="shared" si="69"/>
        <v/>
      </c>
    </row>
    <row r="4340" spans="2:2" x14ac:dyDescent="0.2">
      <c r="B4340" t="str">
        <f t="shared" si="69"/>
        <v/>
      </c>
    </row>
    <row r="4341" spans="2:2" x14ac:dyDescent="0.2">
      <c r="B4341" t="str">
        <f t="shared" si="69"/>
        <v/>
      </c>
    </row>
    <row r="4342" spans="2:2" x14ac:dyDescent="0.2">
      <c r="B4342" t="str">
        <f t="shared" si="69"/>
        <v/>
      </c>
    </row>
    <row r="4343" spans="2:2" x14ac:dyDescent="0.2">
      <c r="B4343" t="str">
        <f t="shared" si="69"/>
        <v/>
      </c>
    </row>
    <row r="4344" spans="2:2" x14ac:dyDescent="0.2">
      <c r="B4344" t="str">
        <f t="shared" si="69"/>
        <v/>
      </c>
    </row>
    <row r="4345" spans="2:2" x14ac:dyDescent="0.2">
      <c r="B4345" t="str">
        <f t="shared" si="69"/>
        <v/>
      </c>
    </row>
    <row r="4346" spans="2:2" x14ac:dyDescent="0.2">
      <c r="B4346" t="str">
        <f t="shared" si="69"/>
        <v/>
      </c>
    </row>
    <row r="4347" spans="2:2" x14ac:dyDescent="0.2">
      <c r="B4347" t="str">
        <f t="shared" si="69"/>
        <v/>
      </c>
    </row>
    <row r="4348" spans="2:2" x14ac:dyDescent="0.2">
      <c r="B4348" t="str">
        <f t="shared" si="69"/>
        <v/>
      </c>
    </row>
    <row r="4349" spans="2:2" x14ac:dyDescent="0.2">
      <c r="B4349" t="str">
        <f t="shared" si="69"/>
        <v/>
      </c>
    </row>
    <row r="4350" spans="2:2" x14ac:dyDescent="0.2">
      <c r="B4350" t="str">
        <f t="shared" si="69"/>
        <v/>
      </c>
    </row>
    <row r="4351" spans="2:2" x14ac:dyDescent="0.2">
      <c r="B4351" t="str">
        <f t="shared" si="69"/>
        <v/>
      </c>
    </row>
    <row r="4352" spans="2:2" x14ac:dyDescent="0.2">
      <c r="B4352" t="str">
        <f t="shared" si="69"/>
        <v/>
      </c>
    </row>
    <row r="4353" spans="2:2" x14ac:dyDescent="0.2">
      <c r="B4353" t="str">
        <f t="shared" si="69"/>
        <v/>
      </c>
    </row>
    <row r="4354" spans="2:2" x14ac:dyDescent="0.2">
      <c r="B4354" t="str">
        <f t="shared" si="69"/>
        <v/>
      </c>
    </row>
    <row r="4355" spans="2:2" x14ac:dyDescent="0.2">
      <c r="B4355" t="str">
        <f t="shared" si="69"/>
        <v/>
      </c>
    </row>
    <row r="4356" spans="2:2" x14ac:dyDescent="0.2">
      <c r="B4356" t="str">
        <f t="shared" si="69"/>
        <v/>
      </c>
    </row>
    <row r="4357" spans="2:2" x14ac:dyDescent="0.2">
      <c r="B4357" t="str">
        <f t="shared" ref="B4357:B4420" si="70">D4357&amp;I4357</f>
        <v/>
      </c>
    </row>
    <row r="4358" spans="2:2" x14ac:dyDescent="0.2">
      <c r="B4358" t="str">
        <f t="shared" si="70"/>
        <v/>
      </c>
    </row>
    <row r="4359" spans="2:2" x14ac:dyDescent="0.2">
      <c r="B4359" t="str">
        <f t="shared" si="70"/>
        <v/>
      </c>
    </row>
    <row r="4360" spans="2:2" x14ac:dyDescent="0.2">
      <c r="B4360" t="str">
        <f t="shared" si="70"/>
        <v/>
      </c>
    </row>
    <row r="4361" spans="2:2" x14ac:dyDescent="0.2">
      <c r="B4361" t="str">
        <f t="shared" si="70"/>
        <v/>
      </c>
    </row>
    <row r="4362" spans="2:2" x14ac:dyDescent="0.2">
      <c r="B4362" t="str">
        <f t="shared" si="70"/>
        <v/>
      </c>
    </row>
    <row r="4363" spans="2:2" x14ac:dyDescent="0.2">
      <c r="B4363" t="str">
        <f t="shared" si="70"/>
        <v/>
      </c>
    </row>
    <row r="4364" spans="2:2" x14ac:dyDescent="0.2">
      <c r="B4364" t="str">
        <f t="shared" si="70"/>
        <v/>
      </c>
    </row>
    <row r="4365" spans="2:2" x14ac:dyDescent="0.2">
      <c r="B4365" t="str">
        <f t="shared" si="70"/>
        <v/>
      </c>
    </row>
    <row r="4366" spans="2:2" x14ac:dyDescent="0.2">
      <c r="B4366" t="str">
        <f t="shared" si="70"/>
        <v/>
      </c>
    </row>
    <row r="4367" spans="2:2" x14ac:dyDescent="0.2">
      <c r="B4367" t="str">
        <f t="shared" si="70"/>
        <v/>
      </c>
    </row>
    <row r="4368" spans="2:2" x14ac:dyDescent="0.2">
      <c r="B4368" t="str">
        <f t="shared" si="70"/>
        <v/>
      </c>
    </row>
    <row r="4369" spans="2:2" x14ac:dyDescent="0.2">
      <c r="B4369" t="str">
        <f t="shared" si="70"/>
        <v/>
      </c>
    </row>
    <row r="4370" spans="2:2" x14ac:dyDescent="0.2">
      <c r="B4370" t="str">
        <f t="shared" si="70"/>
        <v/>
      </c>
    </row>
    <row r="4371" spans="2:2" x14ac:dyDescent="0.2">
      <c r="B4371" t="str">
        <f t="shared" si="70"/>
        <v/>
      </c>
    </row>
    <row r="4372" spans="2:2" x14ac:dyDescent="0.2">
      <c r="B4372" t="str">
        <f t="shared" si="70"/>
        <v/>
      </c>
    </row>
    <row r="4373" spans="2:2" x14ac:dyDescent="0.2">
      <c r="B4373" t="str">
        <f t="shared" si="70"/>
        <v/>
      </c>
    </row>
    <row r="4374" spans="2:2" x14ac:dyDescent="0.2">
      <c r="B4374" t="str">
        <f t="shared" si="70"/>
        <v/>
      </c>
    </row>
    <row r="4375" spans="2:2" x14ac:dyDescent="0.2">
      <c r="B4375" t="str">
        <f t="shared" si="70"/>
        <v/>
      </c>
    </row>
    <row r="4376" spans="2:2" x14ac:dyDescent="0.2">
      <c r="B4376" t="str">
        <f t="shared" si="70"/>
        <v/>
      </c>
    </row>
    <row r="4377" spans="2:2" x14ac:dyDescent="0.2">
      <c r="B4377" t="str">
        <f t="shared" si="70"/>
        <v/>
      </c>
    </row>
    <row r="4378" spans="2:2" x14ac:dyDescent="0.2">
      <c r="B4378" t="str">
        <f t="shared" si="70"/>
        <v/>
      </c>
    </row>
    <row r="4379" spans="2:2" x14ac:dyDescent="0.2">
      <c r="B4379" t="str">
        <f t="shared" si="70"/>
        <v/>
      </c>
    </row>
    <row r="4380" spans="2:2" x14ac:dyDescent="0.2">
      <c r="B4380" t="str">
        <f t="shared" si="70"/>
        <v/>
      </c>
    </row>
    <row r="4381" spans="2:2" x14ac:dyDescent="0.2">
      <c r="B4381" t="str">
        <f t="shared" si="70"/>
        <v/>
      </c>
    </row>
    <row r="4382" spans="2:2" x14ac:dyDescent="0.2">
      <c r="B4382" t="str">
        <f t="shared" si="70"/>
        <v/>
      </c>
    </row>
    <row r="4383" spans="2:2" x14ac:dyDescent="0.2">
      <c r="B4383" t="str">
        <f t="shared" si="70"/>
        <v/>
      </c>
    </row>
    <row r="4384" spans="2:2" x14ac:dyDescent="0.2">
      <c r="B4384" t="str">
        <f t="shared" si="70"/>
        <v/>
      </c>
    </row>
    <row r="4385" spans="2:2" x14ac:dyDescent="0.2">
      <c r="B4385" t="str">
        <f t="shared" si="70"/>
        <v/>
      </c>
    </row>
    <row r="4386" spans="2:2" x14ac:dyDescent="0.2">
      <c r="B4386" t="str">
        <f t="shared" si="70"/>
        <v/>
      </c>
    </row>
    <row r="4387" spans="2:2" x14ac:dyDescent="0.2">
      <c r="B4387" t="str">
        <f t="shared" si="70"/>
        <v/>
      </c>
    </row>
    <row r="4388" spans="2:2" x14ac:dyDescent="0.2">
      <c r="B4388" t="str">
        <f t="shared" si="70"/>
        <v/>
      </c>
    </row>
    <row r="4389" spans="2:2" x14ac:dyDescent="0.2">
      <c r="B4389" t="str">
        <f t="shared" si="70"/>
        <v/>
      </c>
    </row>
    <row r="4390" spans="2:2" x14ac:dyDescent="0.2">
      <c r="B4390" t="str">
        <f t="shared" si="70"/>
        <v/>
      </c>
    </row>
    <row r="4391" spans="2:2" x14ac:dyDescent="0.2">
      <c r="B4391" t="str">
        <f t="shared" si="70"/>
        <v/>
      </c>
    </row>
    <row r="4392" spans="2:2" x14ac:dyDescent="0.2">
      <c r="B4392" t="str">
        <f t="shared" si="70"/>
        <v/>
      </c>
    </row>
    <row r="4393" spans="2:2" x14ac:dyDescent="0.2">
      <c r="B4393" t="str">
        <f t="shared" si="70"/>
        <v/>
      </c>
    </row>
    <row r="4394" spans="2:2" x14ac:dyDescent="0.2">
      <c r="B4394" t="str">
        <f t="shared" si="70"/>
        <v/>
      </c>
    </row>
    <row r="4395" spans="2:2" x14ac:dyDescent="0.2">
      <c r="B4395" t="str">
        <f t="shared" si="70"/>
        <v/>
      </c>
    </row>
    <row r="4396" spans="2:2" x14ac:dyDescent="0.2">
      <c r="B4396" t="str">
        <f t="shared" si="70"/>
        <v/>
      </c>
    </row>
    <row r="4397" spans="2:2" x14ac:dyDescent="0.2">
      <c r="B4397" t="str">
        <f t="shared" si="70"/>
        <v/>
      </c>
    </row>
    <row r="4398" spans="2:2" x14ac:dyDescent="0.2">
      <c r="B4398" t="str">
        <f t="shared" si="70"/>
        <v/>
      </c>
    </row>
    <row r="4399" spans="2:2" x14ac:dyDescent="0.2">
      <c r="B4399" t="str">
        <f t="shared" si="70"/>
        <v/>
      </c>
    </row>
    <row r="4400" spans="2:2" x14ac:dyDescent="0.2">
      <c r="B4400" t="str">
        <f t="shared" si="70"/>
        <v/>
      </c>
    </row>
    <row r="4401" spans="2:2" x14ac:dyDescent="0.2">
      <c r="B4401" t="str">
        <f t="shared" si="70"/>
        <v/>
      </c>
    </row>
    <row r="4402" spans="2:2" x14ac:dyDescent="0.2">
      <c r="B4402" t="str">
        <f t="shared" si="70"/>
        <v/>
      </c>
    </row>
    <row r="4403" spans="2:2" x14ac:dyDescent="0.2">
      <c r="B4403" t="str">
        <f t="shared" si="70"/>
        <v/>
      </c>
    </row>
    <row r="4404" spans="2:2" x14ac:dyDescent="0.2">
      <c r="B4404" t="str">
        <f t="shared" si="70"/>
        <v/>
      </c>
    </row>
    <row r="4405" spans="2:2" x14ac:dyDescent="0.2">
      <c r="B4405" t="str">
        <f t="shared" si="70"/>
        <v/>
      </c>
    </row>
    <row r="4406" spans="2:2" x14ac:dyDescent="0.2">
      <c r="B4406" t="str">
        <f t="shared" si="70"/>
        <v/>
      </c>
    </row>
    <row r="4407" spans="2:2" x14ac:dyDescent="0.2">
      <c r="B4407" t="str">
        <f t="shared" si="70"/>
        <v/>
      </c>
    </row>
    <row r="4408" spans="2:2" x14ac:dyDescent="0.2">
      <c r="B4408" t="str">
        <f t="shared" si="70"/>
        <v/>
      </c>
    </row>
    <row r="4409" spans="2:2" x14ac:dyDescent="0.2">
      <c r="B4409" t="str">
        <f t="shared" si="70"/>
        <v/>
      </c>
    </row>
    <row r="4410" spans="2:2" x14ac:dyDescent="0.2">
      <c r="B4410" t="str">
        <f t="shared" si="70"/>
        <v/>
      </c>
    </row>
    <row r="4411" spans="2:2" x14ac:dyDescent="0.2">
      <c r="B4411" t="str">
        <f t="shared" si="70"/>
        <v/>
      </c>
    </row>
    <row r="4412" spans="2:2" x14ac:dyDescent="0.2">
      <c r="B4412" t="str">
        <f t="shared" si="70"/>
        <v/>
      </c>
    </row>
    <row r="4413" spans="2:2" x14ac:dyDescent="0.2">
      <c r="B4413" t="str">
        <f t="shared" si="70"/>
        <v/>
      </c>
    </row>
    <row r="4414" spans="2:2" x14ac:dyDescent="0.2">
      <c r="B4414" t="str">
        <f t="shared" si="70"/>
        <v/>
      </c>
    </row>
    <row r="4415" spans="2:2" x14ac:dyDescent="0.2">
      <c r="B4415" t="str">
        <f t="shared" si="70"/>
        <v/>
      </c>
    </row>
    <row r="4416" spans="2:2" x14ac:dyDescent="0.2">
      <c r="B4416" t="str">
        <f t="shared" si="70"/>
        <v/>
      </c>
    </row>
    <row r="4417" spans="2:2" x14ac:dyDescent="0.2">
      <c r="B4417" t="str">
        <f t="shared" si="70"/>
        <v/>
      </c>
    </row>
    <row r="4418" spans="2:2" x14ac:dyDescent="0.2">
      <c r="B4418" t="str">
        <f t="shared" si="70"/>
        <v/>
      </c>
    </row>
    <row r="4419" spans="2:2" x14ac:dyDescent="0.2">
      <c r="B4419" t="str">
        <f t="shared" si="70"/>
        <v/>
      </c>
    </row>
    <row r="4420" spans="2:2" x14ac:dyDescent="0.2">
      <c r="B4420" t="str">
        <f t="shared" si="70"/>
        <v/>
      </c>
    </row>
    <row r="4421" spans="2:2" x14ac:dyDescent="0.2">
      <c r="B4421" t="str">
        <f t="shared" ref="B4421:B4484" si="71">D4421&amp;I4421</f>
        <v/>
      </c>
    </row>
    <row r="4422" spans="2:2" x14ac:dyDescent="0.2">
      <c r="B4422" t="str">
        <f t="shared" si="71"/>
        <v/>
      </c>
    </row>
    <row r="4423" spans="2:2" x14ac:dyDescent="0.2">
      <c r="B4423" t="str">
        <f t="shared" si="71"/>
        <v/>
      </c>
    </row>
    <row r="4424" spans="2:2" x14ac:dyDescent="0.2">
      <c r="B4424" t="str">
        <f t="shared" si="71"/>
        <v/>
      </c>
    </row>
    <row r="4425" spans="2:2" x14ac:dyDescent="0.2">
      <c r="B4425" t="str">
        <f t="shared" si="71"/>
        <v/>
      </c>
    </row>
    <row r="4426" spans="2:2" x14ac:dyDescent="0.2">
      <c r="B4426" t="str">
        <f t="shared" si="71"/>
        <v/>
      </c>
    </row>
    <row r="4427" spans="2:2" x14ac:dyDescent="0.2">
      <c r="B4427" t="str">
        <f t="shared" si="71"/>
        <v/>
      </c>
    </row>
    <row r="4428" spans="2:2" x14ac:dyDescent="0.2">
      <c r="B4428" t="str">
        <f t="shared" si="71"/>
        <v/>
      </c>
    </row>
    <row r="4429" spans="2:2" x14ac:dyDescent="0.2">
      <c r="B4429" t="str">
        <f t="shared" si="71"/>
        <v/>
      </c>
    </row>
    <row r="4430" spans="2:2" x14ac:dyDescent="0.2">
      <c r="B4430" t="str">
        <f t="shared" si="71"/>
        <v/>
      </c>
    </row>
    <row r="4431" spans="2:2" x14ac:dyDescent="0.2">
      <c r="B4431" t="str">
        <f t="shared" si="71"/>
        <v/>
      </c>
    </row>
    <row r="4432" spans="2:2" x14ac:dyDescent="0.2">
      <c r="B4432" t="str">
        <f t="shared" si="71"/>
        <v/>
      </c>
    </row>
    <row r="4433" spans="2:2" x14ac:dyDescent="0.2">
      <c r="B4433" t="str">
        <f t="shared" si="71"/>
        <v/>
      </c>
    </row>
    <row r="4434" spans="2:2" x14ac:dyDescent="0.2">
      <c r="B4434" t="str">
        <f t="shared" si="71"/>
        <v/>
      </c>
    </row>
    <row r="4435" spans="2:2" x14ac:dyDescent="0.2">
      <c r="B4435" t="str">
        <f t="shared" si="71"/>
        <v/>
      </c>
    </row>
    <row r="4436" spans="2:2" x14ac:dyDescent="0.2">
      <c r="B4436" t="str">
        <f t="shared" si="71"/>
        <v/>
      </c>
    </row>
    <row r="4437" spans="2:2" x14ac:dyDescent="0.2">
      <c r="B4437" t="str">
        <f t="shared" si="71"/>
        <v/>
      </c>
    </row>
    <row r="4438" spans="2:2" x14ac:dyDescent="0.2">
      <c r="B4438" t="str">
        <f t="shared" si="71"/>
        <v/>
      </c>
    </row>
    <row r="4439" spans="2:2" x14ac:dyDescent="0.2">
      <c r="B4439" t="str">
        <f t="shared" si="71"/>
        <v/>
      </c>
    </row>
    <row r="4440" spans="2:2" x14ac:dyDescent="0.2">
      <c r="B4440" t="str">
        <f t="shared" si="71"/>
        <v/>
      </c>
    </row>
    <row r="4441" spans="2:2" x14ac:dyDescent="0.2">
      <c r="B4441" t="str">
        <f t="shared" si="71"/>
        <v/>
      </c>
    </row>
    <row r="4442" spans="2:2" x14ac:dyDescent="0.2">
      <c r="B4442" t="str">
        <f t="shared" si="71"/>
        <v/>
      </c>
    </row>
    <row r="4443" spans="2:2" x14ac:dyDescent="0.2">
      <c r="B4443" t="str">
        <f t="shared" si="71"/>
        <v/>
      </c>
    </row>
    <row r="4444" spans="2:2" x14ac:dyDescent="0.2">
      <c r="B4444" t="str">
        <f t="shared" si="71"/>
        <v/>
      </c>
    </row>
    <row r="4445" spans="2:2" x14ac:dyDescent="0.2">
      <c r="B4445" t="str">
        <f t="shared" si="71"/>
        <v/>
      </c>
    </row>
    <row r="4446" spans="2:2" x14ac:dyDescent="0.2">
      <c r="B4446" t="str">
        <f t="shared" si="71"/>
        <v/>
      </c>
    </row>
    <row r="4447" spans="2:2" x14ac:dyDescent="0.2">
      <c r="B4447" t="str">
        <f t="shared" si="71"/>
        <v/>
      </c>
    </row>
    <row r="4448" spans="2:2" x14ac:dyDescent="0.2">
      <c r="B4448" t="str">
        <f t="shared" si="71"/>
        <v/>
      </c>
    </row>
    <row r="4449" spans="2:2" x14ac:dyDescent="0.2">
      <c r="B4449" t="str">
        <f t="shared" si="71"/>
        <v/>
      </c>
    </row>
    <row r="4450" spans="2:2" x14ac:dyDescent="0.2">
      <c r="B4450" t="str">
        <f t="shared" si="71"/>
        <v/>
      </c>
    </row>
    <row r="4451" spans="2:2" x14ac:dyDescent="0.2">
      <c r="B4451" t="str">
        <f t="shared" si="71"/>
        <v/>
      </c>
    </row>
    <row r="4452" spans="2:2" x14ac:dyDescent="0.2">
      <c r="B4452" t="str">
        <f t="shared" si="71"/>
        <v/>
      </c>
    </row>
    <row r="4453" spans="2:2" x14ac:dyDescent="0.2">
      <c r="B4453" t="str">
        <f t="shared" si="71"/>
        <v/>
      </c>
    </row>
    <row r="4454" spans="2:2" x14ac:dyDescent="0.2">
      <c r="B4454" t="str">
        <f t="shared" si="71"/>
        <v/>
      </c>
    </row>
    <row r="4455" spans="2:2" x14ac:dyDescent="0.2">
      <c r="B4455" t="str">
        <f t="shared" si="71"/>
        <v/>
      </c>
    </row>
    <row r="4456" spans="2:2" x14ac:dyDescent="0.2">
      <c r="B4456" t="str">
        <f t="shared" si="71"/>
        <v/>
      </c>
    </row>
    <row r="4457" spans="2:2" x14ac:dyDescent="0.2">
      <c r="B4457" t="str">
        <f t="shared" si="71"/>
        <v/>
      </c>
    </row>
    <row r="4458" spans="2:2" x14ac:dyDescent="0.2">
      <c r="B4458" t="str">
        <f t="shared" si="71"/>
        <v/>
      </c>
    </row>
    <row r="4459" spans="2:2" x14ac:dyDescent="0.2">
      <c r="B4459" t="str">
        <f t="shared" si="71"/>
        <v/>
      </c>
    </row>
    <row r="4460" spans="2:2" x14ac:dyDescent="0.2">
      <c r="B4460" t="str">
        <f t="shared" si="71"/>
        <v/>
      </c>
    </row>
    <row r="4461" spans="2:2" x14ac:dyDescent="0.2">
      <c r="B4461" t="str">
        <f t="shared" si="71"/>
        <v/>
      </c>
    </row>
    <row r="4462" spans="2:2" x14ac:dyDescent="0.2">
      <c r="B4462" t="str">
        <f t="shared" si="71"/>
        <v/>
      </c>
    </row>
    <row r="4463" spans="2:2" x14ac:dyDescent="0.2">
      <c r="B4463" t="str">
        <f t="shared" si="71"/>
        <v/>
      </c>
    </row>
    <row r="4464" spans="2:2" x14ac:dyDescent="0.2">
      <c r="B4464" t="str">
        <f t="shared" si="71"/>
        <v/>
      </c>
    </row>
    <row r="4465" spans="2:2" x14ac:dyDescent="0.2">
      <c r="B4465" t="str">
        <f t="shared" si="71"/>
        <v/>
      </c>
    </row>
    <row r="4466" spans="2:2" x14ac:dyDescent="0.2">
      <c r="B4466" t="str">
        <f t="shared" si="71"/>
        <v/>
      </c>
    </row>
    <row r="4467" spans="2:2" x14ac:dyDescent="0.2">
      <c r="B4467" t="str">
        <f t="shared" si="71"/>
        <v/>
      </c>
    </row>
    <row r="4468" spans="2:2" x14ac:dyDescent="0.2">
      <c r="B4468" t="str">
        <f t="shared" si="71"/>
        <v/>
      </c>
    </row>
    <row r="4469" spans="2:2" x14ac:dyDescent="0.2">
      <c r="B4469" t="str">
        <f t="shared" si="71"/>
        <v/>
      </c>
    </row>
    <row r="4470" spans="2:2" x14ac:dyDescent="0.2">
      <c r="B4470" t="str">
        <f t="shared" si="71"/>
        <v/>
      </c>
    </row>
    <row r="4471" spans="2:2" x14ac:dyDescent="0.2">
      <c r="B4471" t="str">
        <f t="shared" si="71"/>
        <v/>
      </c>
    </row>
    <row r="4472" spans="2:2" x14ac:dyDescent="0.2">
      <c r="B4472" t="str">
        <f t="shared" si="71"/>
        <v/>
      </c>
    </row>
    <row r="4473" spans="2:2" x14ac:dyDescent="0.2">
      <c r="B4473" t="str">
        <f t="shared" si="71"/>
        <v/>
      </c>
    </row>
    <row r="4474" spans="2:2" x14ac:dyDescent="0.2">
      <c r="B4474" t="str">
        <f t="shared" si="71"/>
        <v/>
      </c>
    </row>
    <row r="4475" spans="2:2" x14ac:dyDescent="0.2">
      <c r="B4475" t="str">
        <f t="shared" si="71"/>
        <v/>
      </c>
    </row>
    <row r="4476" spans="2:2" x14ac:dyDescent="0.2">
      <c r="B4476" t="str">
        <f t="shared" si="71"/>
        <v/>
      </c>
    </row>
    <row r="4477" spans="2:2" x14ac:dyDescent="0.2">
      <c r="B4477" t="str">
        <f t="shared" si="71"/>
        <v/>
      </c>
    </row>
    <row r="4478" spans="2:2" x14ac:dyDescent="0.2">
      <c r="B4478" t="str">
        <f t="shared" si="71"/>
        <v/>
      </c>
    </row>
    <row r="4479" spans="2:2" x14ac:dyDescent="0.2">
      <c r="B4479" t="str">
        <f t="shared" si="71"/>
        <v/>
      </c>
    </row>
    <row r="4480" spans="2:2" x14ac:dyDescent="0.2">
      <c r="B4480" t="str">
        <f t="shared" si="71"/>
        <v/>
      </c>
    </row>
    <row r="4481" spans="2:2" x14ac:dyDescent="0.2">
      <c r="B4481" t="str">
        <f t="shared" si="71"/>
        <v/>
      </c>
    </row>
    <row r="4482" spans="2:2" x14ac:dyDescent="0.2">
      <c r="B4482" t="str">
        <f t="shared" si="71"/>
        <v/>
      </c>
    </row>
    <row r="4483" spans="2:2" x14ac:dyDescent="0.2">
      <c r="B4483" t="str">
        <f t="shared" si="71"/>
        <v/>
      </c>
    </row>
    <row r="4484" spans="2:2" x14ac:dyDescent="0.2">
      <c r="B4484" t="str">
        <f t="shared" si="71"/>
        <v/>
      </c>
    </row>
    <row r="4485" spans="2:2" x14ac:dyDescent="0.2">
      <c r="B4485" t="str">
        <f t="shared" ref="B4485:B4548" si="72">D4485&amp;I4485</f>
        <v/>
      </c>
    </row>
    <row r="4486" spans="2:2" x14ac:dyDescent="0.2">
      <c r="B4486" t="str">
        <f t="shared" si="72"/>
        <v/>
      </c>
    </row>
    <row r="4487" spans="2:2" x14ac:dyDescent="0.2">
      <c r="B4487" t="str">
        <f t="shared" si="72"/>
        <v/>
      </c>
    </row>
    <row r="4488" spans="2:2" x14ac:dyDescent="0.2">
      <c r="B4488" t="str">
        <f t="shared" si="72"/>
        <v/>
      </c>
    </row>
    <row r="4489" spans="2:2" x14ac:dyDescent="0.2">
      <c r="B4489" t="str">
        <f t="shared" si="72"/>
        <v/>
      </c>
    </row>
    <row r="4490" spans="2:2" x14ac:dyDescent="0.2">
      <c r="B4490" t="str">
        <f t="shared" si="72"/>
        <v/>
      </c>
    </row>
    <row r="4491" spans="2:2" x14ac:dyDescent="0.2">
      <c r="B4491" t="str">
        <f t="shared" si="72"/>
        <v/>
      </c>
    </row>
    <row r="4492" spans="2:2" x14ac:dyDescent="0.2">
      <c r="B4492" t="str">
        <f t="shared" si="72"/>
        <v/>
      </c>
    </row>
    <row r="4493" spans="2:2" x14ac:dyDescent="0.2">
      <c r="B4493" t="str">
        <f t="shared" si="72"/>
        <v/>
      </c>
    </row>
    <row r="4494" spans="2:2" x14ac:dyDescent="0.2">
      <c r="B4494" t="str">
        <f t="shared" si="72"/>
        <v/>
      </c>
    </row>
    <row r="4495" spans="2:2" x14ac:dyDescent="0.2">
      <c r="B4495" t="str">
        <f t="shared" si="72"/>
        <v/>
      </c>
    </row>
    <row r="4496" spans="2:2" x14ac:dyDescent="0.2">
      <c r="B4496" t="str">
        <f t="shared" si="72"/>
        <v/>
      </c>
    </row>
    <row r="4497" spans="2:2" x14ac:dyDescent="0.2">
      <c r="B4497" t="str">
        <f t="shared" si="72"/>
        <v/>
      </c>
    </row>
    <row r="4498" spans="2:2" x14ac:dyDescent="0.2">
      <c r="B4498" t="str">
        <f t="shared" si="72"/>
        <v/>
      </c>
    </row>
    <row r="4499" spans="2:2" x14ac:dyDescent="0.2">
      <c r="B4499" t="str">
        <f t="shared" si="72"/>
        <v/>
      </c>
    </row>
    <row r="4500" spans="2:2" x14ac:dyDescent="0.2">
      <c r="B4500" t="str">
        <f t="shared" si="72"/>
        <v/>
      </c>
    </row>
    <row r="4501" spans="2:2" x14ac:dyDescent="0.2">
      <c r="B4501" t="str">
        <f t="shared" si="72"/>
        <v/>
      </c>
    </row>
    <row r="4502" spans="2:2" x14ac:dyDescent="0.2">
      <c r="B4502" t="str">
        <f t="shared" si="72"/>
        <v/>
      </c>
    </row>
    <row r="4503" spans="2:2" x14ac:dyDescent="0.2">
      <c r="B4503" t="str">
        <f t="shared" si="72"/>
        <v/>
      </c>
    </row>
    <row r="4504" spans="2:2" x14ac:dyDescent="0.2">
      <c r="B4504" t="str">
        <f t="shared" si="72"/>
        <v/>
      </c>
    </row>
    <row r="4505" spans="2:2" x14ac:dyDescent="0.2">
      <c r="B4505" t="str">
        <f t="shared" si="72"/>
        <v/>
      </c>
    </row>
    <row r="4506" spans="2:2" x14ac:dyDescent="0.2">
      <c r="B4506" t="str">
        <f t="shared" si="72"/>
        <v/>
      </c>
    </row>
    <row r="4507" spans="2:2" x14ac:dyDescent="0.2">
      <c r="B4507" t="str">
        <f t="shared" si="72"/>
        <v/>
      </c>
    </row>
    <row r="4508" spans="2:2" x14ac:dyDescent="0.2">
      <c r="B4508" t="str">
        <f t="shared" si="72"/>
        <v/>
      </c>
    </row>
    <row r="4509" spans="2:2" x14ac:dyDescent="0.2">
      <c r="B4509" t="str">
        <f t="shared" si="72"/>
        <v/>
      </c>
    </row>
    <row r="4510" spans="2:2" x14ac:dyDescent="0.2">
      <c r="B4510" t="str">
        <f t="shared" si="72"/>
        <v/>
      </c>
    </row>
    <row r="4511" spans="2:2" x14ac:dyDescent="0.2">
      <c r="B4511" t="str">
        <f t="shared" si="72"/>
        <v/>
      </c>
    </row>
    <row r="4512" spans="2:2" x14ac:dyDescent="0.2">
      <c r="B4512" t="str">
        <f t="shared" si="72"/>
        <v/>
      </c>
    </row>
    <row r="4513" spans="2:2" x14ac:dyDescent="0.2">
      <c r="B4513" t="str">
        <f t="shared" si="72"/>
        <v/>
      </c>
    </row>
    <row r="4514" spans="2:2" x14ac:dyDescent="0.2">
      <c r="B4514" t="str">
        <f t="shared" si="72"/>
        <v/>
      </c>
    </row>
    <row r="4515" spans="2:2" x14ac:dyDescent="0.2">
      <c r="B4515" t="str">
        <f t="shared" si="72"/>
        <v/>
      </c>
    </row>
    <row r="4516" spans="2:2" x14ac:dyDescent="0.2">
      <c r="B4516" t="str">
        <f t="shared" si="72"/>
        <v/>
      </c>
    </row>
    <row r="4517" spans="2:2" x14ac:dyDescent="0.2">
      <c r="B4517" t="str">
        <f t="shared" si="72"/>
        <v/>
      </c>
    </row>
    <row r="4518" spans="2:2" x14ac:dyDescent="0.2">
      <c r="B4518" t="str">
        <f t="shared" si="72"/>
        <v/>
      </c>
    </row>
    <row r="4519" spans="2:2" x14ac:dyDescent="0.2">
      <c r="B4519" t="str">
        <f t="shared" si="72"/>
        <v/>
      </c>
    </row>
    <row r="4520" spans="2:2" x14ac:dyDescent="0.2">
      <c r="B4520" t="str">
        <f t="shared" si="72"/>
        <v/>
      </c>
    </row>
    <row r="4521" spans="2:2" x14ac:dyDescent="0.2">
      <c r="B4521" t="str">
        <f t="shared" si="72"/>
        <v/>
      </c>
    </row>
    <row r="4522" spans="2:2" x14ac:dyDescent="0.2">
      <c r="B4522" t="str">
        <f t="shared" si="72"/>
        <v/>
      </c>
    </row>
    <row r="4523" spans="2:2" x14ac:dyDescent="0.2">
      <c r="B4523" t="str">
        <f t="shared" si="72"/>
        <v/>
      </c>
    </row>
    <row r="4524" spans="2:2" x14ac:dyDescent="0.2">
      <c r="B4524" t="str">
        <f t="shared" si="72"/>
        <v/>
      </c>
    </row>
    <row r="4525" spans="2:2" x14ac:dyDescent="0.2">
      <c r="B4525" t="str">
        <f t="shared" si="72"/>
        <v/>
      </c>
    </row>
    <row r="4526" spans="2:2" x14ac:dyDescent="0.2">
      <c r="B4526" t="str">
        <f t="shared" si="72"/>
        <v/>
      </c>
    </row>
    <row r="4527" spans="2:2" x14ac:dyDescent="0.2">
      <c r="B4527" t="str">
        <f t="shared" si="72"/>
        <v/>
      </c>
    </row>
    <row r="4528" spans="2:2" x14ac:dyDescent="0.2">
      <c r="B4528" t="str">
        <f t="shared" si="72"/>
        <v/>
      </c>
    </row>
    <row r="4529" spans="2:2" x14ac:dyDescent="0.2">
      <c r="B4529" t="str">
        <f t="shared" si="72"/>
        <v/>
      </c>
    </row>
    <row r="4530" spans="2:2" x14ac:dyDescent="0.2">
      <c r="B4530" t="str">
        <f t="shared" si="72"/>
        <v/>
      </c>
    </row>
    <row r="4531" spans="2:2" x14ac:dyDescent="0.2">
      <c r="B4531" t="str">
        <f t="shared" si="72"/>
        <v/>
      </c>
    </row>
    <row r="4532" spans="2:2" x14ac:dyDescent="0.2">
      <c r="B4532" t="str">
        <f t="shared" si="72"/>
        <v/>
      </c>
    </row>
    <row r="4533" spans="2:2" x14ac:dyDescent="0.2">
      <c r="B4533" t="str">
        <f t="shared" si="72"/>
        <v/>
      </c>
    </row>
    <row r="4534" spans="2:2" x14ac:dyDescent="0.2">
      <c r="B4534" t="str">
        <f t="shared" si="72"/>
        <v/>
      </c>
    </row>
    <row r="4535" spans="2:2" x14ac:dyDescent="0.2">
      <c r="B4535" t="str">
        <f t="shared" si="72"/>
        <v/>
      </c>
    </row>
    <row r="4536" spans="2:2" x14ac:dyDescent="0.2">
      <c r="B4536" t="str">
        <f t="shared" si="72"/>
        <v/>
      </c>
    </row>
    <row r="4537" spans="2:2" x14ac:dyDescent="0.2">
      <c r="B4537" t="str">
        <f t="shared" si="72"/>
        <v/>
      </c>
    </row>
    <row r="4538" spans="2:2" x14ac:dyDescent="0.2">
      <c r="B4538" t="str">
        <f t="shared" si="72"/>
        <v/>
      </c>
    </row>
    <row r="4539" spans="2:2" x14ac:dyDescent="0.2">
      <c r="B4539" t="str">
        <f t="shared" si="72"/>
        <v/>
      </c>
    </row>
    <row r="4540" spans="2:2" x14ac:dyDescent="0.2">
      <c r="B4540" t="str">
        <f t="shared" si="72"/>
        <v/>
      </c>
    </row>
    <row r="4541" spans="2:2" x14ac:dyDescent="0.2">
      <c r="B4541" t="str">
        <f t="shared" si="72"/>
        <v/>
      </c>
    </row>
    <row r="4542" spans="2:2" x14ac:dyDescent="0.2">
      <c r="B4542" t="str">
        <f t="shared" si="72"/>
        <v/>
      </c>
    </row>
    <row r="4543" spans="2:2" x14ac:dyDescent="0.2">
      <c r="B4543" t="str">
        <f t="shared" si="72"/>
        <v/>
      </c>
    </row>
    <row r="4544" spans="2:2" x14ac:dyDescent="0.2">
      <c r="B4544" t="str">
        <f t="shared" si="72"/>
        <v/>
      </c>
    </row>
    <row r="4545" spans="2:2" x14ac:dyDescent="0.2">
      <c r="B4545" t="str">
        <f t="shared" si="72"/>
        <v/>
      </c>
    </row>
    <row r="4546" spans="2:2" x14ac:dyDescent="0.2">
      <c r="B4546" t="str">
        <f t="shared" si="72"/>
        <v/>
      </c>
    </row>
    <row r="4547" spans="2:2" x14ac:dyDescent="0.2">
      <c r="B4547" t="str">
        <f t="shared" si="72"/>
        <v/>
      </c>
    </row>
    <row r="4548" spans="2:2" x14ac:dyDescent="0.2">
      <c r="B4548" t="str">
        <f t="shared" si="72"/>
        <v/>
      </c>
    </row>
    <row r="4549" spans="2:2" x14ac:dyDescent="0.2">
      <c r="B4549" t="str">
        <f t="shared" ref="B4549:B4612" si="73">D4549&amp;I4549</f>
        <v/>
      </c>
    </row>
    <row r="4550" spans="2:2" x14ac:dyDescent="0.2">
      <c r="B4550" t="str">
        <f t="shared" si="73"/>
        <v/>
      </c>
    </row>
    <row r="4551" spans="2:2" x14ac:dyDescent="0.2">
      <c r="B4551" t="str">
        <f t="shared" si="73"/>
        <v/>
      </c>
    </row>
    <row r="4552" spans="2:2" x14ac:dyDescent="0.2">
      <c r="B4552" t="str">
        <f t="shared" si="73"/>
        <v/>
      </c>
    </row>
    <row r="4553" spans="2:2" x14ac:dyDescent="0.2">
      <c r="B4553" t="str">
        <f t="shared" si="73"/>
        <v/>
      </c>
    </row>
    <row r="4554" spans="2:2" x14ac:dyDescent="0.2">
      <c r="B4554" t="str">
        <f t="shared" si="73"/>
        <v/>
      </c>
    </row>
    <row r="4555" spans="2:2" x14ac:dyDescent="0.2">
      <c r="B4555" t="str">
        <f t="shared" si="73"/>
        <v/>
      </c>
    </row>
    <row r="4556" spans="2:2" x14ac:dyDescent="0.2">
      <c r="B4556" t="str">
        <f t="shared" si="73"/>
        <v/>
      </c>
    </row>
    <row r="4557" spans="2:2" x14ac:dyDescent="0.2">
      <c r="B4557" t="str">
        <f t="shared" si="73"/>
        <v/>
      </c>
    </row>
    <row r="4558" spans="2:2" x14ac:dyDescent="0.2">
      <c r="B4558" t="str">
        <f t="shared" si="73"/>
        <v/>
      </c>
    </row>
    <row r="4559" spans="2:2" x14ac:dyDescent="0.2">
      <c r="B4559" t="str">
        <f t="shared" si="73"/>
        <v/>
      </c>
    </row>
    <row r="4560" spans="2:2" x14ac:dyDescent="0.2">
      <c r="B4560" t="str">
        <f t="shared" si="73"/>
        <v/>
      </c>
    </row>
    <row r="4561" spans="2:2" x14ac:dyDescent="0.2">
      <c r="B4561" t="str">
        <f t="shared" si="73"/>
        <v/>
      </c>
    </row>
    <row r="4562" spans="2:2" x14ac:dyDescent="0.2">
      <c r="B4562" t="str">
        <f t="shared" si="73"/>
        <v/>
      </c>
    </row>
    <row r="4563" spans="2:2" x14ac:dyDescent="0.2">
      <c r="B4563" t="str">
        <f t="shared" si="73"/>
        <v/>
      </c>
    </row>
    <row r="4564" spans="2:2" x14ac:dyDescent="0.2">
      <c r="B4564" t="str">
        <f t="shared" si="73"/>
        <v/>
      </c>
    </row>
    <row r="4565" spans="2:2" x14ac:dyDescent="0.2">
      <c r="B4565" t="str">
        <f t="shared" si="73"/>
        <v/>
      </c>
    </row>
    <row r="4566" spans="2:2" x14ac:dyDescent="0.2">
      <c r="B4566" t="str">
        <f t="shared" si="73"/>
        <v/>
      </c>
    </row>
    <row r="4567" spans="2:2" x14ac:dyDescent="0.2">
      <c r="B4567" t="str">
        <f t="shared" si="73"/>
        <v/>
      </c>
    </row>
    <row r="4568" spans="2:2" x14ac:dyDescent="0.2">
      <c r="B4568" t="str">
        <f t="shared" si="73"/>
        <v/>
      </c>
    </row>
    <row r="4569" spans="2:2" x14ac:dyDescent="0.2">
      <c r="B4569" t="str">
        <f t="shared" si="73"/>
        <v/>
      </c>
    </row>
    <row r="4570" spans="2:2" x14ac:dyDescent="0.2">
      <c r="B4570" t="str">
        <f t="shared" si="73"/>
        <v/>
      </c>
    </row>
    <row r="4571" spans="2:2" x14ac:dyDescent="0.2">
      <c r="B4571" t="str">
        <f t="shared" si="73"/>
        <v/>
      </c>
    </row>
    <row r="4572" spans="2:2" x14ac:dyDescent="0.2">
      <c r="B4572" t="str">
        <f t="shared" si="73"/>
        <v/>
      </c>
    </row>
    <row r="4573" spans="2:2" x14ac:dyDescent="0.2">
      <c r="B4573" t="str">
        <f t="shared" si="73"/>
        <v/>
      </c>
    </row>
    <row r="4574" spans="2:2" x14ac:dyDescent="0.2">
      <c r="B4574" t="str">
        <f t="shared" si="73"/>
        <v/>
      </c>
    </row>
    <row r="4575" spans="2:2" x14ac:dyDescent="0.2">
      <c r="B4575" t="str">
        <f t="shared" si="73"/>
        <v/>
      </c>
    </row>
    <row r="4576" spans="2:2" x14ac:dyDescent="0.2">
      <c r="B4576" t="str">
        <f t="shared" si="73"/>
        <v/>
      </c>
    </row>
    <row r="4577" spans="2:2" x14ac:dyDescent="0.2">
      <c r="B4577" t="str">
        <f t="shared" si="73"/>
        <v/>
      </c>
    </row>
    <row r="4578" spans="2:2" x14ac:dyDescent="0.2">
      <c r="B4578" t="str">
        <f t="shared" si="73"/>
        <v/>
      </c>
    </row>
    <row r="4579" spans="2:2" x14ac:dyDescent="0.2">
      <c r="B4579" t="str">
        <f t="shared" si="73"/>
        <v/>
      </c>
    </row>
    <row r="4580" spans="2:2" x14ac:dyDescent="0.2">
      <c r="B4580" t="str">
        <f t="shared" si="73"/>
        <v/>
      </c>
    </row>
    <row r="4581" spans="2:2" x14ac:dyDescent="0.2">
      <c r="B4581" t="str">
        <f t="shared" si="73"/>
        <v/>
      </c>
    </row>
    <row r="4582" spans="2:2" x14ac:dyDescent="0.2">
      <c r="B4582" t="str">
        <f t="shared" si="73"/>
        <v/>
      </c>
    </row>
    <row r="4583" spans="2:2" x14ac:dyDescent="0.2">
      <c r="B4583" t="str">
        <f t="shared" si="73"/>
        <v/>
      </c>
    </row>
    <row r="4584" spans="2:2" x14ac:dyDescent="0.2">
      <c r="B4584" t="str">
        <f t="shared" si="73"/>
        <v/>
      </c>
    </row>
    <row r="4585" spans="2:2" x14ac:dyDescent="0.2">
      <c r="B4585" t="str">
        <f t="shared" si="73"/>
        <v/>
      </c>
    </row>
    <row r="4586" spans="2:2" x14ac:dyDescent="0.2">
      <c r="B4586" t="str">
        <f t="shared" si="73"/>
        <v/>
      </c>
    </row>
    <row r="4587" spans="2:2" x14ac:dyDescent="0.2">
      <c r="B4587" t="str">
        <f t="shared" si="73"/>
        <v/>
      </c>
    </row>
    <row r="4588" spans="2:2" x14ac:dyDescent="0.2">
      <c r="B4588" t="str">
        <f t="shared" si="73"/>
        <v/>
      </c>
    </row>
    <row r="4589" spans="2:2" x14ac:dyDescent="0.2">
      <c r="B4589" t="str">
        <f t="shared" si="73"/>
        <v/>
      </c>
    </row>
    <row r="4590" spans="2:2" x14ac:dyDescent="0.2">
      <c r="B4590" t="str">
        <f t="shared" si="73"/>
        <v/>
      </c>
    </row>
    <row r="4591" spans="2:2" x14ac:dyDescent="0.2">
      <c r="B4591" t="str">
        <f t="shared" si="73"/>
        <v/>
      </c>
    </row>
    <row r="4592" spans="2:2" x14ac:dyDescent="0.2">
      <c r="B4592" t="str">
        <f t="shared" si="73"/>
        <v/>
      </c>
    </row>
    <row r="4593" spans="2:2" x14ac:dyDescent="0.2">
      <c r="B4593" t="str">
        <f t="shared" si="73"/>
        <v/>
      </c>
    </row>
    <row r="4594" spans="2:2" x14ac:dyDescent="0.2">
      <c r="B4594" t="str">
        <f t="shared" si="73"/>
        <v/>
      </c>
    </row>
    <row r="4595" spans="2:2" x14ac:dyDescent="0.2">
      <c r="B4595" t="str">
        <f t="shared" si="73"/>
        <v/>
      </c>
    </row>
    <row r="4596" spans="2:2" x14ac:dyDescent="0.2">
      <c r="B4596" t="str">
        <f t="shared" si="73"/>
        <v/>
      </c>
    </row>
    <row r="4597" spans="2:2" x14ac:dyDescent="0.2">
      <c r="B4597" t="str">
        <f t="shared" si="73"/>
        <v/>
      </c>
    </row>
    <row r="4598" spans="2:2" x14ac:dyDescent="0.2">
      <c r="B4598" t="str">
        <f t="shared" si="73"/>
        <v/>
      </c>
    </row>
    <row r="4599" spans="2:2" x14ac:dyDescent="0.2">
      <c r="B4599" t="str">
        <f t="shared" si="73"/>
        <v/>
      </c>
    </row>
    <row r="4600" spans="2:2" x14ac:dyDescent="0.2">
      <c r="B4600" t="str">
        <f t="shared" si="73"/>
        <v/>
      </c>
    </row>
    <row r="4601" spans="2:2" x14ac:dyDescent="0.2">
      <c r="B4601" t="str">
        <f t="shared" si="73"/>
        <v/>
      </c>
    </row>
    <row r="4602" spans="2:2" x14ac:dyDescent="0.2">
      <c r="B4602" t="str">
        <f t="shared" si="73"/>
        <v/>
      </c>
    </row>
    <row r="4603" spans="2:2" x14ac:dyDescent="0.2">
      <c r="B4603" t="str">
        <f t="shared" si="73"/>
        <v/>
      </c>
    </row>
    <row r="4604" spans="2:2" x14ac:dyDescent="0.2">
      <c r="B4604" t="str">
        <f t="shared" si="73"/>
        <v/>
      </c>
    </row>
    <row r="4605" spans="2:2" x14ac:dyDescent="0.2">
      <c r="B4605" t="str">
        <f t="shared" si="73"/>
        <v/>
      </c>
    </row>
    <row r="4606" spans="2:2" x14ac:dyDescent="0.2">
      <c r="B4606" t="str">
        <f t="shared" si="73"/>
        <v/>
      </c>
    </row>
    <row r="4607" spans="2:2" x14ac:dyDescent="0.2">
      <c r="B4607" t="str">
        <f t="shared" si="73"/>
        <v/>
      </c>
    </row>
    <row r="4608" spans="2:2" x14ac:dyDescent="0.2">
      <c r="B4608" t="str">
        <f t="shared" si="73"/>
        <v/>
      </c>
    </row>
    <row r="4609" spans="2:2" x14ac:dyDescent="0.2">
      <c r="B4609" t="str">
        <f t="shared" si="73"/>
        <v/>
      </c>
    </row>
    <row r="4610" spans="2:2" x14ac:dyDescent="0.2">
      <c r="B4610" t="str">
        <f t="shared" si="73"/>
        <v/>
      </c>
    </row>
    <row r="4611" spans="2:2" x14ac:dyDescent="0.2">
      <c r="B4611" t="str">
        <f t="shared" si="73"/>
        <v/>
      </c>
    </row>
    <row r="4612" spans="2:2" x14ac:dyDescent="0.2">
      <c r="B4612" t="str">
        <f t="shared" si="73"/>
        <v/>
      </c>
    </row>
    <row r="4613" spans="2:2" x14ac:dyDescent="0.2">
      <c r="B4613" t="str">
        <f t="shared" ref="B4613:B4676" si="74">D4613&amp;I4613</f>
        <v/>
      </c>
    </row>
    <row r="4614" spans="2:2" x14ac:dyDescent="0.2">
      <c r="B4614" t="str">
        <f t="shared" si="74"/>
        <v/>
      </c>
    </row>
    <row r="4615" spans="2:2" x14ac:dyDescent="0.2">
      <c r="B4615" t="str">
        <f t="shared" si="74"/>
        <v/>
      </c>
    </row>
    <row r="4616" spans="2:2" x14ac:dyDescent="0.2">
      <c r="B4616" t="str">
        <f t="shared" si="74"/>
        <v/>
      </c>
    </row>
    <row r="4617" spans="2:2" x14ac:dyDescent="0.2">
      <c r="B4617" t="str">
        <f t="shared" si="74"/>
        <v/>
      </c>
    </row>
    <row r="4618" spans="2:2" x14ac:dyDescent="0.2">
      <c r="B4618" t="str">
        <f t="shared" si="74"/>
        <v/>
      </c>
    </row>
    <row r="4619" spans="2:2" x14ac:dyDescent="0.2">
      <c r="B4619" t="str">
        <f t="shared" si="74"/>
        <v/>
      </c>
    </row>
    <row r="4620" spans="2:2" x14ac:dyDescent="0.2">
      <c r="B4620" t="str">
        <f t="shared" si="74"/>
        <v/>
      </c>
    </row>
    <row r="4621" spans="2:2" x14ac:dyDescent="0.2">
      <c r="B4621" t="str">
        <f t="shared" si="74"/>
        <v/>
      </c>
    </row>
    <row r="4622" spans="2:2" x14ac:dyDescent="0.2">
      <c r="B4622" t="str">
        <f t="shared" si="74"/>
        <v/>
      </c>
    </row>
    <row r="4623" spans="2:2" x14ac:dyDescent="0.2">
      <c r="B4623" t="str">
        <f t="shared" si="74"/>
        <v/>
      </c>
    </row>
    <row r="4624" spans="2:2" x14ac:dyDescent="0.2">
      <c r="B4624" t="str">
        <f t="shared" si="74"/>
        <v/>
      </c>
    </row>
    <row r="4625" spans="2:2" x14ac:dyDescent="0.2">
      <c r="B4625" t="str">
        <f t="shared" si="74"/>
        <v/>
      </c>
    </row>
    <row r="4626" spans="2:2" x14ac:dyDescent="0.2">
      <c r="B4626" t="str">
        <f t="shared" si="74"/>
        <v/>
      </c>
    </row>
    <row r="4627" spans="2:2" x14ac:dyDescent="0.2">
      <c r="B4627" t="str">
        <f t="shared" si="74"/>
        <v/>
      </c>
    </row>
    <row r="4628" spans="2:2" x14ac:dyDescent="0.2">
      <c r="B4628" t="str">
        <f t="shared" si="74"/>
        <v/>
      </c>
    </row>
    <row r="4629" spans="2:2" x14ac:dyDescent="0.2">
      <c r="B4629" t="str">
        <f t="shared" si="74"/>
        <v/>
      </c>
    </row>
    <row r="4630" spans="2:2" x14ac:dyDescent="0.2">
      <c r="B4630" t="str">
        <f t="shared" si="74"/>
        <v/>
      </c>
    </row>
    <row r="4631" spans="2:2" x14ac:dyDescent="0.2">
      <c r="B4631" t="str">
        <f t="shared" si="74"/>
        <v/>
      </c>
    </row>
    <row r="4632" spans="2:2" x14ac:dyDescent="0.2">
      <c r="B4632" t="str">
        <f t="shared" si="74"/>
        <v/>
      </c>
    </row>
    <row r="4633" spans="2:2" x14ac:dyDescent="0.2">
      <c r="B4633" t="str">
        <f t="shared" si="74"/>
        <v/>
      </c>
    </row>
    <row r="4634" spans="2:2" x14ac:dyDescent="0.2">
      <c r="B4634" t="str">
        <f t="shared" si="74"/>
        <v/>
      </c>
    </row>
    <row r="4635" spans="2:2" x14ac:dyDescent="0.2">
      <c r="B4635" t="str">
        <f t="shared" si="74"/>
        <v/>
      </c>
    </row>
    <row r="4636" spans="2:2" x14ac:dyDescent="0.2">
      <c r="B4636" t="str">
        <f t="shared" si="74"/>
        <v/>
      </c>
    </row>
    <row r="4637" spans="2:2" x14ac:dyDescent="0.2">
      <c r="B4637" t="str">
        <f t="shared" si="74"/>
        <v/>
      </c>
    </row>
    <row r="4638" spans="2:2" x14ac:dyDescent="0.2">
      <c r="B4638" t="str">
        <f t="shared" si="74"/>
        <v/>
      </c>
    </row>
    <row r="4639" spans="2:2" x14ac:dyDescent="0.2">
      <c r="B4639" t="str">
        <f t="shared" si="74"/>
        <v/>
      </c>
    </row>
    <row r="4640" spans="2:2" x14ac:dyDescent="0.2">
      <c r="B4640" t="str">
        <f t="shared" si="74"/>
        <v/>
      </c>
    </row>
    <row r="4641" spans="2:2" x14ac:dyDescent="0.2">
      <c r="B4641" t="str">
        <f t="shared" si="74"/>
        <v/>
      </c>
    </row>
    <row r="4642" spans="2:2" x14ac:dyDescent="0.2">
      <c r="B4642" t="str">
        <f t="shared" si="74"/>
        <v/>
      </c>
    </row>
    <row r="4643" spans="2:2" x14ac:dyDescent="0.2">
      <c r="B4643" t="str">
        <f t="shared" si="74"/>
        <v/>
      </c>
    </row>
    <row r="4644" spans="2:2" x14ac:dyDescent="0.2">
      <c r="B4644" t="str">
        <f t="shared" si="74"/>
        <v/>
      </c>
    </row>
    <row r="4645" spans="2:2" x14ac:dyDescent="0.2">
      <c r="B4645" t="str">
        <f t="shared" si="74"/>
        <v/>
      </c>
    </row>
    <row r="4646" spans="2:2" x14ac:dyDescent="0.2">
      <c r="B4646" t="str">
        <f t="shared" si="74"/>
        <v/>
      </c>
    </row>
    <row r="4647" spans="2:2" x14ac:dyDescent="0.2">
      <c r="B4647" t="str">
        <f t="shared" si="74"/>
        <v/>
      </c>
    </row>
    <row r="4648" spans="2:2" x14ac:dyDescent="0.2">
      <c r="B4648" t="str">
        <f t="shared" si="74"/>
        <v/>
      </c>
    </row>
    <row r="4649" spans="2:2" x14ac:dyDescent="0.2">
      <c r="B4649" t="str">
        <f t="shared" si="74"/>
        <v/>
      </c>
    </row>
    <row r="4650" spans="2:2" x14ac:dyDescent="0.2">
      <c r="B4650" t="str">
        <f t="shared" si="74"/>
        <v/>
      </c>
    </row>
    <row r="4651" spans="2:2" x14ac:dyDescent="0.2">
      <c r="B4651" t="str">
        <f t="shared" si="74"/>
        <v/>
      </c>
    </row>
    <row r="4652" spans="2:2" x14ac:dyDescent="0.2">
      <c r="B4652" t="str">
        <f t="shared" si="74"/>
        <v/>
      </c>
    </row>
    <row r="4653" spans="2:2" x14ac:dyDescent="0.2">
      <c r="B4653" t="str">
        <f t="shared" si="74"/>
        <v/>
      </c>
    </row>
    <row r="4654" spans="2:2" x14ac:dyDescent="0.2">
      <c r="B4654" t="str">
        <f t="shared" si="74"/>
        <v/>
      </c>
    </row>
    <row r="4655" spans="2:2" x14ac:dyDescent="0.2">
      <c r="B4655" t="str">
        <f t="shared" si="74"/>
        <v/>
      </c>
    </row>
    <row r="4656" spans="2:2" x14ac:dyDescent="0.2">
      <c r="B4656" t="str">
        <f t="shared" si="74"/>
        <v/>
      </c>
    </row>
    <row r="4657" spans="2:2" x14ac:dyDescent="0.2">
      <c r="B4657" t="str">
        <f t="shared" si="74"/>
        <v/>
      </c>
    </row>
    <row r="4658" spans="2:2" x14ac:dyDescent="0.2">
      <c r="B4658" t="str">
        <f t="shared" si="74"/>
        <v/>
      </c>
    </row>
    <row r="4659" spans="2:2" x14ac:dyDescent="0.2">
      <c r="B4659" t="str">
        <f t="shared" si="74"/>
        <v/>
      </c>
    </row>
    <row r="4660" spans="2:2" x14ac:dyDescent="0.2">
      <c r="B4660" t="str">
        <f t="shared" si="74"/>
        <v/>
      </c>
    </row>
    <row r="4661" spans="2:2" x14ac:dyDescent="0.2">
      <c r="B4661" t="str">
        <f t="shared" si="74"/>
        <v/>
      </c>
    </row>
    <row r="4662" spans="2:2" x14ac:dyDescent="0.2">
      <c r="B4662" t="str">
        <f t="shared" si="74"/>
        <v/>
      </c>
    </row>
    <row r="4663" spans="2:2" x14ac:dyDescent="0.2">
      <c r="B4663" t="str">
        <f t="shared" si="74"/>
        <v/>
      </c>
    </row>
    <row r="4664" spans="2:2" x14ac:dyDescent="0.2">
      <c r="B4664" t="str">
        <f t="shared" si="74"/>
        <v/>
      </c>
    </row>
    <row r="4665" spans="2:2" x14ac:dyDescent="0.2">
      <c r="B4665" t="str">
        <f t="shared" si="74"/>
        <v/>
      </c>
    </row>
    <row r="4666" spans="2:2" x14ac:dyDescent="0.2">
      <c r="B4666" t="str">
        <f t="shared" si="74"/>
        <v/>
      </c>
    </row>
    <row r="4667" spans="2:2" x14ac:dyDescent="0.2">
      <c r="B4667" t="str">
        <f t="shared" si="74"/>
        <v/>
      </c>
    </row>
    <row r="4668" spans="2:2" x14ac:dyDescent="0.2">
      <c r="B4668" t="str">
        <f t="shared" si="74"/>
        <v/>
      </c>
    </row>
    <row r="4669" spans="2:2" x14ac:dyDescent="0.2">
      <c r="B4669" t="str">
        <f t="shared" si="74"/>
        <v/>
      </c>
    </row>
    <row r="4670" spans="2:2" x14ac:dyDescent="0.2">
      <c r="B4670" t="str">
        <f t="shared" si="74"/>
        <v/>
      </c>
    </row>
    <row r="4671" spans="2:2" x14ac:dyDescent="0.2">
      <c r="B4671" t="str">
        <f t="shared" si="74"/>
        <v/>
      </c>
    </row>
    <row r="4672" spans="2:2" x14ac:dyDescent="0.2">
      <c r="B4672" t="str">
        <f t="shared" si="74"/>
        <v/>
      </c>
    </row>
    <row r="4673" spans="2:2" x14ac:dyDescent="0.2">
      <c r="B4673" t="str">
        <f t="shared" si="74"/>
        <v/>
      </c>
    </row>
    <row r="4674" spans="2:2" x14ac:dyDescent="0.2">
      <c r="B4674" t="str">
        <f t="shared" si="74"/>
        <v/>
      </c>
    </row>
    <row r="4675" spans="2:2" x14ac:dyDescent="0.2">
      <c r="B4675" t="str">
        <f t="shared" si="74"/>
        <v/>
      </c>
    </row>
    <row r="4676" spans="2:2" x14ac:dyDescent="0.2">
      <c r="B4676" t="str">
        <f t="shared" si="74"/>
        <v/>
      </c>
    </row>
    <row r="4677" spans="2:2" x14ac:dyDescent="0.2">
      <c r="B4677" t="str">
        <f t="shared" ref="B4677:B4740" si="75">D4677&amp;I4677</f>
        <v/>
      </c>
    </row>
    <row r="4678" spans="2:2" x14ac:dyDescent="0.2">
      <c r="B4678" t="str">
        <f t="shared" si="75"/>
        <v/>
      </c>
    </row>
    <row r="4679" spans="2:2" x14ac:dyDescent="0.2">
      <c r="B4679" t="str">
        <f t="shared" si="75"/>
        <v/>
      </c>
    </row>
    <row r="4680" spans="2:2" x14ac:dyDescent="0.2">
      <c r="B4680" t="str">
        <f t="shared" si="75"/>
        <v/>
      </c>
    </row>
    <row r="4681" spans="2:2" x14ac:dyDescent="0.2">
      <c r="B4681" t="str">
        <f t="shared" si="75"/>
        <v/>
      </c>
    </row>
    <row r="4682" spans="2:2" x14ac:dyDescent="0.2">
      <c r="B4682" t="str">
        <f t="shared" si="75"/>
        <v/>
      </c>
    </row>
    <row r="4683" spans="2:2" x14ac:dyDescent="0.2">
      <c r="B4683" t="str">
        <f t="shared" si="75"/>
        <v/>
      </c>
    </row>
    <row r="4684" spans="2:2" x14ac:dyDescent="0.2">
      <c r="B4684" t="str">
        <f t="shared" si="75"/>
        <v/>
      </c>
    </row>
    <row r="4685" spans="2:2" x14ac:dyDescent="0.2">
      <c r="B4685" t="str">
        <f t="shared" si="75"/>
        <v/>
      </c>
    </row>
    <row r="4686" spans="2:2" x14ac:dyDescent="0.2">
      <c r="B4686" t="str">
        <f t="shared" si="75"/>
        <v/>
      </c>
    </row>
    <row r="4687" spans="2:2" x14ac:dyDescent="0.2">
      <c r="B4687" t="str">
        <f t="shared" si="75"/>
        <v/>
      </c>
    </row>
    <row r="4688" spans="2:2" x14ac:dyDescent="0.2">
      <c r="B4688" t="str">
        <f t="shared" si="75"/>
        <v/>
      </c>
    </row>
    <row r="4689" spans="2:2" x14ac:dyDescent="0.2">
      <c r="B4689" t="str">
        <f t="shared" si="75"/>
        <v/>
      </c>
    </row>
    <row r="4690" spans="2:2" x14ac:dyDescent="0.2">
      <c r="B4690" t="str">
        <f t="shared" si="75"/>
        <v/>
      </c>
    </row>
    <row r="4691" spans="2:2" x14ac:dyDescent="0.2">
      <c r="B4691" t="str">
        <f t="shared" si="75"/>
        <v/>
      </c>
    </row>
    <row r="4692" spans="2:2" x14ac:dyDescent="0.2">
      <c r="B4692" t="str">
        <f t="shared" si="75"/>
        <v/>
      </c>
    </row>
    <row r="4693" spans="2:2" x14ac:dyDescent="0.2">
      <c r="B4693" t="str">
        <f t="shared" si="75"/>
        <v/>
      </c>
    </row>
    <row r="4694" spans="2:2" x14ac:dyDescent="0.2">
      <c r="B4694" t="str">
        <f t="shared" si="75"/>
        <v/>
      </c>
    </row>
    <row r="4695" spans="2:2" x14ac:dyDescent="0.2">
      <c r="B4695" t="str">
        <f t="shared" si="75"/>
        <v/>
      </c>
    </row>
    <row r="4696" spans="2:2" x14ac:dyDescent="0.2">
      <c r="B4696" t="str">
        <f t="shared" si="75"/>
        <v/>
      </c>
    </row>
    <row r="4697" spans="2:2" x14ac:dyDescent="0.2">
      <c r="B4697" t="str">
        <f t="shared" si="75"/>
        <v/>
      </c>
    </row>
    <row r="4698" spans="2:2" x14ac:dyDescent="0.2">
      <c r="B4698" t="str">
        <f t="shared" si="75"/>
        <v/>
      </c>
    </row>
    <row r="4699" spans="2:2" x14ac:dyDescent="0.2">
      <c r="B4699" t="str">
        <f t="shared" si="75"/>
        <v/>
      </c>
    </row>
    <row r="4700" spans="2:2" x14ac:dyDescent="0.2">
      <c r="B4700" t="str">
        <f t="shared" si="75"/>
        <v/>
      </c>
    </row>
    <row r="4701" spans="2:2" x14ac:dyDescent="0.2">
      <c r="B4701" t="str">
        <f t="shared" si="75"/>
        <v/>
      </c>
    </row>
    <row r="4702" spans="2:2" x14ac:dyDescent="0.2">
      <c r="B4702" t="str">
        <f t="shared" si="75"/>
        <v/>
      </c>
    </row>
    <row r="4703" spans="2:2" x14ac:dyDescent="0.2">
      <c r="B4703" t="str">
        <f t="shared" si="75"/>
        <v/>
      </c>
    </row>
    <row r="4704" spans="2:2" x14ac:dyDescent="0.2">
      <c r="B4704" t="str">
        <f t="shared" si="75"/>
        <v/>
      </c>
    </row>
    <row r="4705" spans="2:2" x14ac:dyDescent="0.2">
      <c r="B4705" t="str">
        <f t="shared" si="75"/>
        <v/>
      </c>
    </row>
    <row r="4706" spans="2:2" x14ac:dyDescent="0.2">
      <c r="B4706" t="str">
        <f t="shared" si="75"/>
        <v/>
      </c>
    </row>
    <row r="4707" spans="2:2" x14ac:dyDescent="0.2">
      <c r="B4707" t="str">
        <f t="shared" si="75"/>
        <v/>
      </c>
    </row>
    <row r="4708" spans="2:2" x14ac:dyDescent="0.2">
      <c r="B4708" t="str">
        <f t="shared" si="75"/>
        <v/>
      </c>
    </row>
    <row r="4709" spans="2:2" x14ac:dyDescent="0.2">
      <c r="B4709" t="str">
        <f t="shared" si="75"/>
        <v/>
      </c>
    </row>
    <row r="4710" spans="2:2" x14ac:dyDescent="0.2">
      <c r="B4710" t="str">
        <f t="shared" si="75"/>
        <v/>
      </c>
    </row>
    <row r="4711" spans="2:2" x14ac:dyDescent="0.2">
      <c r="B4711" t="str">
        <f t="shared" si="75"/>
        <v/>
      </c>
    </row>
    <row r="4712" spans="2:2" x14ac:dyDescent="0.2">
      <c r="B4712" t="str">
        <f t="shared" si="75"/>
        <v/>
      </c>
    </row>
    <row r="4713" spans="2:2" x14ac:dyDescent="0.2">
      <c r="B4713" t="str">
        <f t="shared" si="75"/>
        <v/>
      </c>
    </row>
    <row r="4714" spans="2:2" x14ac:dyDescent="0.2">
      <c r="B4714" t="str">
        <f t="shared" si="75"/>
        <v/>
      </c>
    </row>
    <row r="4715" spans="2:2" x14ac:dyDescent="0.2">
      <c r="B4715" t="str">
        <f t="shared" si="75"/>
        <v/>
      </c>
    </row>
    <row r="4716" spans="2:2" x14ac:dyDescent="0.2">
      <c r="B4716" t="str">
        <f t="shared" si="75"/>
        <v/>
      </c>
    </row>
    <row r="4717" spans="2:2" x14ac:dyDescent="0.2">
      <c r="B4717" t="str">
        <f t="shared" si="75"/>
        <v/>
      </c>
    </row>
    <row r="4718" spans="2:2" x14ac:dyDescent="0.2">
      <c r="B4718" t="str">
        <f t="shared" si="75"/>
        <v/>
      </c>
    </row>
    <row r="4719" spans="2:2" x14ac:dyDescent="0.2">
      <c r="B4719" t="str">
        <f t="shared" si="75"/>
        <v/>
      </c>
    </row>
    <row r="4720" spans="2:2" x14ac:dyDescent="0.2">
      <c r="B4720" t="str">
        <f t="shared" si="75"/>
        <v/>
      </c>
    </row>
    <row r="4721" spans="2:2" x14ac:dyDescent="0.2">
      <c r="B4721" t="str">
        <f t="shared" si="75"/>
        <v/>
      </c>
    </row>
    <row r="4722" spans="2:2" x14ac:dyDescent="0.2">
      <c r="B4722" t="str">
        <f t="shared" si="75"/>
        <v/>
      </c>
    </row>
    <row r="4723" spans="2:2" x14ac:dyDescent="0.2">
      <c r="B4723" t="str">
        <f t="shared" si="75"/>
        <v/>
      </c>
    </row>
    <row r="4724" spans="2:2" x14ac:dyDescent="0.2">
      <c r="B4724" t="str">
        <f t="shared" si="75"/>
        <v/>
      </c>
    </row>
    <row r="4725" spans="2:2" x14ac:dyDescent="0.2">
      <c r="B4725" t="str">
        <f t="shared" si="75"/>
        <v/>
      </c>
    </row>
    <row r="4726" spans="2:2" x14ac:dyDescent="0.2">
      <c r="B4726" t="str">
        <f t="shared" si="75"/>
        <v/>
      </c>
    </row>
    <row r="4727" spans="2:2" x14ac:dyDescent="0.2">
      <c r="B4727" t="str">
        <f t="shared" si="75"/>
        <v/>
      </c>
    </row>
    <row r="4728" spans="2:2" x14ac:dyDescent="0.2">
      <c r="B4728" t="str">
        <f t="shared" si="75"/>
        <v/>
      </c>
    </row>
    <row r="4729" spans="2:2" x14ac:dyDescent="0.2">
      <c r="B4729" t="str">
        <f t="shared" si="75"/>
        <v/>
      </c>
    </row>
    <row r="4730" spans="2:2" x14ac:dyDescent="0.2">
      <c r="B4730" t="str">
        <f t="shared" si="75"/>
        <v/>
      </c>
    </row>
    <row r="4731" spans="2:2" x14ac:dyDescent="0.2">
      <c r="B4731" t="str">
        <f t="shared" si="75"/>
        <v/>
      </c>
    </row>
    <row r="4732" spans="2:2" x14ac:dyDescent="0.2">
      <c r="B4732" t="str">
        <f t="shared" si="75"/>
        <v/>
      </c>
    </row>
    <row r="4733" spans="2:2" x14ac:dyDescent="0.2">
      <c r="B4733" t="str">
        <f t="shared" si="75"/>
        <v/>
      </c>
    </row>
    <row r="4734" spans="2:2" x14ac:dyDescent="0.2">
      <c r="B4734" t="str">
        <f t="shared" si="75"/>
        <v/>
      </c>
    </row>
    <row r="4735" spans="2:2" x14ac:dyDescent="0.2">
      <c r="B4735" t="str">
        <f t="shared" si="75"/>
        <v/>
      </c>
    </row>
    <row r="4736" spans="2:2" x14ac:dyDescent="0.2">
      <c r="B4736" t="str">
        <f t="shared" si="75"/>
        <v/>
      </c>
    </row>
    <row r="4737" spans="2:2" x14ac:dyDescent="0.2">
      <c r="B4737" t="str">
        <f t="shared" si="75"/>
        <v/>
      </c>
    </row>
    <row r="4738" spans="2:2" x14ac:dyDescent="0.2">
      <c r="B4738" t="str">
        <f t="shared" si="75"/>
        <v/>
      </c>
    </row>
    <row r="4739" spans="2:2" x14ac:dyDescent="0.2">
      <c r="B4739" t="str">
        <f t="shared" si="75"/>
        <v/>
      </c>
    </row>
    <row r="4740" spans="2:2" x14ac:dyDescent="0.2">
      <c r="B4740" t="str">
        <f t="shared" si="75"/>
        <v/>
      </c>
    </row>
    <row r="4741" spans="2:2" x14ac:dyDescent="0.2">
      <c r="B4741" t="str">
        <f t="shared" ref="B4741:B4804" si="76">D4741&amp;I4741</f>
        <v/>
      </c>
    </row>
    <row r="4742" spans="2:2" x14ac:dyDescent="0.2">
      <c r="B4742" t="str">
        <f t="shared" si="76"/>
        <v/>
      </c>
    </row>
    <row r="4743" spans="2:2" x14ac:dyDescent="0.2">
      <c r="B4743" t="str">
        <f t="shared" si="76"/>
        <v/>
      </c>
    </row>
    <row r="4744" spans="2:2" x14ac:dyDescent="0.2">
      <c r="B4744" t="str">
        <f t="shared" si="76"/>
        <v/>
      </c>
    </row>
    <row r="4745" spans="2:2" x14ac:dyDescent="0.2">
      <c r="B4745" t="str">
        <f t="shared" si="76"/>
        <v/>
      </c>
    </row>
    <row r="4746" spans="2:2" x14ac:dyDescent="0.2">
      <c r="B4746" t="str">
        <f t="shared" si="76"/>
        <v/>
      </c>
    </row>
    <row r="4747" spans="2:2" x14ac:dyDescent="0.2">
      <c r="B4747" t="str">
        <f t="shared" si="76"/>
        <v/>
      </c>
    </row>
    <row r="4748" spans="2:2" x14ac:dyDescent="0.2">
      <c r="B4748" t="str">
        <f t="shared" si="76"/>
        <v/>
      </c>
    </row>
    <row r="4749" spans="2:2" x14ac:dyDescent="0.2">
      <c r="B4749" t="str">
        <f t="shared" si="76"/>
        <v/>
      </c>
    </row>
    <row r="4750" spans="2:2" x14ac:dyDescent="0.2">
      <c r="B4750" t="str">
        <f t="shared" si="76"/>
        <v/>
      </c>
    </row>
    <row r="4751" spans="2:2" x14ac:dyDescent="0.2">
      <c r="B4751" t="str">
        <f t="shared" si="76"/>
        <v/>
      </c>
    </row>
    <row r="4752" spans="2:2" x14ac:dyDescent="0.2">
      <c r="B4752" t="str">
        <f t="shared" si="76"/>
        <v/>
      </c>
    </row>
    <row r="4753" spans="2:2" x14ac:dyDescent="0.2">
      <c r="B4753" t="str">
        <f t="shared" si="76"/>
        <v/>
      </c>
    </row>
    <row r="4754" spans="2:2" x14ac:dyDescent="0.2">
      <c r="B4754" t="str">
        <f t="shared" si="76"/>
        <v/>
      </c>
    </row>
    <row r="4755" spans="2:2" x14ac:dyDescent="0.2">
      <c r="B4755" t="str">
        <f t="shared" si="76"/>
        <v/>
      </c>
    </row>
    <row r="4756" spans="2:2" x14ac:dyDescent="0.2">
      <c r="B4756" t="str">
        <f t="shared" si="76"/>
        <v/>
      </c>
    </row>
    <row r="4757" spans="2:2" x14ac:dyDescent="0.2">
      <c r="B4757" t="str">
        <f t="shared" si="76"/>
        <v/>
      </c>
    </row>
    <row r="4758" spans="2:2" x14ac:dyDescent="0.2">
      <c r="B4758" t="str">
        <f t="shared" si="76"/>
        <v/>
      </c>
    </row>
    <row r="4759" spans="2:2" x14ac:dyDescent="0.2">
      <c r="B4759" t="str">
        <f t="shared" si="76"/>
        <v/>
      </c>
    </row>
    <row r="4760" spans="2:2" x14ac:dyDescent="0.2">
      <c r="B4760" t="str">
        <f t="shared" si="76"/>
        <v/>
      </c>
    </row>
    <row r="4761" spans="2:2" x14ac:dyDescent="0.2">
      <c r="B4761" t="str">
        <f t="shared" si="76"/>
        <v/>
      </c>
    </row>
    <row r="4762" spans="2:2" x14ac:dyDescent="0.2">
      <c r="B4762" t="str">
        <f t="shared" si="76"/>
        <v/>
      </c>
    </row>
    <row r="4763" spans="2:2" x14ac:dyDescent="0.2">
      <c r="B4763" t="str">
        <f t="shared" si="76"/>
        <v/>
      </c>
    </row>
    <row r="4764" spans="2:2" x14ac:dyDescent="0.2">
      <c r="B4764" t="str">
        <f t="shared" si="76"/>
        <v/>
      </c>
    </row>
    <row r="4765" spans="2:2" x14ac:dyDescent="0.2">
      <c r="B4765" t="str">
        <f t="shared" si="76"/>
        <v/>
      </c>
    </row>
    <row r="4766" spans="2:2" x14ac:dyDescent="0.2">
      <c r="B4766" t="str">
        <f t="shared" si="76"/>
        <v/>
      </c>
    </row>
    <row r="4767" spans="2:2" x14ac:dyDescent="0.2">
      <c r="B4767" t="str">
        <f t="shared" si="76"/>
        <v/>
      </c>
    </row>
    <row r="4768" spans="2:2" x14ac:dyDescent="0.2">
      <c r="B4768" t="str">
        <f t="shared" si="76"/>
        <v/>
      </c>
    </row>
    <row r="4769" spans="2:2" x14ac:dyDescent="0.2">
      <c r="B4769" t="str">
        <f t="shared" si="76"/>
        <v/>
      </c>
    </row>
    <row r="4770" spans="2:2" x14ac:dyDescent="0.2">
      <c r="B4770" t="str">
        <f t="shared" si="76"/>
        <v/>
      </c>
    </row>
    <row r="4771" spans="2:2" x14ac:dyDescent="0.2">
      <c r="B4771" t="str">
        <f t="shared" si="76"/>
        <v/>
      </c>
    </row>
    <row r="4772" spans="2:2" x14ac:dyDescent="0.2">
      <c r="B4772" t="str">
        <f t="shared" si="76"/>
        <v/>
      </c>
    </row>
    <row r="4773" spans="2:2" x14ac:dyDescent="0.2">
      <c r="B4773" t="str">
        <f t="shared" si="76"/>
        <v/>
      </c>
    </row>
    <row r="4774" spans="2:2" x14ac:dyDescent="0.2">
      <c r="B4774" t="str">
        <f t="shared" si="76"/>
        <v/>
      </c>
    </row>
    <row r="4775" spans="2:2" x14ac:dyDescent="0.2">
      <c r="B4775" t="str">
        <f t="shared" si="76"/>
        <v/>
      </c>
    </row>
    <row r="4776" spans="2:2" x14ac:dyDescent="0.2">
      <c r="B4776" t="str">
        <f t="shared" si="76"/>
        <v/>
      </c>
    </row>
    <row r="4777" spans="2:2" x14ac:dyDescent="0.2">
      <c r="B4777" t="str">
        <f t="shared" si="76"/>
        <v/>
      </c>
    </row>
    <row r="4778" spans="2:2" x14ac:dyDescent="0.2">
      <c r="B4778" t="str">
        <f t="shared" si="76"/>
        <v/>
      </c>
    </row>
    <row r="4779" spans="2:2" x14ac:dyDescent="0.2">
      <c r="B4779" t="str">
        <f t="shared" si="76"/>
        <v/>
      </c>
    </row>
    <row r="4780" spans="2:2" x14ac:dyDescent="0.2">
      <c r="B4780" t="str">
        <f t="shared" si="76"/>
        <v/>
      </c>
    </row>
    <row r="4781" spans="2:2" x14ac:dyDescent="0.2">
      <c r="B4781" t="str">
        <f t="shared" si="76"/>
        <v/>
      </c>
    </row>
    <row r="4782" spans="2:2" x14ac:dyDescent="0.2">
      <c r="B4782" t="str">
        <f t="shared" si="76"/>
        <v/>
      </c>
    </row>
    <row r="4783" spans="2:2" x14ac:dyDescent="0.2">
      <c r="B4783" t="str">
        <f t="shared" si="76"/>
        <v/>
      </c>
    </row>
    <row r="4784" spans="2:2" x14ac:dyDescent="0.2">
      <c r="B4784" t="str">
        <f t="shared" si="76"/>
        <v/>
      </c>
    </row>
    <row r="4785" spans="2:2" x14ac:dyDescent="0.2">
      <c r="B4785" t="str">
        <f t="shared" si="76"/>
        <v/>
      </c>
    </row>
    <row r="4786" spans="2:2" x14ac:dyDescent="0.2">
      <c r="B4786" t="str">
        <f t="shared" si="76"/>
        <v/>
      </c>
    </row>
    <row r="4787" spans="2:2" x14ac:dyDescent="0.2">
      <c r="B4787" t="str">
        <f t="shared" si="76"/>
        <v/>
      </c>
    </row>
    <row r="4788" spans="2:2" x14ac:dyDescent="0.2">
      <c r="B4788" t="str">
        <f t="shared" si="76"/>
        <v/>
      </c>
    </row>
    <row r="4789" spans="2:2" x14ac:dyDescent="0.2">
      <c r="B4789" t="str">
        <f t="shared" si="76"/>
        <v/>
      </c>
    </row>
    <row r="4790" spans="2:2" x14ac:dyDescent="0.2">
      <c r="B4790" t="str">
        <f t="shared" si="76"/>
        <v/>
      </c>
    </row>
    <row r="4791" spans="2:2" x14ac:dyDescent="0.2">
      <c r="B4791" t="str">
        <f t="shared" si="76"/>
        <v/>
      </c>
    </row>
    <row r="4792" spans="2:2" x14ac:dyDescent="0.2">
      <c r="B4792" t="str">
        <f t="shared" si="76"/>
        <v/>
      </c>
    </row>
    <row r="4793" spans="2:2" x14ac:dyDescent="0.2">
      <c r="B4793" t="str">
        <f t="shared" si="76"/>
        <v/>
      </c>
    </row>
    <row r="4794" spans="2:2" x14ac:dyDescent="0.2">
      <c r="B4794" t="str">
        <f t="shared" si="76"/>
        <v/>
      </c>
    </row>
    <row r="4795" spans="2:2" x14ac:dyDescent="0.2">
      <c r="B4795" t="str">
        <f t="shared" si="76"/>
        <v/>
      </c>
    </row>
    <row r="4796" spans="2:2" x14ac:dyDescent="0.2">
      <c r="B4796" t="str">
        <f t="shared" si="76"/>
        <v/>
      </c>
    </row>
    <row r="4797" spans="2:2" x14ac:dyDescent="0.2">
      <c r="B4797" t="str">
        <f t="shared" si="76"/>
        <v/>
      </c>
    </row>
    <row r="4798" spans="2:2" x14ac:dyDescent="0.2">
      <c r="B4798" t="str">
        <f t="shared" si="76"/>
        <v/>
      </c>
    </row>
    <row r="4799" spans="2:2" x14ac:dyDescent="0.2">
      <c r="B4799" t="str">
        <f t="shared" si="76"/>
        <v/>
      </c>
    </row>
    <row r="4800" spans="2:2" x14ac:dyDescent="0.2">
      <c r="B4800" t="str">
        <f t="shared" si="76"/>
        <v/>
      </c>
    </row>
    <row r="4801" spans="2:2" x14ac:dyDescent="0.2">
      <c r="B4801" t="str">
        <f t="shared" si="76"/>
        <v/>
      </c>
    </row>
    <row r="4802" spans="2:2" x14ac:dyDescent="0.2">
      <c r="B4802" t="str">
        <f t="shared" si="76"/>
        <v/>
      </c>
    </row>
    <row r="4803" spans="2:2" x14ac:dyDescent="0.2">
      <c r="B4803" t="str">
        <f t="shared" si="76"/>
        <v/>
      </c>
    </row>
    <row r="4804" spans="2:2" x14ac:dyDescent="0.2">
      <c r="B4804" t="str">
        <f t="shared" si="76"/>
        <v/>
      </c>
    </row>
    <row r="4805" spans="2:2" x14ac:dyDescent="0.2">
      <c r="B4805" t="str">
        <f t="shared" ref="B4805:B4868" si="77">D4805&amp;I4805</f>
        <v/>
      </c>
    </row>
    <row r="4806" spans="2:2" x14ac:dyDescent="0.2">
      <c r="B4806" t="str">
        <f t="shared" si="77"/>
        <v/>
      </c>
    </row>
    <row r="4807" spans="2:2" x14ac:dyDescent="0.2">
      <c r="B4807" t="str">
        <f t="shared" si="77"/>
        <v/>
      </c>
    </row>
    <row r="4808" spans="2:2" x14ac:dyDescent="0.2">
      <c r="B4808" t="str">
        <f t="shared" si="77"/>
        <v/>
      </c>
    </row>
    <row r="4809" spans="2:2" x14ac:dyDescent="0.2">
      <c r="B4809" t="str">
        <f t="shared" si="77"/>
        <v/>
      </c>
    </row>
    <row r="4810" spans="2:2" x14ac:dyDescent="0.2">
      <c r="B4810" t="str">
        <f t="shared" si="77"/>
        <v/>
      </c>
    </row>
    <row r="4811" spans="2:2" x14ac:dyDescent="0.2">
      <c r="B4811" t="str">
        <f t="shared" si="77"/>
        <v/>
      </c>
    </row>
    <row r="4812" spans="2:2" x14ac:dyDescent="0.2">
      <c r="B4812" t="str">
        <f t="shared" si="77"/>
        <v/>
      </c>
    </row>
    <row r="4813" spans="2:2" x14ac:dyDescent="0.2">
      <c r="B4813" t="str">
        <f t="shared" si="77"/>
        <v/>
      </c>
    </row>
    <row r="4814" spans="2:2" x14ac:dyDescent="0.2">
      <c r="B4814" t="str">
        <f t="shared" si="77"/>
        <v/>
      </c>
    </row>
    <row r="4815" spans="2:2" x14ac:dyDescent="0.2">
      <c r="B4815" t="str">
        <f t="shared" si="77"/>
        <v/>
      </c>
    </row>
    <row r="4816" spans="2:2" x14ac:dyDescent="0.2">
      <c r="B4816" t="str">
        <f t="shared" si="77"/>
        <v/>
      </c>
    </row>
    <row r="4817" spans="2:2" x14ac:dyDescent="0.2">
      <c r="B4817" t="str">
        <f t="shared" si="77"/>
        <v/>
      </c>
    </row>
    <row r="4818" spans="2:2" x14ac:dyDescent="0.2">
      <c r="B4818" t="str">
        <f t="shared" si="77"/>
        <v/>
      </c>
    </row>
    <row r="4819" spans="2:2" x14ac:dyDescent="0.2">
      <c r="B4819" t="str">
        <f t="shared" si="77"/>
        <v/>
      </c>
    </row>
    <row r="4820" spans="2:2" x14ac:dyDescent="0.2">
      <c r="B4820" t="str">
        <f t="shared" si="77"/>
        <v/>
      </c>
    </row>
    <row r="4821" spans="2:2" x14ac:dyDescent="0.2">
      <c r="B4821" t="str">
        <f t="shared" si="77"/>
        <v/>
      </c>
    </row>
    <row r="4822" spans="2:2" x14ac:dyDescent="0.2">
      <c r="B4822" t="str">
        <f t="shared" si="77"/>
        <v/>
      </c>
    </row>
    <row r="4823" spans="2:2" x14ac:dyDescent="0.2">
      <c r="B4823" t="str">
        <f t="shared" si="77"/>
        <v/>
      </c>
    </row>
    <row r="4824" spans="2:2" x14ac:dyDescent="0.2">
      <c r="B4824" t="str">
        <f t="shared" si="77"/>
        <v/>
      </c>
    </row>
    <row r="4825" spans="2:2" x14ac:dyDescent="0.2">
      <c r="B4825" t="str">
        <f t="shared" si="77"/>
        <v/>
      </c>
    </row>
    <row r="4826" spans="2:2" x14ac:dyDescent="0.2">
      <c r="B4826" t="str">
        <f t="shared" si="77"/>
        <v/>
      </c>
    </row>
    <row r="4827" spans="2:2" x14ac:dyDescent="0.2">
      <c r="B4827" t="str">
        <f t="shared" si="77"/>
        <v/>
      </c>
    </row>
    <row r="4828" spans="2:2" x14ac:dyDescent="0.2">
      <c r="B4828" t="str">
        <f t="shared" si="77"/>
        <v/>
      </c>
    </row>
    <row r="4829" spans="2:2" x14ac:dyDescent="0.2">
      <c r="B4829" t="str">
        <f t="shared" si="77"/>
        <v/>
      </c>
    </row>
    <row r="4830" spans="2:2" x14ac:dyDescent="0.2">
      <c r="B4830" t="str">
        <f t="shared" si="77"/>
        <v/>
      </c>
    </row>
    <row r="4831" spans="2:2" x14ac:dyDescent="0.2">
      <c r="B4831" t="str">
        <f t="shared" si="77"/>
        <v/>
      </c>
    </row>
    <row r="4832" spans="2:2" x14ac:dyDescent="0.2">
      <c r="B4832" t="str">
        <f t="shared" si="77"/>
        <v/>
      </c>
    </row>
    <row r="4833" spans="2:2" x14ac:dyDescent="0.2">
      <c r="B4833" t="str">
        <f t="shared" si="77"/>
        <v/>
      </c>
    </row>
    <row r="4834" spans="2:2" x14ac:dyDescent="0.2">
      <c r="B4834" t="str">
        <f t="shared" si="77"/>
        <v/>
      </c>
    </row>
    <row r="4835" spans="2:2" x14ac:dyDescent="0.2">
      <c r="B4835" t="str">
        <f t="shared" si="77"/>
        <v/>
      </c>
    </row>
    <row r="4836" spans="2:2" x14ac:dyDescent="0.2">
      <c r="B4836" t="str">
        <f t="shared" si="77"/>
        <v/>
      </c>
    </row>
    <row r="4837" spans="2:2" x14ac:dyDescent="0.2">
      <c r="B4837" t="str">
        <f t="shared" si="77"/>
        <v/>
      </c>
    </row>
    <row r="4838" spans="2:2" x14ac:dyDescent="0.2">
      <c r="B4838" t="str">
        <f t="shared" si="77"/>
        <v/>
      </c>
    </row>
    <row r="4839" spans="2:2" x14ac:dyDescent="0.2">
      <c r="B4839" t="str">
        <f t="shared" si="77"/>
        <v/>
      </c>
    </row>
    <row r="4840" spans="2:2" x14ac:dyDescent="0.2">
      <c r="B4840" t="str">
        <f t="shared" si="77"/>
        <v/>
      </c>
    </row>
    <row r="4841" spans="2:2" x14ac:dyDescent="0.2">
      <c r="B4841" t="str">
        <f t="shared" si="77"/>
        <v/>
      </c>
    </row>
    <row r="4842" spans="2:2" x14ac:dyDescent="0.2">
      <c r="B4842" t="str">
        <f t="shared" si="77"/>
        <v/>
      </c>
    </row>
    <row r="4843" spans="2:2" x14ac:dyDescent="0.2">
      <c r="B4843" t="str">
        <f t="shared" si="77"/>
        <v/>
      </c>
    </row>
    <row r="4844" spans="2:2" x14ac:dyDescent="0.2">
      <c r="B4844" t="str">
        <f t="shared" si="77"/>
        <v/>
      </c>
    </row>
    <row r="4845" spans="2:2" x14ac:dyDescent="0.2">
      <c r="B4845" t="str">
        <f t="shared" si="77"/>
        <v/>
      </c>
    </row>
    <row r="4846" spans="2:2" x14ac:dyDescent="0.2">
      <c r="B4846" t="str">
        <f t="shared" si="77"/>
        <v/>
      </c>
    </row>
    <row r="4847" spans="2:2" x14ac:dyDescent="0.2">
      <c r="B4847" t="str">
        <f t="shared" si="77"/>
        <v/>
      </c>
    </row>
    <row r="4848" spans="2:2" x14ac:dyDescent="0.2">
      <c r="B4848" t="str">
        <f t="shared" si="77"/>
        <v/>
      </c>
    </row>
    <row r="4849" spans="2:2" x14ac:dyDescent="0.2">
      <c r="B4849" t="str">
        <f t="shared" si="77"/>
        <v/>
      </c>
    </row>
    <row r="4850" spans="2:2" x14ac:dyDescent="0.2">
      <c r="B4850" t="str">
        <f t="shared" si="77"/>
        <v/>
      </c>
    </row>
    <row r="4851" spans="2:2" x14ac:dyDescent="0.2">
      <c r="B4851" t="str">
        <f t="shared" si="77"/>
        <v/>
      </c>
    </row>
    <row r="4852" spans="2:2" x14ac:dyDescent="0.2">
      <c r="B4852" t="str">
        <f t="shared" si="77"/>
        <v/>
      </c>
    </row>
    <row r="4853" spans="2:2" x14ac:dyDescent="0.2">
      <c r="B4853" t="str">
        <f t="shared" si="77"/>
        <v/>
      </c>
    </row>
    <row r="4854" spans="2:2" x14ac:dyDescent="0.2">
      <c r="B4854" t="str">
        <f t="shared" si="77"/>
        <v/>
      </c>
    </row>
    <row r="4855" spans="2:2" x14ac:dyDescent="0.2">
      <c r="B4855" t="str">
        <f t="shared" si="77"/>
        <v/>
      </c>
    </row>
    <row r="4856" spans="2:2" x14ac:dyDescent="0.2">
      <c r="B4856" t="str">
        <f t="shared" si="77"/>
        <v/>
      </c>
    </row>
    <row r="4857" spans="2:2" x14ac:dyDescent="0.2">
      <c r="B4857" t="str">
        <f t="shared" si="77"/>
        <v/>
      </c>
    </row>
    <row r="4858" spans="2:2" x14ac:dyDescent="0.2">
      <c r="B4858" t="str">
        <f t="shared" si="77"/>
        <v/>
      </c>
    </row>
    <row r="4859" spans="2:2" x14ac:dyDescent="0.2">
      <c r="B4859" t="str">
        <f t="shared" si="77"/>
        <v/>
      </c>
    </row>
    <row r="4860" spans="2:2" x14ac:dyDescent="0.2">
      <c r="B4860" t="str">
        <f t="shared" si="77"/>
        <v/>
      </c>
    </row>
    <row r="4861" spans="2:2" x14ac:dyDescent="0.2">
      <c r="B4861" t="str">
        <f t="shared" si="77"/>
        <v/>
      </c>
    </row>
    <row r="4862" spans="2:2" x14ac:dyDescent="0.2">
      <c r="B4862" t="str">
        <f t="shared" si="77"/>
        <v/>
      </c>
    </row>
    <row r="4863" spans="2:2" x14ac:dyDescent="0.2">
      <c r="B4863" t="str">
        <f t="shared" si="77"/>
        <v/>
      </c>
    </row>
    <row r="4864" spans="2:2" x14ac:dyDescent="0.2">
      <c r="B4864" t="str">
        <f t="shared" si="77"/>
        <v/>
      </c>
    </row>
    <row r="4865" spans="2:2" x14ac:dyDescent="0.2">
      <c r="B4865" t="str">
        <f t="shared" si="77"/>
        <v/>
      </c>
    </row>
    <row r="4866" spans="2:2" x14ac:dyDescent="0.2">
      <c r="B4866" t="str">
        <f t="shared" si="77"/>
        <v/>
      </c>
    </row>
    <row r="4867" spans="2:2" x14ac:dyDescent="0.2">
      <c r="B4867" t="str">
        <f t="shared" si="77"/>
        <v/>
      </c>
    </row>
    <row r="4868" spans="2:2" x14ac:dyDescent="0.2">
      <c r="B4868" t="str">
        <f t="shared" si="77"/>
        <v/>
      </c>
    </row>
    <row r="4869" spans="2:2" x14ac:dyDescent="0.2">
      <c r="B4869" t="str">
        <f t="shared" ref="B4869:B4932" si="78">D4869&amp;I4869</f>
        <v/>
      </c>
    </row>
    <row r="4870" spans="2:2" x14ac:dyDescent="0.2">
      <c r="B4870" t="str">
        <f t="shared" si="78"/>
        <v/>
      </c>
    </row>
    <row r="4871" spans="2:2" x14ac:dyDescent="0.2">
      <c r="B4871" t="str">
        <f t="shared" si="78"/>
        <v/>
      </c>
    </row>
    <row r="4872" spans="2:2" x14ac:dyDescent="0.2">
      <c r="B4872" t="str">
        <f t="shared" si="78"/>
        <v/>
      </c>
    </row>
    <row r="4873" spans="2:2" x14ac:dyDescent="0.2">
      <c r="B4873" t="str">
        <f t="shared" si="78"/>
        <v/>
      </c>
    </row>
    <row r="4874" spans="2:2" x14ac:dyDescent="0.2">
      <c r="B4874" t="str">
        <f t="shared" si="78"/>
        <v/>
      </c>
    </row>
    <row r="4875" spans="2:2" x14ac:dyDescent="0.2">
      <c r="B4875" t="str">
        <f t="shared" si="78"/>
        <v/>
      </c>
    </row>
    <row r="4876" spans="2:2" x14ac:dyDescent="0.2">
      <c r="B4876" t="str">
        <f t="shared" si="78"/>
        <v/>
      </c>
    </row>
    <row r="4877" spans="2:2" x14ac:dyDescent="0.2">
      <c r="B4877" t="str">
        <f t="shared" si="78"/>
        <v/>
      </c>
    </row>
    <row r="4878" spans="2:2" x14ac:dyDescent="0.2">
      <c r="B4878" t="str">
        <f t="shared" si="78"/>
        <v/>
      </c>
    </row>
    <row r="4879" spans="2:2" x14ac:dyDescent="0.2">
      <c r="B4879" t="str">
        <f t="shared" si="78"/>
        <v/>
      </c>
    </row>
    <row r="4880" spans="2:2" x14ac:dyDescent="0.2">
      <c r="B4880" t="str">
        <f t="shared" si="78"/>
        <v/>
      </c>
    </row>
    <row r="4881" spans="2:2" x14ac:dyDescent="0.2">
      <c r="B4881" t="str">
        <f t="shared" si="78"/>
        <v/>
      </c>
    </row>
    <row r="4882" spans="2:2" x14ac:dyDescent="0.2">
      <c r="B4882" t="str">
        <f t="shared" si="78"/>
        <v/>
      </c>
    </row>
    <row r="4883" spans="2:2" x14ac:dyDescent="0.2">
      <c r="B4883" t="str">
        <f t="shared" si="78"/>
        <v/>
      </c>
    </row>
    <row r="4884" spans="2:2" x14ac:dyDescent="0.2">
      <c r="B4884" t="str">
        <f t="shared" si="78"/>
        <v/>
      </c>
    </row>
    <row r="4885" spans="2:2" x14ac:dyDescent="0.2">
      <c r="B4885" t="str">
        <f t="shared" si="78"/>
        <v/>
      </c>
    </row>
    <row r="4886" spans="2:2" x14ac:dyDescent="0.2">
      <c r="B4886" t="str">
        <f t="shared" si="78"/>
        <v/>
      </c>
    </row>
    <row r="4887" spans="2:2" x14ac:dyDescent="0.2">
      <c r="B4887" t="str">
        <f t="shared" si="78"/>
        <v/>
      </c>
    </row>
    <row r="4888" spans="2:2" x14ac:dyDescent="0.2">
      <c r="B4888" t="str">
        <f t="shared" si="78"/>
        <v/>
      </c>
    </row>
    <row r="4889" spans="2:2" x14ac:dyDescent="0.2">
      <c r="B4889" t="str">
        <f t="shared" si="78"/>
        <v/>
      </c>
    </row>
    <row r="4890" spans="2:2" x14ac:dyDescent="0.2">
      <c r="B4890" t="str">
        <f t="shared" si="78"/>
        <v/>
      </c>
    </row>
    <row r="4891" spans="2:2" x14ac:dyDescent="0.2">
      <c r="B4891" t="str">
        <f t="shared" si="78"/>
        <v/>
      </c>
    </row>
    <row r="4892" spans="2:2" x14ac:dyDescent="0.2">
      <c r="B4892" t="str">
        <f t="shared" si="78"/>
        <v/>
      </c>
    </row>
    <row r="4893" spans="2:2" x14ac:dyDescent="0.2">
      <c r="B4893" t="str">
        <f t="shared" si="78"/>
        <v/>
      </c>
    </row>
    <row r="4894" spans="2:2" x14ac:dyDescent="0.2">
      <c r="B4894" t="str">
        <f t="shared" si="78"/>
        <v/>
      </c>
    </row>
    <row r="4895" spans="2:2" x14ac:dyDescent="0.2">
      <c r="B4895" t="str">
        <f t="shared" si="78"/>
        <v/>
      </c>
    </row>
    <row r="4896" spans="2:2" x14ac:dyDescent="0.2">
      <c r="B4896" t="str">
        <f t="shared" si="78"/>
        <v/>
      </c>
    </row>
    <row r="4897" spans="2:2" x14ac:dyDescent="0.2">
      <c r="B4897" t="str">
        <f t="shared" si="78"/>
        <v/>
      </c>
    </row>
    <row r="4898" spans="2:2" x14ac:dyDescent="0.2">
      <c r="B4898" t="str">
        <f t="shared" si="78"/>
        <v/>
      </c>
    </row>
    <row r="4899" spans="2:2" x14ac:dyDescent="0.2">
      <c r="B4899" t="str">
        <f t="shared" si="78"/>
        <v/>
      </c>
    </row>
    <row r="4900" spans="2:2" x14ac:dyDescent="0.2">
      <c r="B4900" t="str">
        <f t="shared" si="78"/>
        <v/>
      </c>
    </row>
    <row r="4901" spans="2:2" x14ac:dyDescent="0.2">
      <c r="B4901" t="str">
        <f t="shared" si="78"/>
        <v/>
      </c>
    </row>
    <row r="4902" spans="2:2" x14ac:dyDescent="0.2">
      <c r="B4902" t="str">
        <f t="shared" si="78"/>
        <v/>
      </c>
    </row>
    <row r="4903" spans="2:2" x14ac:dyDescent="0.2">
      <c r="B4903" t="str">
        <f t="shared" si="78"/>
        <v/>
      </c>
    </row>
    <row r="4904" spans="2:2" x14ac:dyDescent="0.2">
      <c r="B4904" t="str">
        <f t="shared" si="78"/>
        <v/>
      </c>
    </row>
    <row r="4905" spans="2:2" x14ac:dyDescent="0.2">
      <c r="B4905" t="str">
        <f t="shared" si="78"/>
        <v/>
      </c>
    </row>
    <row r="4906" spans="2:2" x14ac:dyDescent="0.2">
      <c r="B4906" t="str">
        <f t="shared" si="78"/>
        <v/>
      </c>
    </row>
    <row r="4907" spans="2:2" x14ac:dyDescent="0.2">
      <c r="B4907" t="str">
        <f t="shared" si="78"/>
        <v/>
      </c>
    </row>
    <row r="4908" spans="2:2" x14ac:dyDescent="0.2">
      <c r="B4908" t="str">
        <f t="shared" si="78"/>
        <v/>
      </c>
    </row>
    <row r="4909" spans="2:2" x14ac:dyDescent="0.2">
      <c r="B4909" t="str">
        <f t="shared" si="78"/>
        <v/>
      </c>
    </row>
    <row r="4910" spans="2:2" x14ac:dyDescent="0.2">
      <c r="B4910" t="str">
        <f t="shared" si="78"/>
        <v/>
      </c>
    </row>
    <row r="4911" spans="2:2" x14ac:dyDescent="0.2">
      <c r="B4911" t="str">
        <f t="shared" si="78"/>
        <v/>
      </c>
    </row>
    <row r="4912" spans="2:2" x14ac:dyDescent="0.2">
      <c r="B4912" t="str">
        <f t="shared" si="78"/>
        <v/>
      </c>
    </row>
    <row r="4913" spans="2:2" x14ac:dyDescent="0.2">
      <c r="B4913" t="str">
        <f t="shared" si="78"/>
        <v/>
      </c>
    </row>
    <row r="4914" spans="2:2" x14ac:dyDescent="0.2">
      <c r="B4914" t="str">
        <f t="shared" si="78"/>
        <v/>
      </c>
    </row>
    <row r="4915" spans="2:2" x14ac:dyDescent="0.2">
      <c r="B4915" t="str">
        <f t="shared" si="78"/>
        <v/>
      </c>
    </row>
    <row r="4916" spans="2:2" x14ac:dyDescent="0.2">
      <c r="B4916" t="str">
        <f t="shared" si="78"/>
        <v/>
      </c>
    </row>
    <row r="4917" spans="2:2" x14ac:dyDescent="0.2">
      <c r="B4917" t="str">
        <f t="shared" si="78"/>
        <v/>
      </c>
    </row>
    <row r="4918" spans="2:2" x14ac:dyDescent="0.2">
      <c r="B4918" t="str">
        <f t="shared" si="78"/>
        <v/>
      </c>
    </row>
    <row r="4919" spans="2:2" x14ac:dyDescent="0.2">
      <c r="B4919" t="str">
        <f t="shared" si="78"/>
        <v/>
      </c>
    </row>
    <row r="4920" spans="2:2" x14ac:dyDescent="0.2">
      <c r="B4920" t="str">
        <f t="shared" si="78"/>
        <v/>
      </c>
    </row>
    <row r="4921" spans="2:2" x14ac:dyDescent="0.2">
      <c r="B4921" t="str">
        <f t="shared" si="78"/>
        <v/>
      </c>
    </row>
    <row r="4922" spans="2:2" x14ac:dyDescent="0.2">
      <c r="B4922" t="str">
        <f t="shared" si="78"/>
        <v/>
      </c>
    </row>
    <row r="4923" spans="2:2" x14ac:dyDescent="0.2">
      <c r="B4923" t="str">
        <f t="shared" si="78"/>
        <v/>
      </c>
    </row>
    <row r="4924" spans="2:2" x14ac:dyDescent="0.2">
      <c r="B4924" t="str">
        <f t="shared" si="78"/>
        <v/>
      </c>
    </row>
    <row r="4925" spans="2:2" x14ac:dyDescent="0.2">
      <c r="B4925" t="str">
        <f t="shared" si="78"/>
        <v/>
      </c>
    </row>
    <row r="4926" spans="2:2" x14ac:dyDescent="0.2">
      <c r="B4926" t="str">
        <f t="shared" si="78"/>
        <v/>
      </c>
    </row>
    <row r="4927" spans="2:2" x14ac:dyDescent="0.2">
      <c r="B4927" t="str">
        <f t="shared" si="78"/>
        <v/>
      </c>
    </row>
    <row r="4928" spans="2:2" x14ac:dyDescent="0.2">
      <c r="B4928" t="str">
        <f t="shared" si="78"/>
        <v/>
      </c>
    </row>
    <row r="4929" spans="2:2" x14ac:dyDescent="0.2">
      <c r="B4929" t="str">
        <f t="shared" si="78"/>
        <v/>
      </c>
    </row>
    <row r="4930" spans="2:2" x14ac:dyDescent="0.2">
      <c r="B4930" t="str">
        <f t="shared" si="78"/>
        <v/>
      </c>
    </row>
    <row r="4931" spans="2:2" x14ac:dyDescent="0.2">
      <c r="B4931" t="str">
        <f t="shared" si="78"/>
        <v/>
      </c>
    </row>
    <row r="4932" spans="2:2" x14ac:dyDescent="0.2">
      <c r="B4932" t="str">
        <f t="shared" si="78"/>
        <v/>
      </c>
    </row>
    <row r="4933" spans="2:2" x14ac:dyDescent="0.2">
      <c r="B4933" t="str">
        <f t="shared" ref="B4933:B4996" si="79">D4933&amp;I4933</f>
        <v/>
      </c>
    </row>
    <row r="4934" spans="2:2" x14ac:dyDescent="0.2">
      <c r="B4934" t="str">
        <f t="shared" si="79"/>
        <v/>
      </c>
    </row>
    <row r="4935" spans="2:2" x14ac:dyDescent="0.2">
      <c r="B4935" t="str">
        <f t="shared" si="79"/>
        <v/>
      </c>
    </row>
    <row r="4936" spans="2:2" x14ac:dyDescent="0.2">
      <c r="B4936" t="str">
        <f t="shared" si="79"/>
        <v/>
      </c>
    </row>
    <row r="4937" spans="2:2" x14ac:dyDescent="0.2">
      <c r="B4937" t="str">
        <f t="shared" si="79"/>
        <v/>
      </c>
    </row>
    <row r="4938" spans="2:2" x14ac:dyDescent="0.2">
      <c r="B4938" t="str">
        <f t="shared" si="79"/>
        <v/>
      </c>
    </row>
    <row r="4939" spans="2:2" x14ac:dyDescent="0.2">
      <c r="B4939" t="str">
        <f t="shared" si="79"/>
        <v/>
      </c>
    </row>
    <row r="4940" spans="2:2" x14ac:dyDescent="0.2">
      <c r="B4940" t="str">
        <f t="shared" si="79"/>
        <v/>
      </c>
    </row>
    <row r="4941" spans="2:2" x14ac:dyDescent="0.2">
      <c r="B4941" t="str">
        <f t="shared" si="79"/>
        <v/>
      </c>
    </row>
    <row r="4942" spans="2:2" x14ac:dyDescent="0.2">
      <c r="B4942" t="str">
        <f t="shared" si="79"/>
        <v/>
      </c>
    </row>
    <row r="4943" spans="2:2" x14ac:dyDescent="0.2">
      <c r="B4943" t="str">
        <f t="shared" si="79"/>
        <v/>
      </c>
    </row>
    <row r="4944" spans="2:2" x14ac:dyDescent="0.2">
      <c r="B4944" t="str">
        <f t="shared" si="79"/>
        <v/>
      </c>
    </row>
    <row r="4945" spans="2:2" x14ac:dyDescent="0.2">
      <c r="B4945" t="str">
        <f t="shared" si="79"/>
        <v/>
      </c>
    </row>
    <row r="4946" spans="2:2" x14ac:dyDescent="0.2">
      <c r="B4946" t="str">
        <f t="shared" si="79"/>
        <v/>
      </c>
    </row>
    <row r="4947" spans="2:2" x14ac:dyDescent="0.2">
      <c r="B4947" t="str">
        <f t="shared" si="79"/>
        <v/>
      </c>
    </row>
    <row r="4948" spans="2:2" x14ac:dyDescent="0.2">
      <c r="B4948" t="str">
        <f t="shared" si="79"/>
        <v/>
      </c>
    </row>
    <row r="4949" spans="2:2" x14ac:dyDescent="0.2">
      <c r="B4949" t="str">
        <f t="shared" si="79"/>
        <v/>
      </c>
    </row>
    <row r="4950" spans="2:2" x14ac:dyDescent="0.2">
      <c r="B4950" t="str">
        <f t="shared" si="79"/>
        <v/>
      </c>
    </row>
    <row r="4951" spans="2:2" x14ac:dyDescent="0.2">
      <c r="B4951" t="str">
        <f t="shared" si="79"/>
        <v/>
      </c>
    </row>
    <row r="4952" spans="2:2" x14ac:dyDescent="0.2">
      <c r="B4952" t="str">
        <f t="shared" si="79"/>
        <v/>
      </c>
    </row>
    <row r="4953" spans="2:2" x14ac:dyDescent="0.2">
      <c r="B4953" t="str">
        <f t="shared" si="79"/>
        <v/>
      </c>
    </row>
    <row r="4954" spans="2:2" x14ac:dyDescent="0.2">
      <c r="B4954" t="str">
        <f t="shared" si="79"/>
        <v/>
      </c>
    </row>
    <row r="4955" spans="2:2" x14ac:dyDescent="0.2">
      <c r="B4955" t="str">
        <f t="shared" si="79"/>
        <v/>
      </c>
    </row>
    <row r="4956" spans="2:2" x14ac:dyDescent="0.2">
      <c r="B4956" t="str">
        <f t="shared" si="79"/>
        <v/>
      </c>
    </row>
    <row r="4957" spans="2:2" x14ac:dyDescent="0.2">
      <c r="B4957" t="str">
        <f t="shared" si="79"/>
        <v/>
      </c>
    </row>
    <row r="4958" spans="2:2" x14ac:dyDescent="0.2">
      <c r="B4958" t="str">
        <f t="shared" si="79"/>
        <v/>
      </c>
    </row>
    <row r="4959" spans="2:2" x14ac:dyDescent="0.2">
      <c r="B4959" t="str">
        <f t="shared" si="79"/>
        <v/>
      </c>
    </row>
    <row r="4960" spans="2:2" x14ac:dyDescent="0.2">
      <c r="B4960" t="str">
        <f t="shared" si="79"/>
        <v/>
      </c>
    </row>
    <row r="4961" spans="2:2" x14ac:dyDescent="0.2">
      <c r="B4961" t="str">
        <f t="shared" si="79"/>
        <v/>
      </c>
    </row>
    <row r="4962" spans="2:2" x14ac:dyDescent="0.2">
      <c r="B4962" t="str">
        <f t="shared" si="79"/>
        <v/>
      </c>
    </row>
    <row r="4963" spans="2:2" x14ac:dyDescent="0.2">
      <c r="B4963" t="str">
        <f t="shared" si="79"/>
        <v/>
      </c>
    </row>
    <row r="4964" spans="2:2" x14ac:dyDescent="0.2">
      <c r="B4964" t="str">
        <f t="shared" si="79"/>
        <v/>
      </c>
    </row>
    <row r="4965" spans="2:2" x14ac:dyDescent="0.2">
      <c r="B4965" t="str">
        <f t="shared" si="79"/>
        <v/>
      </c>
    </row>
    <row r="4966" spans="2:2" x14ac:dyDescent="0.2">
      <c r="B4966" t="str">
        <f t="shared" si="79"/>
        <v/>
      </c>
    </row>
    <row r="4967" spans="2:2" x14ac:dyDescent="0.2">
      <c r="B4967" t="str">
        <f t="shared" si="79"/>
        <v/>
      </c>
    </row>
    <row r="4968" spans="2:2" x14ac:dyDescent="0.2">
      <c r="B4968" t="str">
        <f t="shared" si="79"/>
        <v/>
      </c>
    </row>
    <row r="4969" spans="2:2" x14ac:dyDescent="0.2">
      <c r="B4969" t="str">
        <f t="shared" si="79"/>
        <v/>
      </c>
    </row>
    <row r="4970" spans="2:2" x14ac:dyDescent="0.2">
      <c r="B4970" t="str">
        <f t="shared" si="79"/>
        <v/>
      </c>
    </row>
    <row r="4971" spans="2:2" x14ac:dyDescent="0.2">
      <c r="B4971" t="str">
        <f t="shared" si="79"/>
        <v/>
      </c>
    </row>
    <row r="4972" spans="2:2" x14ac:dyDescent="0.2">
      <c r="B4972" t="str">
        <f t="shared" si="79"/>
        <v/>
      </c>
    </row>
    <row r="4973" spans="2:2" x14ac:dyDescent="0.2">
      <c r="B4973" t="str">
        <f t="shared" si="79"/>
        <v/>
      </c>
    </row>
    <row r="4974" spans="2:2" x14ac:dyDescent="0.2">
      <c r="B4974" t="str">
        <f t="shared" si="79"/>
        <v/>
      </c>
    </row>
    <row r="4975" spans="2:2" x14ac:dyDescent="0.2">
      <c r="B4975" t="str">
        <f t="shared" si="79"/>
        <v/>
      </c>
    </row>
    <row r="4976" spans="2:2" x14ac:dyDescent="0.2">
      <c r="B4976" t="str">
        <f t="shared" si="79"/>
        <v/>
      </c>
    </row>
    <row r="4977" spans="2:2" x14ac:dyDescent="0.2">
      <c r="B4977" t="str">
        <f t="shared" si="79"/>
        <v/>
      </c>
    </row>
    <row r="4978" spans="2:2" x14ac:dyDescent="0.2">
      <c r="B4978" t="str">
        <f t="shared" si="79"/>
        <v/>
      </c>
    </row>
    <row r="4979" spans="2:2" x14ac:dyDescent="0.2">
      <c r="B4979" t="str">
        <f t="shared" si="79"/>
        <v/>
      </c>
    </row>
    <row r="4980" spans="2:2" x14ac:dyDescent="0.2">
      <c r="B4980" t="str">
        <f t="shared" si="79"/>
        <v/>
      </c>
    </row>
    <row r="4981" spans="2:2" x14ac:dyDescent="0.2">
      <c r="B4981" t="str">
        <f t="shared" si="79"/>
        <v/>
      </c>
    </row>
    <row r="4982" spans="2:2" x14ac:dyDescent="0.2">
      <c r="B4982" t="str">
        <f t="shared" si="79"/>
        <v/>
      </c>
    </row>
    <row r="4983" spans="2:2" x14ac:dyDescent="0.2">
      <c r="B4983" t="str">
        <f t="shared" si="79"/>
        <v/>
      </c>
    </row>
    <row r="4984" spans="2:2" x14ac:dyDescent="0.2">
      <c r="B4984" t="str">
        <f t="shared" si="79"/>
        <v/>
      </c>
    </row>
    <row r="4985" spans="2:2" x14ac:dyDescent="0.2">
      <c r="B4985" t="str">
        <f t="shared" si="79"/>
        <v/>
      </c>
    </row>
    <row r="4986" spans="2:2" x14ac:dyDescent="0.2">
      <c r="B4986" t="str">
        <f t="shared" si="79"/>
        <v/>
      </c>
    </row>
    <row r="4987" spans="2:2" x14ac:dyDescent="0.2">
      <c r="B4987" t="str">
        <f t="shared" si="79"/>
        <v/>
      </c>
    </row>
    <row r="4988" spans="2:2" x14ac:dyDescent="0.2">
      <c r="B4988" t="str">
        <f t="shared" si="79"/>
        <v/>
      </c>
    </row>
    <row r="4989" spans="2:2" x14ac:dyDescent="0.2">
      <c r="B4989" t="str">
        <f t="shared" si="79"/>
        <v/>
      </c>
    </row>
    <row r="4990" spans="2:2" x14ac:dyDescent="0.2">
      <c r="B4990" t="str">
        <f t="shared" si="79"/>
        <v/>
      </c>
    </row>
    <row r="4991" spans="2:2" x14ac:dyDescent="0.2">
      <c r="B4991" t="str">
        <f t="shared" si="79"/>
        <v/>
      </c>
    </row>
    <row r="4992" spans="2:2" x14ac:dyDescent="0.2">
      <c r="B4992" t="str">
        <f t="shared" si="79"/>
        <v/>
      </c>
    </row>
    <row r="4993" spans="2:2" x14ac:dyDescent="0.2">
      <c r="B4993" t="str">
        <f t="shared" si="79"/>
        <v/>
      </c>
    </row>
    <row r="4994" spans="2:2" x14ac:dyDescent="0.2">
      <c r="B4994" t="str">
        <f t="shared" si="79"/>
        <v/>
      </c>
    </row>
    <row r="4995" spans="2:2" x14ac:dyDescent="0.2">
      <c r="B4995" t="str">
        <f t="shared" si="79"/>
        <v/>
      </c>
    </row>
    <row r="4996" spans="2:2" x14ac:dyDescent="0.2">
      <c r="B4996" t="str">
        <f t="shared" si="79"/>
        <v/>
      </c>
    </row>
    <row r="4997" spans="2:2" x14ac:dyDescent="0.2">
      <c r="B4997" t="str">
        <f t="shared" ref="B4997:B5060" si="80">D4997&amp;I4997</f>
        <v/>
      </c>
    </row>
    <row r="4998" spans="2:2" x14ac:dyDescent="0.2">
      <c r="B4998" t="str">
        <f t="shared" si="80"/>
        <v/>
      </c>
    </row>
    <row r="4999" spans="2:2" x14ac:dyDescent="0.2">
      <c r="B4999" t="str">
        <f t="shared" si="80"/>
        <v/>
      </c>
    </row>
    <row r="5000" spans="2:2" x14ac:dyDescent="0.2">
      <c r="B5000" t="str">
        <f t="shared" si="80"/>
        <v/>
      </c>
    </row>
    <row r="5001" spans="2:2" x14ac:dyDescent="0.2">
      <c r="B5001" t="str">
        <f t="shared" si="80"/>
        <v/>
      </c>
    </row>
    <row r="5002" spans="2:2" x14ac:dyDescent="0.2">
      <c r="B5002" t="str">
        <f t="shared" si="80"/>
        <v/>
      </c>
    </row>
    <row r="5003" spans="2:2" x14ac:dyDescent="0.2">
      <c r="B5003" t="str">
        <f t="shared" si="80"/>
        <v/>
      </c>
    </row>
    <row r="5004" spans="2:2" x14ac:dyDescent="0.2">
      <c r="B5004" t="str">
        <f t="shared" si="80"/>
        <v/>
      </c>
    </row>
    <row r="5005" spans="2:2" x14ac:dyDescent="0.2">
      <c r="B5005" t="str">
        <f t="shared" si="80"/>
        <v/>
      </c>
    </row>
    <row r="5006" spans="2:2" x14ac:dyDescent="0.2">
      <c r="B5006" t="str">
        <f t="shared" si="80"/>
        <v/>
      </c>
    </row>
    <row r="5007" spans="2:2" x14ac:dyDescent="0.2">
      <c r="B5007" t="str">
        <f t="shared" si="80"/>
        <v/>
      </c>
    </row>
    <row r="5008" spans="2:2" x14ac:dyDescent="0.2">
      <c r="B5008" t="str">
        <f t="shared" si="80"/>
        <v/>
      </c>
    </row>
    <row r="5009" spans="2:2" x14ac:dyDescent="0.2">
      <c r="B5009" t="str">
        <f t="shared" si="80"/>
        <v/>
      </c>
    </row>
    <row r="5010" spans="2:2" x14ac:dyDescent="0.2">
      <c r="B5010" t="str">
        <f t="shared" si="80"/>
        <v/>
      </c>
    </row>
    <row r="5011" spans="2:2" x14ac:dyDescent="0.2">
      <c r="B5011" t="str">
        <f t="shared" si="80"/>
        <v/>
      </c>
    </row>
    <row r="5012" spans="2:2" x14ac:dyDescent="0.2">
      <c r="B5012" t="str">
        <f t="shared" si="80"/>
        <v/>
      </c>
    </row>
    <row r="5013" spans="2:2" x14ac:dyDescent="0.2">
      <c r="B5013" t="str">
        <f t="shared" si="80"/>
        <v/>
      </c>
    </row>
    <row r="5014" spans="2:2" x14ac:dyDescent="0.2">
      <c r="B5014" t="str">
        <f t="shared" si="80"/>
        <v/>
      </c>
    </row>
    <row r="5015" spans="2:2" x14ac:dyDescent="0.2">
      <c r="B5015" t="str">
        <f t="shared" si="80"/>
        <v/>
      </c>
    </row>
    <row r="5016" spans="2:2" x14ac:dyDescent="0.2">
      <c r="B5016" t="str">
        <f t="shared" si="80"/>
        <v/>
      </c>
    </row>
    <row r="5017" spans="2:2" x14ac:dyDescent="0.2">
      <c r="B5017" t="str">
        <f t="shared" si="80"/>
        <v/>
      </c>
    </row>
    <row r="5018" spans="2:2" x14ac:dyDescent="0.2">
      <c r="B5018" t="str">
        <f t="shared" si="80"/>
        <v/>
      </c>
    </row>
    <row r="5019" spans="2:2" x14ac:dyDescent="0.2">
      <c r="B5019" t="str">
        <f t="shared" si="80"/>
        <v/>
      </c>
    </row>
    <row r="5020" spans="2:2" x14ac:dyDescent="0.2">
      <c r="B5020" t="str">
        <f t="shared" si="80"/>
        <v/>
      </c>
    </row>
    <row r="5021" spans="2:2" x14ac:dyDescent="0.2">
      <c r="B5021" t="str">
        <f t="shared" si="80"/>
        <v/>
      </c>
    </row>
    <row r="5022" spans="2:2" x14ac:dyDescent="0.2">
      <c r="B5022" t="str">
        <f t="shared" si="80"/>
        <v/>
      </c>
    </row>
    <row r="5023" spans="2:2" x14ac:dyDescent="0.2">
      <c r="B5023" t="str">
        <f t="shared" si="80"/>
        <v/>
      </c>
    </row>
    <row r="5024" spans="2:2" x14ac:dyDescent="0.2">
      <c r="B5024" t="str">
        <f t="shared" si="80"/>
        <v/>
      </c>
    </row>
    <row r="5025" spans="2:2" x14ac:dyDescent="0.2">
      <c r="B5025" t="str">
        <f t="shared" si="80"/>
        <v/>
      </c>
    </row>
    <row r="5026" spans="2:2" x14ac:dyDescent="0.2">
      <c r="B5026" t="str">
        <f t="shared" si="80"/>
        <v/>
      </c>
    </row>
    <row r="5027" spans="2:2" x14ac:dyDescent="0.2">
      <c r="B5027" t="str">
        <f t="shared" si="80"/>
        <v/>
      </c>
    </row>
    <row r="5028" spans="2:2" x14ac:dyDescent="0.2">
      <c r="B5028" t="str">
        <f t="shared" si="80"/>
        <v/>
      </c>
    </row>
    <row r="5029" spans="2:2" x14ac:dyDescent="0.2">
      <c r="B5029" t="str">
        <f t="shared" si="80"/>
        <v/>
      </c>
    </row>
    <row r="5030" spans="2:2" x14ac:dyDescent="0.2">
      <c r="B5030" t="str">
        <f t="shared" si="80"/>
        <v/>
      </c>
    </row>
    <row r="5031" spans="2:2" x14ac:dyDescent="0.2">
      <c r="B5031" t="str">
        <f t="shared" si="80"/>
        <v/>
      </c>
    </row>
    <row r="5032" spans="2:2" x14ac:dyDescent="0.2">
      <c r="B5032" t="str">
        <f t="shared" si="80"/>
        <v/>
      </c>
    </row>
    <row r="5033" spans="2:2" x14ac:dyDescent="0.2">
      <c r="B5033" t="str">
        <f t="shared" si="80"/>
        <v/>
      </c>
    </row>
    <row r="5034" spans="2:2" x14ac:dyDescent="0.2">
      <c r="B5034" t="str">
        <f t="shared" si="80"/>
        <v/>
      </c>
    </row>
    <row r="5035" spans="2:2" x14ac:dyDescent="0.2">
      <c r="B5035" t="str">
        <f t="shared" si="80"/>
        <v/>
      </c>
    </row>
    <row r="5036" spans="2:2" x14ac:dyDescent="0.2">
      <c r="B5036" t="str">
        <f t="shared" si="80"/>
        <v/>
      </c>
    </row>
    <row r="5037" spans="2:2" x14ac:dyDescent="0.2">
      <c r="B5037" t="str">
        <f t="shared" si="80"/>
        <v/>
      </c>
    </row>
    <row r="5038" spans="2:2" x14ac:dyDescent="0.2">
      <c r="B5038" t="str">
        <f t="shared" si="80"/>
        <v/>
      </c>
    </row>
    <row r="5039" spans="2:2" x14ac:dyDescent="0.2">
      <c r="B5039" t="str">
        <f t="shared" si="80"/>
        <v/>
      </c>
    </row>
    <row r="5040" spans="2:2" x14ac:dyDescent="0.2">
      <c r="B5040" t="str">
        <f t="shared" si="80"/>
        <v/>
      </c>
    </row>
    <row r="5041" spans="2:2" x14ac:dyDescent="0.2">
      <c r="B5041" t="str">
        <f t="shared" si="80"/>
        <v/>
      </c>
    </row>
    <row r="5042" spans="2:2" x14ac:dyDescent="0.2">
      <c r="B5042" t="str">
        <f t="shared" si="80"/>
        <v/>
      </c>
    </row>
    <row r="5043" spans="2:2" x14ac:dyDescent="0.2">
      <c r="B5043" t="str">
        <f t="shared" si="80"/>
        <v/>
      </c>
    </row>
    <row r="5044" spans="2:2" x14ac:dyDescent="0.2">
      <c r="B5044" t="str">
        <f t="shared" si="80"/>
        <v/>
      </c>
    </row>
    <row r="5045" spans="2:2" x14ac:dyDescent="0.2">
      <c r="B5045" t="str">
        <f t="shared" si="80"/>
        <v/>
      </c>
    </row>
    <row r="5046" spans="2:2" x14ac:dyDescent="0.2">
      <c r="B5046" t="str">
        <f t="shared" si="80"/>
        <v/>
      </c>
    </row>
    <row r="5047" spans="2:2" x14ac:dyDescent="0.2">
      <c r="B5047" t="str">
        <f t="shared" si="80"/>
        <v/>
      </c>
    </row>
    <row r="5048" spans="2:2" x14ac:dyDescent="0.2">
      <c r="B5048" t="str">
        <f t="shared" si="80"/>
        <v/>
      </c>
    </row>
    <row r="5049" spans="2:2" x14ac:dyDescent="0.2">
      <c r="B5049" t="str">
        <f t="shared" si="80"/>
        <v/>
      </c>
    </row>
    <row r="5050" spans="2:2" x14ac:dyDescent="0.2">
      <c r="B5050" t="str">
        <f t="shared" si="80"/>
        <v/>
      </c>
    </row>
    <row r="5051" spans="2:2" x14ac:dyDescent="0.2">
      <c r="B5051" t="str">
        <f t="shared" si="80"/>
        <v/>
      </c>
    </row>
    <row r="5052" spans="2:2" x14ac:dyDescent="0.2">
      <c r="B5052" t="str">
        <f t="shared" si="80"/>
        <v/>
      </c>
    </row>
    <row r="5053" spans="2:2" x14ac:dyDescent="0.2">
      <c r="B5053" t="str">
        <f t="shared" si="80"/>
        <v/>
      </c>
    </row>
    <row r="5054" spans="2:2" x14ac:dyDescent="0.2">
      <c r="B5054" t="str">
        <f t="shared" si="80"/>
        <v/>
      </c>
    </row>
    <row r="5055" spans="2:2" x14ac:dyDescent="0.2">
      <c r="B5055" t="str">
        <f t="shared" si="80"/>
        <v/>
      </c>
    </row>
    <row r="5056" spans="2:2" x14ac:dyDescent="0.2">
      <c r="B5056" t="str">
        <f t="shared" si="80"/>
        <v/>
      </c>
    </row>
    <row r="5057" spans="2:2" x14ac:dyDescent="0.2">
      <c r="B5057" t="str">
        <f t="shared" si="80"/>
        <v/>
      </c>
    </row>
    <row r="5058" spans="2:2" x14ac:dyDescent="0.2">
      <c r="B5058" t="str">
        <f t="shared" si="80"/>
        <v/>
      </c>
    </row>
    <row r="5059" spans="2:2" x14ac:dyDescent="0.2">
      <c r="B5059" t="str">
        <f t="shared" si="80"/>
        <v/>
      </c>
    </row>
    <row r="5060" spans="2:2" x14ac:dyDescent="0.2">
      <c r="B5060" t="str">
        <f t="shared" si="80"/>
        <v/>
      </c>
    </row>
    <row r="5061" spans="2:2" x14ac:dyDescent="0.2">
      <c r="B5061" t="str">
        <f t="shared" ref="B5061:B5124" si="81">D5061&amp;I5061</f>
        <v/>
      </c>
    </row>
    <row r="5062" spans="2:2" x14ac:dyDescent="0.2">
      <c r="B5062" t="str">
        <f t="shared" si="81"/>
        <v/>
      </c>
    </row>
    <row r="5063" spans="2:2" x14ac:dyDescent="0.2">
      <c r="B5063" t="str">
        <f t="shared" si="81"/>
        <v/>
      </c>
    </row>
    <row r="5064" spans="2:2" x14ac:dyDescent="0.2">
      <c r="B5064" t="str">
        <f t="shared" si="81"/>
        <v/>
      </c>
    </row>
    <row r="5065" spans="2:2" x14ac:dyDescent="0.2">
      <c r="B5065" t="str">
        <f t="shared" si="81"/>
        <v/>
      </c>
    </row>
    <row r="5066" spans="2:2" x14ac:dyDescent="0.2">
      <c r="B5066" t="str">
        <f t="shared" si="81"/>
        <v/>
      </c>
    </row>
    <row r="5067" spans="2:2" x14ac:dyDescent="0.2">
      <c r="B5067" t="str">
        <f t="shared" si="81"/>
        <v/>
      </c>
    </row>
    <row r="5068" spans="2:2" x14ac:dyDescent="0.2">
      <c r="B5068" t="str">
        <f t="shared" si="81"/>
        <v/>
      </c>
    </row>
    <row r="5069" spans="2:2" x14ac:dyDescent="0.2">
      <c r="B5069" t="str">
        <f t="shared" si="81"/>
        <v/>
      </c>
    </row>
    <row r="5070" spans="2:2" x14ac:dyDescent="0.2">
      <c r="B5070" t="str">
        <f t="shared" si="81"/>
        <v/>
      </c>
    </row>
    <row r="5071" spans="2:2" x14ac:dyDescent="0.2">
      <c r="B5071" t="str">
        <f t="shared" si="81"/>
        <v/>
      </c>
    </row>
    <row r="5072" spans="2:2" x14ac:dyDescent="0.2">
      <c r="B5072" t="str">
        <f t="shared" si="81"/>
        <v/>
      </c>
    </row>
    <row r="5073" spans="2:2" x14ac:dyDescent="0.2">
      <c r="B5073" t="str">
        <f t="shared" si="81"/>
        <v/>
      </c>
    </row>
    <row r="5074" spans="2:2" x14ac:dyDescent="0.2">
      <c r="B5074" t="str">
        <f t="shared" si="81"/>
        <v/>
      </c>
    </row>
    <row r="5075" spans="2:2" x14ac:dyDescent="0.2">
      <c r="B5075" t="str">
        <f t="shared" si="81"/>
        <v/>
      </c>
    </row>
    <row r="5076" spans="2:2" x14ac:dyDescent="0.2">
      <c r="B5076" t="str">
        <f t="shared" si="81"/>
        <v/>
      </c>
    </row>
    <row r="5077" spans="2:2" x14ac:dyDescent="0.2">
      <c r="B5077" t="str">
        <f t="shared" si="81"/>
        <v/>
      </c>
    </row>
    <row r="5078" spans="2:2" x14ac:dyDescent="0.2">
      <c r="B5078" t="str">
        <f t="shared" si="81"/>
        <v/>
      </c>
    </row>
    <row r="5079" spans="2:2" x14ac:dyDescent="0.2">
      <c r="B5079" t="str">
        <f t="shared" si="81"/>
        <v/>
      </c>
    </row>
    <row r="5080" spans="2:2" x14ac:dyDescent="0.2">
      <c r="B5080" t="str">
        <f t="shared" si="81"/>
        <v/>
      </c>
    </row>
    <row r="5081" spans="2:2" x14ac:dyDescent="0.2">
      <c r="B5081" t="str">
        <f t="shared" si="81"/>
        <v/>
      </c>
    </row>
    <row r="5082" spans="2:2" x14ac:dyDescent="0.2">
      <c r="B5082" t="str">
        <f t="shared" si="81"/>
        <v/>
      </c>
    </row>
    <row r="5083" spans="2:2" x14ac:dyDescent="0.2">
      <c r="B5083" t="str">
        <f t="shared" si="81"/>
        <v/>
      </c>
    </row>
    <row r="5084" spans="2:2" x14ac:dyDescent="0.2">
      <c r="B5084" t="str">
        <f t="shared" si="81"/>
        <v/>
      </c>
    </row>
    <row r="5085" spans="2:2" x14ac:dyDescent="0.2">
      <c r="B5085" t="str">
        <f t="shared" si="81"/>
        <v/>
      </c>
    </row>
    <row r="5086" spans="2:2" x14ac:dyDescent="0.2">
      <c r="B5086" t="str">
        <f t="shared" si="81"/>
        <v/>
      </c>
    </row>
    <row r="5087" spans="2:2" x14ac:dyDescent="0.2">
      <c r="B5087" t="str">
        <f t="shared" si="81"/>
        <v/>
      </c>
    </row>
    <row r="5088" spans="2:2" x14ac:dyDescent="0.2">
      <c r="B5088" t="str">
        <f t="shared" si="81"/>
        <v/>
      </c>
    </row>
    <row r="5089" spans="2:2" x14ac:dyDescent="0.2">
      <c r="B5089" t="str">
        <f t="shared" si="81"/>
        <v/>
      </c>
    </row>
    <row r="5090" spans="2:2" x14ac:dyDescent="0.2">
      <c r="B5090" t="str">
        <f t="shared" si="81"/>
        <v/>
      </c>
    </row>
    <row r="5091" spans="2:2" x14ac:dyDescent="0.2">
      <c r="B5091" t="str">
        <f t="shared" si="81"/>
        <v/>
      </c>
    </row>
    <row r="5092" spans="2:2" x14ac:dyDescent="0.2">
      <c r="B5092" t="str">
        <f t="shared" si="81"/>
        <v/>
      </c>
    </row>
    <row r="5093" spans="2:2" x14ac:dyDescent="0.2">
      <c r="B5093" t="str">
        <f t="shared" si="81"/>
        <v/>
      </c>
    </row>
    <row r="5094" spans="2:2" x14ac:dyDescent="0.2">
      <c r="B5094" t="str">
        <f t="shared" si="81"/>
        <v/>
      </c>
    </row>
    <row r="5095" spans="2:2" x14ac:dyDescent="0.2">
      <c r="B5095" t="str">
        <f t="shared" si="81"/>
        <v/>
      </c>
    </row>
    <row r="5096" spans="2:2" x14ac:dyDescent="0.2">
      <c r="B5096" t="str">
        <f t="shared" si="81"/>
        <v/>
      </c>
    </row>
    <row r="5097" spans="2:2" x14ac:dyDescent="0.2">
      <c r="B5097" t="str">
        <f t="shared" si="81"/>
        <v/>
      </c>
    </row>
    <row r="5098" spans="2:2" x14ac:dyDescent="0.2">
      <c r="B5098" t="str">
        <f t="shared" si="81"/>
        <v/>
      </c>
    </row>
    <row r="5099" spans="2:2" x14ac:dyDescent="0.2">
      <c r="B5099" t="str">
        <f t="shared" si="81"/>
        <v/>
      </c>
    </row>
    <row r="5100" spans="2:2" x14ac:dyDescent="0.2">
      <c r="B5100" t="str">
        <f t="shared" si="81"/>
        <v/>
      </c>
    </row>
    <row r="5101" spans="2:2" x14ac:dyDescent="0.2">
      <c r="B5101" t="str">
        <f t="shared" si="81"/>
        <v/>
      </c>
    </row>
    <row r="5102" spans="2:2" x14ac:dyDescent="0.2">
      <c r="B5102" t="str">
        <f t="shared" si="81"/>
        <v/>
      </c>
    </row>
    <row r="5103" spans="2:2" x14ac:dyDescent="0.2">
      <c r="B5103" t="str">
        <f t="shared" si="81"/>
        <v/>
      </c>
    </row>
    <row r="5104" spans="2:2" x14ac:dyDescent="0.2">
      <c r="B5104" t="str">
        <f t="shared" si="81"/>
        <v/>
      </c>
    </row>
    <row r="5105" spans="2:2" x14ac:dyDescent="0.2">
      <c r="B5105" t="str">
        <f t="shared" si="81"/>
        <v/>
      </c>
    </row>
    <row r="5106" spans="2:2" x14ac:dyDescent="0.2">
      <c r="B5106" t="str">
        <f t="shared" si="81"/>
        <v/>
      </c>
    </row>
    <row r="5107" spans="2:2" x14ac:dyDescent="0.2">
      <c r="B5107" t="str">
        <f t="shared" si="81"/>
        <v/>
      </c>
    </row>
    <row r="5108" spans="2:2" x14ac:dyDescent="0.2">
      <c r="B5108" t="str">
        <f t="shared" si="81"/>
        <v/>
      </c>
    </row>
    <row r="5109" spans="2:2" x14ac:dyDescent="0.2">
      <c r="B5109" t="str">
        <f t="shared" si="81"/>
        <v/>
      </c>
    </row>
    <row r="5110" spans="2:2" x14ac:dyDescent="0.2">
      <c r="B5110" t="str">
        <f t="shared" si="81"/>
        <v/>
      </c>
    </row>
    <row r="5111" spans="2:2" x14ac:dyDescent="0.2">
      <c r="B5111" t="str">
        <f t="shared" si="81"/>
        <v/>
      </c>
    </row>
    <row r="5112" spans="2:2" x14ac:dyDescent="0.2">
      <c r="B5112" t="str">
        <f t="shared" si="81"/>
        <v/>
      </c>
    </row>
    <row r="5113" spans="2:2" x14ac:dyDescent="0.2">
      <c r="B5113" t="str">
        <f t="shared" si="81"/>
        <v/>
      </c>
    </row>
    <row r="5114" spans="2:2" x14ac:dyDescent="0.2">
      <c r="B5114" t="str">
        <f t="shared" si="81"/>
        <v/>
      </c>
    </row>
    <row r="5115" spans="2:2" x14ac:dyDescent="0.2">
      <c r="B5115" t="str">
        <f t="shared" si="81"/>
        <v/>
      </c>
    </row>
    <row r="5116" spans="2:2" x14ac:dyDescent="0.2">
      <c r="B5116" t="str">
        <f t="shared" si="81"/>
        <v/>
      </c>
    </row>
    <row r="5117" spans="2:2" x14ac:dyDescent="0.2">
      <c r="B5117" t="str">
        <f t="shared" si="81"/>
        <v/>
      </c>
    </row>
    <row r="5118" spans="2:2" x14ac:dyDescent="0.2">
      <c r="B5118" t="str">
        <f t="shared" si="81"/>
        <v/>
      </c>
    </row>
    <row r="5119" spans="2:2" x14ac:dyDescent="0.2">
      <c r="B5119" t="str">
        <f t="shared" si="81"/>
        <v/>
      </c>
    </row>
    <row r="5120" spans="2:2" x14ac:dyDescent="0.2">
      <c r="B5120" t="str">
        <f t="shared" si="81"/>
        <v/>
      </c>
    </row>
    <row r="5121" spans="2:2" x14ac:dyDescent="0.2">
      <c r="B5121" t="str">
        <f t="shared" si="81"/>
        <v/>
      </c>
    </row>
    <row r="5122" spans="2:2" x14ac:dyDescent="0.2">
      <c r="B5122" t="str">
        <f t="shared" si="81"/>
        <v/>
      </c>
    </row>
    <row r="5123" spans="2:2" x14ac:dyDescent="0.2">
      <c r="B5123" t="str">
        <f t="shared" si="81"/>
        <v/>
      </c>
    </row>
    <row r="5124" spans="2:2" x14ac:dyDescent="0.2">
      <c r="B5124" t="str">
        <f t="shared" si="81"/>
        <v/>
      </c>
    </row>
    <row r="5125" spans="2:2" x14ac:dyDescent="0.2">
      <c r="B5125" t="str">
        <f t="shared" ref="B5125:B5188" si="82">D5125&amp;I5125</f>
        <v/>
      </c>
    </row>
    <row r="5126" spans="2:2" x14ac:dyDescent="0.2">
      <c r="B5126" t="str">
        <f t="shared" si="82"/>
        <v/>
      </c>
    </row>
    <row r="5127" spans="2:2" x14ac:dyDescent="0.2">
      <c r="B5127" t="str">
        <f t="shared" si="82"/>
        <v/>
      </c>
    </row>
    <row r="5128" spans="2:2" x14ac:dyDescent="0.2">
      <c r="B5128" t="str">
        <f t="shared" si="82"/>
        <v/>
      </c>
    </row>
    <row r="5129" spans="2:2" x14ac:dyDescent="0.2">
      <c r="B5129" t="str">
        <f t="shared" si="82"/>
        <v/>
      </c>
    </row>
    <row r="5130" spans="2:2" x14ac:dyDescent="0.2">
      <c r="B5130" t="str">
        <f t="shared" si="82"/>
        <v/>
      </c>
    </row>
    <row r="5131" spans="2:2" x14ac:dyDescent="0.2">
      <c r="B5131" t="str">
        <f t="shared" si="82"/>
        <v/>
      </c>
    </row>
    <row r="5132" spans="2:2" x14ac:dyDescent="0.2">
      <c r="B5132" t="str">
        <f t="shared" si="82"/>
        <v/>
      </c>
    </row>
    <row r="5133" spans="2:2" x14ac:dyDescent="0.2">
      <c r="B5133" t="str">
        <f t="shared" si="82"/>
        <v/>
      </c>
    </row>
    <row r="5134" spans="2:2" x14ac:dyDescent="0.2">
      <c r="B5134" t="str">
        <f t="shared" si="82"/>
        <v/>
      </c>
    </row>
    <row r="5135" spans="2:2" x14ac:dyDescent="0.2">
      <c r="B5135" t="str">
        <f t="shared" si="82"/>
        <v/>
      </c>
    </row>
    <row r="5136" spans="2:2" x14ac:dyDescent="0.2">
      <c r="B5136" t="str">
        <f t="shared" si="82"/>
        <v/>
      </c>
    </row>
    <row r="5137" spans="2:2" x14ac:dyDescent="0.2">
      <c r="B5137" t="str">
        <f t="shared" si="82"/>
        <v/>
      </c>
    </row>
    <row r="5138" spans="2:2" x14ac:dyDescent="0.2">
      <c r="B5138" t="str">
        <f t="shared" si="82"/>
        <v/>
      </c>
    </row>
    <row r="5139" spans="2:2" x14ac:dyDescent="0.2">
      <c r="B5139" t="str">
        <f t="shared" si="82"/>
        <v/>
      </c>
    </row>
    <row r="5140" spans="2:2" x14ac:dyDescent="0.2">
      <c r="B5140" t="str">
        <f t="shared" si="82"/>
        <v/>
      </c>
    </row>
    <row r="5141" spans="2:2" x14ac:dyDescent="0.2">
      <c r="B5141" t="str">
        <f t="shared" si="82"/>
        <v/>
      </c>
    </row>
    <row r="5142" spans="2:2" x14ac:dyDescent="0.2">
      <c r="B5142" t="str">
        <f t="shared" si="82"/>
        <v/>
      </c>
    </row>
    <row r="5143" spans="2:2" x14ac:dyDescent="0.2">
      <c r="B5143" t="str">
        <f t="shared" si="82"/>
        <v/>
      </c>
    </row>
    <row r="5144" spans="2:2" x14ac:dyDescent="0.2">
      <c r="B5144" t="str">
        <f t="shared" si="82"/>
        <v/>
      </c>
    </row>
    <row r="5145" spans="2:2" x14ac:dyDescent="0.2">
      <c r="B5145" t="str">
        <f t="shared" si="82"/>
        <v/>
      </c>
    </row>
    <row r="5146" spans="2:2" x14ac:dyDescent="0.2">
      <c r="B5146" t="str">
        <f t="shared" si="82"/>
        <v/>
      </c>
    </row>
    <row r="5147" spans="2:2" x14ac:dyDescent="0.2">
      <c r="B5147" t="str">
        <f t="shared" si="82"/>
        <v/>
      </c>
    </row>
    <row r="5148" spans="2:2" x14ac:dyDescent="0.2">
      <c r="B5148" t="str">
        <f t="shared" si="82"/>
        <v/>
      </c>
    </row>
    <row r="5149" spans="2:2" x14ac:dyDescent="0.2">
      <c r="B5149" t="str">
        <f t="shared" si="82"/>
        <v/>
      </c>
    </row>
    <row r="5150" spans="2:2" x14ac:dyDescent="0.2">
      <c r="B5150" t="str">
        <f t="shared" si="82"/>
        <v/>
      </c>
    </row>
    <row r="5151" spans="2:2" x14ac:dyDescent="0.2">
      <c r="B5151" t="str">
        <f t="shared" si="82"/>
        <v/>
      </c>
    </row>
    <row r="5152" spans="2:2" x14ac:dyDescent="0.2">
      <c r="B5152" t="str">
        <f t="shared" si="82"/>
        <v/>
      </c>
    </row>
    <row r="5153" spans="2:2" x14ac:dyDescent="0.2">
      <c r="B5153" t="str">
        <f t="shared" si="82"/>
        <v/>
      </c>
    </row>
    <row r="5154" spans="2:2" x14ac:dyDescent="0.2">
      <c r="B5154" t="str">
        <f t="shared" si="82"/>
        <v/>
      </c>
    </row>
    <row r="5155" spans="2:2" x14ac:dyDescent="0.2">
      <c r="B5155" t="str">
        <f t="shared" si="82"/>
        <v/>
      </c>
    </row>
    <row r="5156" spans="2:2" x14ac:dyDescent="0.2">
      <c r="B5156" t="str">
        <f t="shared" si="82"/>
        <v/>
      </c>
    </row>
    <row r="5157" spans="2:2" x14ac:dyDescent="0.2">
      <c r="B5157" t="str">
        <f t="shared" si="82"/>
        <v/>
      </c>
    </row>
    <row r="5158" spans="2:2" x14ac:dyDescent="0.2">
      <c r="B5158" t="str">
        <f t="shared" si="82"/>
        <v/>
      </c>
    </row>
    <row r="5159" spans="2:2" x14ac:dyDescent="0.2">
      <c r="B5159" t="str">
        <f t="shared" si="82"/>
        <v/>
      </c>
    </row>
    <row r="5160" spans="2:2" x14ac:dyDescent="0.2">
      <c r="B5160" t="str">
        <f t="shared" si="82"/>
        <v/>
      </c>
    </row>
    <row r="5161" spans="2:2" x14ac:dyDescent="0.2">
      <c r="B5161" t="str">
        <f t="shared" si="82"/>
        <v/>
      </c>
    </row>
    <row r="5162" spans="2:2" x14ac:dyDescent="0.2">
      <c r="B5162" t="str">
        <f t="shared" si="82"/>
        <v/>
      </c>
    </row>
    <row r="5163" spans="2:2" x14ac:dyDescent="0.2">
      <c r="B5163" t="str">
        <f t="shared" si="82"/>
        <v/>
      </c>
    </row>
    <row r="5164" spans="2:2" x14ac:dyDescent="0.2">
      <c r="B5164" t="str">
        <f t="shared" si="82"/>
        <v/>
      </c>
    </row>
    <row r="5165" spans="2:2" x14ac:dyDescent="0.2">
      <c r="B5165" t="str">
        <f t="shared" si="82"/>
        <v/>
      </c>
    </row>
    <row r="5166" spans="2:2" x14ac:dyDescent="0.2">
      <c r="B5166" t="str">
        <f t="shared" si="82"/>
        <v/>
      </c>
    </row>
    <row r="5167" spans="2:2" x14ac:dyDescent="0.2">
      <c r="B5167" t="str">
        <f t="shared" si="82"/>
        <v/>
      </c>
    </row>
    <row r="5168" spans="2:2" x14ac:dyDescent="0.2">
      <c r="B5168" t="str">
        <f t="shared" si="82"/>
        <v/>
      </c>
    </row>
    <row r="5169" spans="2:2" x14ac:dyDescent="0.2">
      <c r="B5169" t="str">
        <f t="shared" si="82"/>
        <v/>
      </c>
    </row>
    <row r="5170" spans="2:2" x14ac:dyDescent="0.2">
      <c r="B5170" t="str">
        <f t="shared" si="82"/>
        <v/>
      </c>
    </row>
    <row r="5171" spans="2:2" x14ac:dyDescent="0.2">
      <c r="B5171" t="str">
        <f t="shared" si="82"/>
        <v/>
      </c>
    </row>
    <row r="5172" spans="2:2" x14ac:dyDescent="0.2">
      <c r="B5172" t="str">
        <f t="shared" si="82"/>
        <v/>
      </c>
    </row>
    <row r="5173" spans="2:2" x14ac:dyDescent="0.2">
      <c r="B5173" t="str">
        <f t="shared" si="82"/>
        <v/>
      </c>
    </row>
    <row r="5174" spans="2:2" x14ac:dyDescent="0.2">
      <c r="B5174" t="str">
        <f t="shared" si="82"/>
        <v/>
      </c>
    </row>
    <row r="5175" spans="2:2" x14ac:dyDescent="0.2">
      <c r="B5175" t="str">
        <f t="shared" si="82"/>
        <v/>
      </c>
    </row>
    <row r="5176" spans="2:2" x14ac:dyDescent="0.2">
      <c r="B5176" t="str">
        <f t="shared" si="82"/>
        <v/>
      </c>
    </row>
    <row r="5177" spans="2:2" x14ac:dyDescent="0.2">
      <c r="B5177" t="str">
        <f t="shared" si="82"/>
        <v/>
      </c>
    </row>
    <row r="5178" spans="2:2" x14ac:dyDescent="0.2">
      <c r="B5178" t="str">
        <f t="shared" si="82"/>
        <v/>
      </c>
    </row>
    <row r="5179" spans="2:2" x14ac:dyDescent="0.2">
      <c r="B5179" t="str">
        <f t="shared" si="82"/>
        <v/>
      </c>
    </row>
    <row r="5180" spans="2:2" x14ac:dyDescent="0.2">
      <c r="B5180" t="str">
        <f t="shared" si="82"/>
        <v/>
      </c>
    </row>
    <row r="5181" spans="2:2" x14ac:dyDescent="0.2">
      <c r="B5181" t="str">
        <f t="shared" si="82"/>
        <v/>
      </c>
    </row>
    <row r="5182" spans="2:2" x14ac:dyDescent="0.2">
      <c r="B5182" t="str">
        <f t="shared" si="82"/>
        <v/>
      </c>
    </row>
    <row r="5183" spans="2:2" x14ac:dyDescent="0.2">
      <c r="B5183" t="str">
        <f t="shared" si="82"/>
        <v/>
      </c>
    </row>
    <row r="5184" spans="2:2" x14ac:dyDescent="0.2">
      <c r="B5184" t="str">
        <f t="shared" si="82"/>
        <v/>
      </c>
    </row>
    <row r="5185" spans="2:2" x14ac:dyDescent="0.2">
      <c r="B5185" t="str">
        <f t="shared" si="82"/>
        <v/>
      </c>
    </row>
    <row r="5186" spans="2:2" x14ac:dyDescent="0.2">
      <c r="B5186" t="str">
        <f t="shared" si="82"/>
        <v/>
      </c>
    </row>
    <row r="5187" spans="2:2" x14ac:dyDescent="0.2">
      <c r="B5187" t="str">
        <f t="shared" si="82"/>
        <v/>
      </c>
    </row>
    <row r="5188" spans="2:2" x14ac:dyDescent="0.2">
      <c r="B5188" t="str">
        <f t="shared" si="82"/>
        <v/>
      </c>
    </row>
    <row r="5189" spans="2:2" x14ac:dyDescent="0.2">
      <c r="B5189" t="str">
        <f t="shared" ref="B5189:B5252" si="83">D5189&amp;I5189</f>
        <v/>
      </c>
    </row>
    <row r="5190" spans="2:2" x14ac:dyDescent="0.2">
      <c r="B5190" t="str">
        <f t="shared" si="83"/>
        <v/>
      </c>
    </row>
    <row r="5191" spans="2:2" x14ac:dyDescent="0.2">
      <c r="B5191" t="str">
        <f t="shared" si="83"/>
        <v/>
      </c>
    </row>
    <row r="5192" spans="2:2" x14ac:dyDescent="0.2">
      <c r="B5192" t="str">
        <f t="shared" si="83"/>
        <v/>
      </c>
    </row>
    <row r="5193" spans="2:2" x14ac:dyDescent="0.2">
      <c r="B5193" t="str">
        <f t="shared" si="83"/>
        <v/>
      </c>
    </row>
    <row r="5194" spans="2:2" x14ac:dyDescent="0.2">
      <c r="B5194" t="str">
        <f t="shared" si="83"/>
        <v/>
      </c>
    </row>
    <row r="5195" spans="2:2" x14ac:dyDescent="0.2">
      <c r="B5195" t="str">
        <f t="shared" si="83"/>
        <v/>
      </c>
    </row>
    <row r="5196" spans="2:2" x14ac:dyDescent="0.2">
      <c r="B5196" t="str">
        <f t="shared" si="83"/>
        <v/>
      </c>
    </row>
    <row r="5197" spans="2:2" x14ac:dyDescent="0.2">
      <c r="B5197" t="str">
        <f t="shared" si="83"/>
        <v/>
      </c>
    </row>
    <row r="5198" spans="2:2" x14ac:dyDescent="0.2">
      <c r="B5198" t="str">
        <f t="shared" si="83"/>
        <v/>
      </c>
    </row>
    <row r="5199" spans="2:2" x14ac:dyDescent="0.2">
      <c r="B5199" t="str">
        <f t="shared" si="83"/>
        <v/>
      </c>
    </row>
    <row r="5200" spans="2:2" x14ac:dyDescent="0.2">
      <c r="B5200" t="str">
        <f t="shared" si="83"/>
        <v/>
      </c>
    </row>
    <row r="5201" spans="2:2" x14ac:dyDescent="0.2">
      <c r="B5201" t="str">
        <f t="shared" si="83"/>
        <v/>
      </c>
    </row>
    <row r="5202" spans="2:2" x14ac:dyDescent="0.2">
      <c r="B5202" t="str">
        <f t="shared" si="83"/>
        <v/>
      </c>
    </row>
    <row r="5203" spans="2:2" x14ac:dyDescent="0.2">
      <c r="B5203" t="str">
        <f t="shared" si="83"/>
        <v/>
      </c>
    </row>
    <row r="5204" spans="2:2" x14ac:dyDescent="0.2">
      <c r="B5204" t="str">
        <f t="shared" si="83"/>
        <v/>
      </c>
    </row>
    <row r="5205" spans="2:2" x14ac:dyDescent="0.2">
      <c r="B5205" t="str">
        <f t="shared" si="83"/>
        <v/>
      </c>
    </row>
    <row r="5206" spans="2:2" x14ac:dyDescent="0.2">
      <c r="B5206" t="str">
        <f t="shared" si="83"/>
        <v/>
      </c>
    </row>
    <row r="5207" spans="2:2" x14ac:dyDescent="0.2">
      <c r="B5207" t="str">
        <f t="shared" si="83"/>
        <v/>
      </c>
    </row>
    <row r="5208" spans="2:2" x14ac:dyDescent="0.2">
      <c r="B5208" t="str">
        <f t="shared" si="83"/>
        <v/>
      </c>
    </row>
    <row r="5209" spans="2:2" x14ac:dyDescent="0.2">
      <c r="B5209" t="str">
        <f t="shared" si="83"/>
        <v/>
      </c>
    </row>
    <row r="5210" spans="2:2" x14ac:dyDescent="0.2">
      <c r="B5210" t="str">
        <f t="shared" si="83"/>
        <v/>
      </c>
    </row>
    <row r="5211" spans="2:2" x14ac:dyDescent="0.2">
      <c r="B5211" t="str">
        <f t="shared" si="83"/>
        <v/>
      </c>
    </row>
    <row r="5212" spans="2:2" x14ac:dyDescent="0.2">
      <c r="B5212" t="str">
        <f t="shared" si="83"/>
        <v/>
      </c>
    </row>
    <row r="5213" spans="2:2" x14ac:dyDescent="0.2">
      <c r="B5213" t="str">
        <f t="shared" si="83"/>
        <v/>
      </c>
    </row>
    <row r="5214" spans="2:2" x14ac:dyDescent="0.2">
      <c r="B5214" t="str">
        <f t="shared" si="83"/>
        <v/>
      </c>
    </row>
    <row r="5215" spans="2:2" x14ac:dyDescent="0.2">
      <c r="B5215" t="str">
        <f t="shared" si="83"/>
        <v/>
      </c>
    </row>
    <row r="5216" spans="2:2" x14ac:dyDescent="0.2">
      <c r="B5216" t="str">
        <f t="shared" si="83"/>
        <v/>
      </c>
    </row>
    <row r="5217" spans="2:2" x14ac:dyDescent="0.2">
      <c r="B5217" t="str">
        <f t="shared" si="83"/>
        <v/>
      </c>
    </row>
    <row r="5218" spans="2:2" x14ac:dyDescent="0.2">
      <c r="B5218" t="str">
        <f t="shared" si="83"/>
        <v/>
      </c>
    </row>
    <row r="5219" spans="2:2" x14ac:dyDescent="0.2">
      <c r="B5219" t="str">
        <f t="shared" si="83"/>
        <v/>
      </c>
    </row>
    <row r="5220" spans="2:2" x14ac:dyDescent="0.2">
      <c r="B5220" t="str">
        <f t="shared" si="83"/>
        <v/>
      </c>
    </row>
    <row r="5221" spans="2:2" x14ac:dyDescent="0.2">
      <c r="B5221" t="str">
        <f t="shared" si="83"/>
        <v/>
      </c>
    </row>
    <row r="5222" spans="2:2" x14ac:dyDescent="0.2">
      <c r="B5222" t="str">
        <f t="shared" si="83"/>
        <v/>
      </c>
    </row>
    <row r="5223" spans="2:2" x14ac:dyDescent="0.2">
      <c r="B5223" t="str">
        <f t="shared" si="83"/>
        <v/>
      </c>
    </row>
    <row r="5224" spans="2:2" x14ac:dyDescent="0.2">
      <c r="B5224" t="str">
        <f t="shared" si="83"/>
        <v/>
      </c>
    </row>
    <row r="5225" spans="2:2" x14ac:dyDescent="0.2">
      <c r="B5225" t="str">
        <f t="shared" si="83"/>
        <v/>
      </c>
    </row>
    <row r="5226" spans="2:2" x14ac:dyDescent="0.2">
      <c r="B5226" t="str">
        <f t="shared" si="83"/>
        <v/>
      </c>
    </row>
    <row r="5227" spans="2:2" x14ac:dyDescent="0.2">
      <c r="B5227" t="str">
        <f t="shared" si="83"/>
        <v/>
      </c>
    </row>
    <row r="5228" spans="2:2" x14ac:dyDescent="0.2">
      <c r="B5228" t="str">
        <f t="shared" si="83"/>
        <v/>
      </c>
    </row>
    <row r="5229" spans="2:2" x14ac:dyDescent="0.2">
      <c r="B5229" t="str">
        <f t="shared" si="83"/>
        <v/>
      </c>
    </row>
    <row r="5230" spans="2:2" x14ac:dyDescent="0.2">
      <c r="B5230" t="str">
        <f t="shared" si="83"/>
        <v/>
      </c>
    </row>
    <row r="5231" spans="2:2" x14ac:dyDescent="0.2">
      <c r="B5231" t="str">
        <f t="shared" si="83"/>
        <v/>
      </c>
    </row>
    <row r="5232" spans="2:2" x14ac:dyDescent="0.2">
      <c r="B5232" t="str">
        <f t="shared" si="83"/>
        <v/>
      </c>
    </row>
    <row r="5233" spans="2:2" x14ac:dyDescent="0.2">
      <c r="B5233" t="str">
        <f t="shared" si="83"/>
        <v/>
      </c>
    </row>
    <row r="5234" spans="2:2" x14ac:dyDescent="0.2">
      <c r="B5234" t="str">
        <f t="shared" si="83"/>
        <v/>
      </c>
    </row>
    <row r="5235" spans="2:2" x14ac:dyDescent="0.2">
      <c r="B5235" t="str">
        <f t="shared" si="83"/>
        <v/>
      </c>
    </row>
    <row r="5236" spans="2:2" x14ac:dyDescent="0.2">
      <c r="B5236" t="str">
        <f t="shared" si="83"/>
        <v/>
      </c>
    </row>
    <row r="5237" spans="2:2" x14ac:dyDescent="0.2">
      <c r="B5237" t="str">
        <f t="shared" si="83"/>
        <v/>
      </c>
    </row>
    <row r="5238" spans="2:2" x14ac:dyDescent="0.2">
      <c r="B5238" t="str">
        <f t="shared" si="83"/>
        <v/>
      </c>
    </row>
    <row r="5239" spans="2:2" x14ac:dyDescent="0.2">
      <c r="B5239" t="str">
        <f t="shared" si="83"/>
        <v/>
      </c>
    </row>
    <row r="5240" spans="2:2" x14ac:dyDescent="0.2">
      <c r="B5240" t="str">
        <f t="shared" si="83"/>
        <v/>
      </c>
    </row>
    <row r="5241" spans="2:2" x14ac:dyDescent="0.2">
      <c r="B5241" t="str">
        <f t="shared" si="83"/>
        <v/>
      </c>
    </row>
    <row r="5242" spans="2:2" x14ac:dyDescent="0.2">
      <c r="B5242" t="str">
        <f t="shared" si="83"/>
        <v/>
      </c>
    </row>
    <row r="5243" spans="2:2" x14ac:dyDescent="0.2">
      <c r="B5243" t="str">
        <f t="shared" si="83"/>
        <v/>
      </c>
    </row>
    <row r="5244" spans="2:2" x14ac:dyDescent="0.2">
      <c r="B5244" t="str">
        <f t="shared" si="83"/>
        <v/>
      </c>
    </row>
    <row r="5245" spans="2:2" x14ac:dyDescent="0.2">
      <c r="B5245" t="str">
        <f t="shared" si="83"/>
        <v/>
      </c>
    </row>
    <row r="5246" spans="2:2" x14ac:dyDescent="0.2">
      <c r="B5246" t="str">
        <f t="shared" si="83"/>
        <v/>
      </c>
    </row>
    <row r="5247" spans="2:2" x14ac:dyDescent="0.2">
      <c r="B5247" t="str">
        <f t="shared" si="83"/>
        <v/>
      </c>
    </row>
    <row r="5248" spans="2:2" x14ac:dyDescent="0.2">
      <c r="B5248" t="str">
        <f t="shared" si="83"/>
        <v/>
      </c>
    </row>
    <row r="5249" spans="2:2" x14ac:dyDescent="0.2">
      <c r="B5249" t="str">
        <f t="shared" si="83"/>
        <v/>
      </c>
    </row>
    <row r="5250" spans="2:2" x14ac:dyDescent="0.2">
      <c r="B5250" t="str">
        <f t="shared" si="83"/>
        <v/>
      </c>
    </row>
    <row r="5251" spans="2:2" x14ac:dyDescent="0.2">
      <c r="B5251" t="str">
        <f t="shared" si="83"/>
        <v/>
      </c>
    </row>
    <row r="5252" spans="2:2" x14ac:dyDescent="0.2">
      <c r="B5252" t="str">
        <f t="shared" si="83"/>
        <v/>
      </c>
    </row>
    <row r="5253" spans="2:2" x14ac:dyDescent="0.2">
      <c r="B5253" t="str">
        <f t="shared" ref="B5253:B5316" si="84">D5253&amp;I5253</f>
        <v/>
      </c>
    </row>
    <row r="5254" spans="2:2" x14ac:dyDescent="0.2">
      <c r="B5254" t="str">
        <f t="shared" si="84"/>
        <v/>
      </c>
    </row>
    <row r="5255" spans="2:2" x14ac:dyDescent="0.2">
      <c r="B5255" t="str">
        <f t="shared" si="84"/>
        <v/>
      </c>
    </row>
    <row r="5256" spans="2:2" x14ac:dyDescent="0.2">
      <c r="B5256" t="str">
        <f t="shared" si="84"/>
        <v/>
      </c>
    </row>
    <row r="5257" spans="2:2" x14ac:dyDescent="0.2">
      <c r="B5257" t="str">
        <f t="shared" si="84"/>
        <v/>
      </c>
    </row>
    <row r="5258" spans="2:2" x14ac:dyDescent="0.2">
      <c r="B5258" t="str">
        <f t="shared" si="84"/>
        <v/>
      </c>
    </row>
    <row r="5259" spans="2:2" x14ac:dyDescent="0.2">
      <c r="B5259" t="str">
        <f t="shared" si="84"/>
        <v/>
      </c>
    </row>
    <row r="5260" spans="2:2" x14ac:dyDescent="0.2">
      <c r="B5260" t="str">
        <f t="shared" si="84"/>
        <v/>
      </c>
    </row>
    <row r="5261" spans="2:2" x14ac:dyDescent="0.2">
      <c r="B5261" t="str">
        <f t="shared" si="84"/>
        <v/>
      </c>
    </row>
    <row r="5262" spans="2:2" x14ac:dyDescent="0.2">
      <c r="B5262" t="str">
        <f t="shared" si="84"/>
        <v/>
      </c>
    </row>
    <row r="5263" spans="2:2" x14ac:dyDescent="0.2">
      <c r="B5263" t="str">
        <f t="shared" si="84"/>
        <v/>
      </c>
    </row>
    <row r="5264" spans="2:2" x14ac:dyDescent="0.2">
      <c r="B5264" t="str">
        <f t="shared" si="84"/>
        <v/>
      </c>
    </row>
    <row r="5265" spans="2:2" x14ac:dyDescent="0.2">
      <c r="B5265" t="str">
        <f t="shared" si="84"/>
        <v/>
      </c>
    </row>
    <row r="5266" spans="2:2" x14ac:dyDescent="0.2">
      <c r="B5266" t="str">
        <f t="shared" si="84"/>
        <v/>
      </c>
    </row>
    <row r="5267" spans="2:2" x14ac:dyDescent="0.2">
      <c r="B5267" t="str">
        <f t="shared" si="84"/>
        <v/>
      </c>
    </row>
    <row r="5268" spans="2:2" x14ac:dyDescent="0.2">
      <c r="B5268" t="str">
        <f t="shared" si="84"/>
        <v/>
      </c>
    </row>
    <row r="5269" spans="2:2" x14ac:dyDescent="0.2">
      <c r="B5269" t="str">
        <f t="shared" si="84"/>
        <v/>
      </c>
    </row>
    <row r="5270" spans="2:2" x14ac:dyDescent="0.2">
      <c r="B5270" t="str">
        <f t="shared" si="84"/>
        <v/>
      </c>
    </row>
    <row r="5271" spans="2:2" x14ac:dyDescent="0.2">
      <c r="B5271" t="str">
        <f t="shared" si="84"/>
        <v/>
      </c>
    </row>
    <row r="5272" spans="2:2" x14ac:dyDescent="0.2">
      <c r="B5272" t="str">
        <f t="shared" si="84"/>
        <v/>
      </c>
    </row>
    <row r="5273" spans="2:2" x14ac:dyDescent="0.2">
      <c r="B5273" t="str">
        <f t="shared" si="84"/>
        <v/>
      </c>
    </row>
    <row r="5274" spans="2:2" x14ac:dyDescent="0.2">
      <c r="B5274" t="str">
        <f t="shared" si="84"/>
        <v/>
      </c>
    </row>
    <row r="5275" spans="2:2" x14ac:dyDescent="0.2">
      <c r="B5275" t="str">
        <f t="shared" si="84"/>
        <v/>
      </c>
    </row>
    <row r="5276" spans="2:2" x14ac:dyDescent="0.2">
      <c r="B5276" t="str">
        <f t="shared" si="84"/>
        <v/>
      </c>
    </row>
    <row r="5277" spans="2:2" x14ac:dyDescent="0.2">
      <c r="B5277" t="str">
        <f t="shared" si="84"/>
        <v/>
      </c>
    </row>
    <row r="5278" spans="2:2" x14ac:dyDescent="0.2">
      <c r="B5278" t="str">
        <f t="shared" si="84"/>
        <v/>
      </c>
    </row>
    <row r="5279" spans="2:2" x14ac:dyDescent="0.2">
      <c r="B5279" t="str">
        <f t="shared" si="84"/>
        <v/>
      </c>
    </row>
    <row r="5280" spans="2:2" x14ac:dyDescent="0.2">
      <c r="B5280" t="str">
        <f t="shared" si="84"/>
        <v/>
      </c>
    </row>
    <row r="5281" spans="2:2" x14ac:dyDescent="0.2">
      <c r="B5281" t="str">
        <f t="shared" si="84"/>
        <v/>
      </c>
    </row>
    <row r="5282" spans="2:2" x14ac:dyDescent="0.2">
      <c r="B5282" t="str">
        <f t="shared" si="84"/>
        <v/>
      </c>
    </row>
    <row r="5283" spans="2:2" x14ac:dyDescent="0.2">
      <c r="B5283" t="str">
        <f t="shared" si="84"/>
        <v/>
      </c>
    </row>
    <row r="5284" spans="2:2" x14ac:dyDescent="0.2">
      <c r="B5284" t="str">
        <f t="shared" si="84"/>
        <v/>
      </c>
    </row>
    <row r="5285" spans="2:2" x14ac:dyDescent="0.2">
      <c r="B5285" t="str">
        <f t="shared" si="84"/>
        <v/>
      </c>
    </row>
    <row r="5286" spans="2:2" x14ac:dyDescent="0.2">
      <c r="B5286" t="str">
        <f t="shared" si="84"/>
        <v/>
      </c>
    </row>
    <row r="5287" spans="2:2" x14ac:dyDescent="0.2">
      <c r="B5287" t="str">
        <f t="shared" si="84"/>
        <v/>
      </c>
    </row>
    <row r="5288" spans="2:2" x14ac:dyDescent="0.2">
      <c r="B5288" t="str">
        <f t="shared" si="84"/>
        <v/>
      </c>
    </row>
    <row r="5289" spans="2:2" x14ac:dyDescent="0.2">
      <c r="B5289" t="str">
        <f t="shared" si="84"/>
        <v/>
      </c>
    </row>
    <row r="5290" spans="2:2" x14ac:dyDescent="0.2">
      <c r="B5290" t="str">
        <f t="shared" si="84"/>
        <v/>
      </c>
    </row>
    <row r="5291" spans="2:2" x14ac:dyDescent="0.2">
      <c r="B5291" t="str">
        <f t="shared" si="84"/>
        <v/>
      </c>
    </row>
    <row r="5292" spans="2:2" x14ac:dyDescent="0.2">
      <c r="B5292" t="str">
        <f t="shared" si="84"/>
        <v/>
      </c>
    </row>
    <row r="5293" spans="2:2" x14ac:dyDescent="0.2">
      <c r="B5293" t="str">
        <f t="shared" si="84"/>
        <v/>
      </c>
    </row>
    <row r="5294" spans="2:2" x14ac:dyDescent="0.2">
      <c r="B5294" t="str">
        <f t="shared" si="84"/>
        <v/>
      </c>
    </row>
    <row r="5295" spans="2:2" x14ac:dyDescent="0.2">
      <c r="B5295" t="str">
        <f t="shared" si="84"/>
        <v/>
      </c>
    </row>
    <row r="5296" spans="2:2" x14ac:dyDescent="0.2">
      <c r="B5296" t="str">
        <f t="shared" si="84"/>
        <v/>
      </c>
    </row>
    <row r="5297" spans="2:2" x14ac:dyDescent="0.2">
      <c r="B5297" t="str">
        <f t="shared" si="84"/>
        <v/>
      </c>
    </row>
    <row r="5298" spans="2:2" x14ac:dyDescent="0.2">
      <c r="B5298" t="str">
        <f t="shared" si="84"/>
        <v/>
      </c>
    </row>
    <row r="5299" spans="2:2" x14ac:dyDescent="0.2">
      <c r="B5299" t="str">
        <f t="shared" si="84"/>
        <v/>
      </c>
    </row>
    <row r="5300" spans="2:2" x14ac:dyDescent="0.2">
      <c r="B5300" t="str">
        <f t="shared" si="84"/>
        <v/>
      </c>
    </row>
    <row r="5301" spans="2:2" x14ac:dyDescent="0.2">
      <c r="B5301" t="str">
        <f t="shared" si="84"/>
        <v/>
      </c>
    </row>
    <row r="5302" spans="2:2" x14ac:dyDescent="0.2">
      <c r="B5302" t="str">
        <f t="shared" si="84"/>
        <v/>
      </c>
    </row>
    <row r="5303" spans="2:2" x14ac:dyDescent="0.2">
      <c r="B5303" t="str">
        <f t="shared" si="84"/>
        <v/>
      </c>
    </row>
    <row r="5304" spans="2:2" x14ac:dyDescent="0.2">
      <c r="B5304" t="str">
        <f t="shared" si="84"/>
        <v/>
      </c>
    </row>
    <row r="5305" spans="2:2" x14ac:dyDescent="0.2">
      <c r="B5305" t="str">
        <f t="shared" si="84"/>
        <v/>
      </c>
    </row>
    <row r="5306" spans="2:2" x14ac:dyDescent="0.2">
      <c r="B5306" t="str">
        <f t="shared" si="84"/>
        <v/>
      </c>
    </row>
    <row r="5307" spans="2:2" x14ac:dyDescent="0.2">
      <c r="B5307" t="str">
        <f t="shared" si="84"/>
        <v/>
      </c>
    </row>
    <row r="5308" spans="2:2" x14ac:dyDescent="0.2">
      <c r="B5308" t="str">
        <f t="shared" si="84"/>
        <v/>
      </c>
    </row>
    <row r="5309" spans="2:2" x14ac:dyDescent="0.2">
      <c r="B5309" t="str">
        <f t="shared" si="84"/>
        <v/>
      </c>
    </row>
    <row r="5310" spans="2:2" x14ac:dyDescent="0.2">
      <c r="B5310" t="str">
        <f t="shared" si="84"/>
        <v/>
      </c>
    </row>
    <row r="5311" spans="2:2" x14ac:dyDescent="0.2">
      <c r="B5311" t="str">
        <f t="shared" si="84"/>
        <v/>
      </c>
    </row>
    <row r="5312" spans="2:2" x14ac:dyDescent="0.2">
      <c r="B5312" t="str">
        <f t="shared" si="84"/>
        <v/>
      </c>
    </row>
    <row r="5313" spans="2:2" x14ac:dyDescent="0.2">
      <c r="B5313" t="str">
        <f t="shared" si="84"/>
        <v/>
      </c>
    </row>
    <row r="5314" spans="2:2" x14ac:dyDescent="0.2">
      <c r="B5314" t="str">
        <f t="shared" si="84"/>
        <v/>
      </c>
    </row>
    <row r="5315" spans="2:2" x14ac:dyDescent="0.2">
      <c r="B5315" t="str">
        <f t="shared" si="84"/>
        <v/>
      </c>
    </row>
    <row r="5316" spans="2:2" x14ac:dyDescent="0.2">
      <c r="B5316" t="str">
        <f t="shared" si="84"/>
        <v/>
      </c>
    </row>
    <row r="5317" spans="2:2" x14ac:dyDescent="0.2">
      <c r="B5317" t="str">
        <f t="shared" ref="B5317:B5380" si="85">D5317&amp;I5317</f>
        <v/>
      </c>
    </row>
    <row r="5318" spans="2:2" x14ac:dyDescent="0.2">
      <c r="B5318" t="str">
        <f t="shared" si="85"/>
        <v/>
      </c>
    </row>
    <row r="5319" spans="2:2" x14ac:dyDescent="0.2">
      <c r="B5319" t="str">
        <f t="shared" si="85"/>
        <v/>
      </c>
    </row>
    <row r="5320" spans="2:2" x14ac:dyDescent="0.2">
      <c r="B5320" t="str">
        <f t="shared" si="85"/>
        <v/>
      </c>
    </row>
    <row r="5321" spans="2:2" x14ac:dyDescent="0.2">
      <c r="B5321" t="str">
        <f t="shared" si="85"/>
        <v/>
      </c>
    </row>
    <row r="5322" spans="2:2" x14ac:dyDescent="0.2">
      <c r="B5322" t="str">
        <f t="shared" si="85"/>
        <v/>
      </c>
    </row>
    <row r="5323" spans="2:2" x14ac:dyDescent="0.2">
      <c r="B5323" t="str">
        <f t="shared" si="85"/>
        <v/>
      </c>
    </row>
    <row r="5324" spans="2:2" x14ac:dyDescent="0.2">
      <c r="B5324" t="str">
        <f t="shared" si="85"/>
        <v/>
      </c>
    </row>
    <row r="5325" spans="2:2" x14ac:dyDescent="0.2">
      <c r="B5325" t="str">
        <f t="shared" si="85"/>
        <v/>
      </c>
    </row>
    <row r="5326" spans="2:2" x14ac:dyDescent="0.2">
      <c r="B5326" t="str">
        <f t="shared" si="85"/>
        <v/>
      </c>
    </row>
    <row r="5327" spans="2:2" x14ac:dyDescent="0.2">
      <c r="B5327" t="str">
        <f t="shared" si="85"/>
        <v/>
      </c>
    </row>
    <row r="5328" spans="2:2" x14ac:dyDescent="0.2">
      <c r="B5328" t="str">
        <f t="shared" si="85"/>
        <v/>
      </c>
    </row>
    <row r="5329" spans="2:2" x14ac:dyDescent="0.2">
      <c r="B5329" t="str">
        <f t="shared" si="85"/>
        <v/>
      </c>
    </row>
    <row r="5330" spans="2:2" x14ac:dyDescent="0.2">
      <c r="B5330" t="str">
        <f t="shared" si="85"/>
        <v/>
      </c>
    </row>
    <row r="5331" spans="2:2" x14ac:dyDescent="0.2">
      <c r="B5331" t="str">
        <f t="shared" si="85"/>
        <v/>
      </c>
    </row>
    <row r="5332" spans="2:2" x14ac:dyDescent="0.2">
      <c r="B5332" t="str">
        <f t="shared" si="85"/>
        <v/>
      </c>
    </row>
    <row r="5333" spans="2:2" x14ac:dyDescent="0.2">
      <c r="B5333" t="str">
        <f t="shared" si="85"/>
        <v/>
      </c>
    </row>
    <row r="5334" spans="2:2" x14ac:dyDescent="0.2">
      <c r="B5334" t="str">
        <f t="shared" si="85"/>
        <v/>
      </c>
    </row>
    <row r="5335" spans="2:2" x14ac:dyDescent="0.2">
      <c r="B5335" t="str">
        <f t="shared" si="85"/>
        <v/>
      </c>
    </row>
    <row r="5336" spans="2:2" x14ac:dyDescent="0.2">
      <c r="B5336" t="str">
        <f t="shared" si="85"/>
        <v/>
      </c>
    </row>
    <row r="5337" spans="2:2" x14ac:dyDescent="0.2">
      <c r="B5337" t="str">
        <f t="shared" si="85"/>
        <v/>
      </c>
    </row>
    <row r="5338" spans="2:2" x14ac:dyDescent="0.2">
      <c r="B5338" t="str">
        <f t="shared" si="85"/>
        <v/>
      </c>
    </row>
    <row r="5339" spans="2:2" x14ac:dyDescent="0.2">
      <c r="B5339" t="str">
        <f t="shared" si="85"/>
        <v/>
      </c>
    </row>
    <row r="5340" spans="2:2" x14ac:dyDescent="0.2">
      <c r="B5340" t="str">
        <f t="shared" si="85"/>
        <v/>
      </c>
    </row>
    <row r="5341" spans="2:2" x14ac:dyDescent="0.2">
      <c r="B5341" t="str">
        <f t="shared" si="85"/>
        <v/>
      </c>
    </row>
    <row r="5342" spans="2:2" x14ac:dyDescent="0.2">
      <c r="B5342" t="str">
        <f t="shared" si="85"/>
        <v/>
      </c>
    </row>
    <row r="5343" spans="2:2" x14ac:dyDescent="0.2">
      <c r="B5343" t="str">
        <f t="shared" si="85"/>
        <v/>
      </c>
    </row>
    <row r="5344" spans="2:2" x14ac:dyDescent="0.2">
      <c r="B5344" t="str">
        <f t="shared" si="85"/>
        <v/>
      </c>
    </row>
    <row r="5345" spans="2:2" x14ac:dyDescent="0.2">
      <c r="B5345" t="str">
        <f t="shared" si="85"/>
        <v/>
      </c>
    </row>
    <row r="5346" spans="2:2" x14ac:dyDescent="0.2">
      <c r="B5346" t="str">
        <f t="shared" si="85"/>
        <v/>
      </c>
    </row>
    <row r="5347" spans="2:2" x14ac:dyDescent="0.2">
      <c r="B5347" t="str">
        <f t="shared" si="85"/>
        <v/>
      </c>
    </row>
    <row r="5348" spans="2:2" x14ac:dyDescent="0.2">
      <c r="B5348" t="str">
        <f t="shared" si="85"/>
        <v/>
      </c>
    </row>
    <row r="5349" spans="2:2" x14ac:dyDescent="0.2">
      <c r="B5349" t="str">
        <f t="shared" si="85"/>
        <v/>
      </c>
    </row>
    <row r="5350" spans="2:2" x14ac:dyDescent="0.2">
      <c r="B5350" t="str">
        <f t="shared" si="85"/>
        <v/>
      </c>
    </row>
    <row r="5351" spans="2:2" x14ac:dyDescent="0.2">
      <c r="B5351" t="str">
        <f t="shared" si="85"/>
        <v/>
      </c>
    </row>
    <row r="5352" spans="2:2" x14ac:dyDescent="0.2">
      <c r="B5352" t="str">
        <f t="shared" si="85"/>
        <v/>
      </c>
    </row>
    <row r="5353" spans="2:2" x14ac:dyDescent="0.2">
      <c r="B5353" t="str">
        <f t="shared" si="85"/>
        <v/>
      </c>
    </row>
    <row r="5354" spans="2:2" x14ac:dyDescent="0.2">
      <c r="B5354" t="str">
        <f t="shared" si="85"/>
        <v/>
      </c>
    </row>
    <row r="5355" spans="2:2" x14ac:dyDescent="0.2">
      <c r="B5355" t="str">
        <f t="shared" si="85"/>
        <v/>
      </c>
    </row>
    <row r="5356" spans="2:2" x14ac:dyDescent="0.2">
      <c r="B5356" t="str">
        <f t="shared" si="85"/>
        <v/>
      </c>
    </row>
    <row r="5357" spans="2:2" x14ac:dyDescent="0.2">
      <c r="B5357" t="str">
        <f t="shared" si="85"/>
        <v/>
      </c>
    </row>
    <row r="5358" spans="2:2" x14ac:dyDescent="0.2">
      <c r="B5358" t="str">
        <f t="shared" si="85"/>
        <v/>
      </c>
    </row>
    <row r="5359" spans="2:2" x14ac:dyDescent="0.2">
      <c r="B5359" t="str">
        <f t="shared" si="85"/>
        <v/>
      </c>
    </row>
    <row r="5360" spans="2:2" x14ac:dyDescent="0.2">
      <c r="B5360" t="str">
        <f t="shared" si="85"/>
        <v/>
      </c>
    </row>
    <row r="5361" spans="2:2" x14ac:dyDescent="0.2">
      <c r="B5361" t="str">
        <f t="shared" si="85"/>
        <v/>
      </c>
    </row>
    <row r="5362" spans="2:2" x14ac:dyDescent="0.2">
      <c r="B5362" t="str">
        <f t="shared" si="85"/>
        <v/>
      </c>
    </row>
    <row r="5363" spans="2:2" x14ac:dyDescent="0.2">
      <c r="B5363" t="str">
        <f t="shared" si="85"/>
        <v/>
      </c>
    </row>
    <row r="5364" spans="2:2" x14ac:dyDescent="0.2">
      <c r="B5364" t="str">
        <f t="shared" si="85"/>
        <v/>
      </c>
    </row>
    <row r="5365" spans="2:2" x14ac:dyDescent="0.2">
      <c r="B5365" t="str">
        <f t="shared" si="85"/>
        <v/>
      </c>
    </row>
    <row r="5366" spans="2:2" x14ac:dyDescent="0.2">
      <c r="B5366" t="str">
        <f t="shared" si="85"/>
        <v/>
      </c>
    </row>
    <row r="5367" spans="2:2" x14ac:dyDescent="0.2">
      <c r="B5367" t="str">
        <f t="shared" si="85"/>
        <v/>
      </c>
    </row>
    <row r="5368" spans="2:2" x14ac:dyDescent="0.2">
      <c r="B5368" t="str">
        <f t="shared" si="85"/>
        <v/>
      </c>
    </row>
    <row r="5369" spans="2:2" x14ac:dyDescent="0.2">
      <c r="B5369" t="str">
        <f t="shared" si="85"/>
        <v/>
      </c>
    </row>
    <row r="5370" spans="2:2" x14ac:dyDescent="0.2">
      <c r="B5370" t="str">
        <f t="shared" si="85"/>
        <v/>
      </c>
    </row>
    <row r="5371" spans="2:2" x14ac:dyDescent="0.2">
      <c r="B5371" t="str">
        <f t="shared" si="85"/>
        <v/>
      </c>
    </row>
    <row r="5372" spans="2:2" x14ac:dyDescent="0.2">
      <c r="B5372" t="str">
        <f t="shared" si="85"/>
        <v/>
      </c>
    </row>
    <row r="5373" spans="2:2" x14ac:dyDescent="0.2">
      <c r="B5373" t="str">
        <f t="shared" si="85"/>
        <v/>
      </c>
    </row>
    <row r="5374" spans="2:2" x14ac:dyDescent="0.2">
      <c r="B5374" t="str">
        <f t="shared" si="85"/>
        <v/>
      </c>
    </row>
    <row r="5375" spans="2:2" x14ac:dyDescent="0.2">
      <c r="B5375" t="str">
        <f t="shared" si="85"/>
        <v/>
      </c>
    </row>
    <row r="5376" spans="2:2" x14ac:dyDescent="0.2">
      <c r="B5376" t="str">
        <f t="shared" si="85"/>
        <v/>
      </c>
    </row>
    <row r="5377" spans="2:2" x14ac:dyDescent="0.2">
      <c r="B5377" t="str">
        <f t="shared" si="85"/>
        <v/>
      </c>
    </row>
    <row r="5378" spans="2:2" x14ac:dyDescent="0.2">
      <c r="B5378" t="str">
        <f t="shared" si="85"/>
        <v/>
      </c>
    </row>
    <row r="5379" spans="2:2" x14ac:dyDescent="0.2">
      <c r="B5379" t="str">
        <f t="shared" si="85"/>
        <v/>
      </c>
    </row>
    <row r="5380" spans="2:2" x14ac:dyDescent="0.2">
      <c r="B5380" t="str">
        <f t="shared" si="85"/>
        <v/>
      </c>
    </row>
    <row r="5381" spans="2:2" x14ac:dyDescent="0.2">
      <c r="B5381" t="str">
        <f t="shared" ref="B5381:B5444" si="86">D5381&amp;I5381</f>
        <v/>
      </c>
    </row>
    <row r="5382" spans="2:2" x14ac:dyDescent="0.2">
      <c r="B5382" t="str">
        <f t="shared" si="86"/>
        <v/>
      </c>
    </row>
    <row r="5383" spans="2:2" x14ac:dyDescent="0.2">
      <c r="B5383" t="str">
        <f t="shared" si="86"/>
        <v/>
      </c>
    </row>
    <row r="5384" spans="2:2" x14ac:dyDescent="0.2">
      <c r="B5384" t="str">
        <f t="shared" si="86"/>
        <v/>
      </c>
    </row>
    <row r="5385" spans="2:2" x14ac:dyDescent="0.2">
      <c r="B5385" t="str">
        <f t="shared" si="86"/>
        <v/>
      </c>
    </row>
    <row r="5386" spans="2:2" x14ac:dyDescent="0.2">
      <c r="B5386" t="str">
        <f t="shared" si="86"/>
        <v/>
      </c>
    </row>
    <row r="5387" spans="2:2" x14ac:dyDescent="0.2">
      <c r="B5387" t="str">
        <f t="shared" si="86"/>
        <v/>
      </c>
    </row>
    <row r="5388" spans="2:2" x14ac:dyDescent="0.2">
      <c r="B5388" t="str">
        <f t="shared" si="86"/>
        <v/>
      </c>
    </row>
    <row r="5389" spans="2:2" x14ac:dyDescent="0.2">
      <c r="B5389" t="str">
        <f t="shared" si="86"/>
        <v/>
      </c>
    </row>
    <row r="5390" spans="2:2" x14ac:dyDescent="0.2">
      <c r="B5390" t="str">
        <f t="shared" si="86"/>
        <v/>
      </c>
    </row>
    <row r="5391" spans="2:2" x14ac:dyDescent="0.2">
      <c r="B5391" t="str">
        <f t="shared" si="86"/>
        <v/>
      </c>
    </row>
    <row r="5392" spans="2:2" x14ac:dyDescent="0.2">
      <c r="B5392" t="str">
        <f t="shared" si="86"/>
        <v/>
      </c>
    </row>
    <row r="5393" spans="2:2" x14ac:dyDescent="0.2">
      <c r="B5393" t="str">
        <f t="shared" si="86"/>
        <v/>
      </c>
    </row>
    <row r="5394" spans="2:2" x14ac:dyDescent="0.2">
      <c r="B5394" t="str">
        <f t="shared" si="86"/>
        <v/>
      </c>
    </row>
    <row r="5395" spans="2:2" x14ac:dyDescent="0.2">
      <c r="B5395" t="str">
        <f t="shared" si="86"/>
        <v/>
      </c>
    </row>
    <row r="5396" spans="2:2" x14ac:dyDescent="0.2">
      <c r="B5396" t="str">
        <f t="shared" si="86"/>
        <v/>
      </c>
    </row>
    <row r="5397" spans="2:2" x14ac:dyDescent="0.2">
      <c r="B5397" t="str">
        <f t="shared" si="86"/>
        <v/>
      </c>
    </row>
    <row r="5398" spans="2:2" x14ac:dyDescent="0.2">
      <c r="B5398" t="str">
        <f t="shared" si="86"/>
        <v/>
      </c>
    </row>
    <row r="5399" spans="2:2" x14ac:dyDescent="0.2">
      <c r="B5399" t="str">
        <f t="shared" si="86"/>
        <v/>
      </c>
    </row>
    <row r="5400" spans="2:2" x14ac:dyDescent="0.2">
      <c r="B5400" t="str">
        <f t="shared" si="86"/>
        <v/>
      </c>
    </row>
    <row r="5401" spans="2:2" x14ac:dyDescent="0.2">
      <c r="B5401" t="str">
        <f t="shared" si="86"/>
        <v/>
      </c>
    </row>
    <row r="5402" spans="2:2" x14ac:dyDescent="0.2">
      <c r="B5402" t="str">
        <f t="shared" si="86"/>
        <v/>
      </c>
    </row>
    <row r="5403" spans="2:2" x14ac:dyDescent="0.2">
      <c r="B5403" t="str">
        <f t="shared" si="86"/>
        <v/>
      </c>
    </row>
    <row r="5404" spans="2:2" x14ac:dyDescent="0.2">
      <c r="B5404" t="str">
        <f t="shared" si="86"/>
        <v/>
      </c>
    </row>
    <row r="5405" spans="2:2" x14ac:dyDescent="0.2">
      <c r="B5405" t="str">
        <f t="shared" si="86"/>
        <v/>
      </c>
    </row>
    <row r="5406" spans="2:2" x14ac:dyDescent="0.2">
      <c r="B5406" t="str">
        <f t="shared" si="86"/>
        <v/>
      </c>
    </row>
    <row r="5407" spans="2:2" x14ac:dyDescent="0.2">
      <c r="B5407" t="str">
        <f t="shared" si="86"/>
        <v/>
      </c>
    </row>
    <row r="5408" spans="2:2" x14ac:dyDescent="0.2">
      <c r="B5408" t="str">
        <f t="shared" si="86"/>
        <v/>
      </c>
    </row>
    <row r="5409" spans="2:2" x14ac:dyDescent="0.2">
      <c r="B5409" t="str">
        <f t="shared" si="86"/>
        <v/>
      </c>
    </row>
    <row r="5410" spans="2:2" x14ac:dyDescent="0.2">
      <c r="B5410" t="str">
        <f t="shared" si="86"/>
        <v/>
      </c>
    </row>
    <row r="5411" spans="2:2" x14ac:dyDescent="0.2">
      <c r="B5411" t="str">
        <f t="shared" si="86"/>
        <v/>
      </c>
    </row>
    <row r="5412" spans="2:2" x14ac:dyDescent="0.2">
      <c r="B5412" t="str">
        <f t="shared" si="86"/>
        <v/>
      </c>
    </row>
    <row r="5413" spans="2:2" x14ac:dyDescent="0.2">
      <c r="B5413" t="str">
        <f t="shared" si="86"/>
        <v/>
      </c>
    </row>
    <row r="5414" spans="2:2" x14ac:dyDescent="0.2">
      <c r="B5414" t="str">
        <f t="shared" si="86"/>
        <v/>
      </c>
    </row>
    <row r="5415" spans="2:2" x14ac:dyDescent="0.2">
      <c r="B5415" t="str">
        <f t="shared" si="86"/>
        <v/>
      </c>
    </row>
    <row r="5416" spans="2:2" x14ac:dyDescent="0.2">
      <c r="B5416" t="str">
        <f t="shared" si="86"/>
        <v/>
      </c>
    </row>
    <row r="5417" spans="2:2" x14ac:dyDescent="0.2">
      <c r="B5417" t="str">
        <f t="shared" si="86"/>
        <v/>
      </c>
    </row>
    <row r="5418" spans="2:2" x14ac:dyDescent="0.2">
      <c r="B5418" t="str">
        <f t="shared" si="86"/>
        <v/>
      </c>
    </row>
    <row r="5419" spans="2:2" x14ac:dyDescent="0.2">
      <c r="B5419" t="str">
        <f t="shared" si="86"/>
        <v/>
      </c>
    </row>
    <row r="5420" spans="2:2" x14ac:dyDescent="0.2">
      <c r="B5420" t="str">
        <f t="shared" si="86"/>
        <v/>
      </c>
    </row>
    <row r="5421" spans="2:2" x14ac:dyDescent="0.2">
      <c r="B5421" t="str">
        <f t="shared" si="86"/>
        <v/>
      </c>
    </row>
    <row r="5422" spans="2:2" x14ac:dyDescent="0.2">
      <c r="B5422" t="str">
        <f t="shared" si="86"/>
        <v/>
      </c>
    </row>
    <row r="5423" spans="2:2" x14ac:dyDescent="0.2">
      <c r="B5423" t="str">
        <f t="shared" si="86"/>
        <v/>
      </c>
    </row>
    <row r="5424" spans="2:2" x14ac:dyDescent="0.2">
      <c r="B5424" t="str">
        <f t="shared" si="86"/>
        <v/>
      </c>
    </row>
    <row r="5425" spans="2:2" x14ac:dyDescent="0.2">
      <c r="B5425" t="str">
        <f t="shared" si="86"/>
        <v/>
      </c>
    </row>
    <row r="5426" spans="2:2" x14ac:dyDescent="0.2">
      <c r="B5426" t="str">
        <f t="shared" si="86"/>
        <v/>
      </c>
    </row>
    <row r="5427" spans="2:2" x14ac:dyDescent="0.2">
      <c r="B5427" t="str">
        <f t="shared" si="86"/>
        <v/>
      </c>
    </row>
    <row r="5428" spans="2:2" x14ac:dyDescent="0.2">
      <c r="B5428" t="str">
        <f t="shared" si="86"/>
        <v/>
      </c>
    </row>
    <row r="5429" spans="2:2" x14ac:dyDescent="0.2">
      <c r="B5429" t="str">
        <f t="shared" si="86"/>
        <v/>
      </c>
    </row>
    <row r="5430" spans="2:2" x14ac:dyDescent="0.2">
      <c r="B5430" t="str">
        <f t="shared" si="86"/>
        <v/>
      </c>
    </row>
    <row r="5431" spans="2:2" x14ac:dyDescent="0.2">
      <c r="B5431" t="str">
        <f t="shared" si="86"/>
        <v/>
      </c>
    </row>
    <row r="5432" spans="2:2" x14ac:dyDescent="0.2">
      <c r="B5432" t="str">
        <f t="shared" si="86"/>
        <v/>
      </c>
    </row>
    <row r="5433" spans="2:2" x14ac:dyDescent="0.2">
      <c r="B5433" t="str">
        <f t="shared" si="86"/>
        <v/>
      </c>
    </row>
    <row r="5434" spans="2:2" x14ac:dyDescent="0.2">
      <c r="B5434" t="str">
        <f t="shared" si="86"/>
        <v/>
      </c>
    </row>
    <row r="5435" spans="2:2" x14ac:dyDescent="0.2">
      <c r="B5435" t="str">
        <f t="shared" si="86"/>
        <v/>
      </c>
    </row>
    <row r="5436" spans="2:2" x14ac:dyDescent="0.2">
      <c r="B5436" t="str">
        <f t="shared" si="86"/>
        <v/>
      </c>
    </row>
    <row r="5437" spans="2:2" x14ac:dyDescent="0.2">
      <c r="B5437" t="str">
        <f t="shared" si="86"/>
        <v/>
      </c>
    </row>
    <row r="5438" spans="2:2" x14ac:dyDescent="0.2">
      <c r="B5438" t="str">
        <f t="shared" si="86"/>
        <v/>
      </c>
    </row>
    <row r="5439" spans="2:2" x14ac:dyDescent="0.2">
      <c r="B5439" t="str">
        <f t="shared" si="86"/>
        <v/>
      </c>
    </row>
    <row r="5440" spans="2:2" x14ac:dyDescent="0.2">
      <c r="B5440" t="str">
        <f t="shared" si="86"/>
        <v/>
      </c>
    </row>
    <row r="5441" spans="2:2" x14ac:dyDescent="0.2">
      <c r="B5441" t="str">
        <f t="shared" si="86"/>
        <v/>
      </c>
    </row>
    <row r="5442" spans="2:2" x14ac:dyDescent="0.2">
      <c r="B5442" t="str">
        <f t="shared" si="86"/>
        <v/>
      </c>
    </row>
    <row r="5443" spans="2:2" x14ac:dyDescent="0.2">
      <c r="B5443" t="str">
        <f t="shared" si="86"/>
        <v/>
      </c>
    </row>
    <row r="5444" spans="2:2" x14ac:dyDescent="0.2">
      <c r="B5444" t="str">
        <f t="shared" si="86"/>
        <v/>
      </c>
    </row>
    <row r="5445" spans="2:2" x14ac:dyDescent="0.2">
      <c r="B5445" t="str">
        <f t="shared" ref="B5445:B5508" si="87">D5445&amp;I5445</f>
        <v/>
      </c>
    </row>
    <row r="5446" spans="2:2" x14ac:dyDescent="0.2">
      <c r="B5446" t="str">
        <f t="shared" si="87"/>
        <v/>
      </c>
    </row>
    <row r="5447" spans="2:2" x14ac:dyDescent="0.2">
      <c r="B5447" t="str">
        <f t="shared" si="87"/>
        <v/>
      </c>
    </row>
    <row r="5448" spans="2:2" x14ac:dyDescent="0.2">
      <c r="B5448" t="str">
        <f t="shared" si="87"/>
        <v/>
      </c>
    </row>
    <row r="5449" spans="2:2" x14ac:dyDescent="0.2">
      <c r="B5449" t="str">
        <f t="shared" si="87"/>
        <v/>
      </c>
    </row>
    <row r="5450" spans="2:2" x14ac:dyDescent="0.2">
      <c r="B5450" t="str">
        <f t="shared" si="87"/>
        <v/>
      </c>
    </row>
    <row r="5451" spans="2:2" x14ac:dyDescent="0.2">
      <c r="B5451" t="str">
        <f t="shared" si="87"/>
        <v/>
      </c>
    </row>
    <row r="5452" spans="2:2" x14ac:dyDescent="0.2">
      <c r="B5452" t="str">
        <f t="shared" si="87"/>
        <v/>
      </c>
    </row>
    <row r="5453" spans="2:2" x14ac:dyDescent="0.2">
      <c r="B5453" t="str">
        <f t="shared" si="87"/>
        <v/>
      </c>
    </row>
    <row r="5454" spans="2:2" x14ac:dyDescent="0.2">
      <c r="B5454" t="str">
        <f t="shared" si="87"/>
        <v/>
      </c>
    </row>
    <row r="5455" spans="2:2" x14ac:dyDescent="0.2">
      <c r="B5455" t="str">
        <f t="shared" si="87"/>
        <v/>
      </c>
    </row>
    <row r="5456" spans="2:2" x14ac:dyDescent="0.2">
      <c r="B5456" t="str">
        <f t="shared" si="87"/>
        <v/>
      </c>
    </row>
    <row r="5457" spans="2:2" x14ac:dyDescent="0.2">
      <c r="B5457" t="str">
        <f t="shared" si="87"/>
        <v/>
      </c>
    </row>
    <row r="5458" spans="2:2" x14ac:dyDescent="0.2">
      <c r="B5458" t="str">
        <f t="shared" si="87"/>
        <v/>
      </c>
    </row>
    <row r="5459" spans="2:2" x14ac:dyDescent="0.2">
      <c r="B5459" t="str">
        <f t="shared" si="87"/>
        <v/>
      </c>
    </row>
    <row r="5460" spans="2:2" x14ac:dyDescent="0.2">
      <c r="B5460" t="str">
        <f t="shared" si="87"/>
        <v/>
      </c>
    </row>
    <row r="5461" spans="2:2" x14ac:dyDescent="0.2">
      <c r="B5461" t="str">
        <f t="shared" si="87"/>
        <v/>
      </c>
    </row>
    <row r="5462" spans="2:2" x14ac:dyDescent="0.2">
      <c r="B5462" t="str">
        <f t="shared" si="87"/>
        <v/>
      </c>
    </row>
    <row r="5463" spans="2:2" x14ac:dyDescent="0.2">
      <c r="B5463" t="str">
        <f t="shared" si="87"/>
        <v/>
      </c>
    </row>
    <row r="5464" spans="2:2" x14ac:dyDescent="0.2">
      <c r="B5464" t="str">
        <f t="shared" si="87"/>
        <v/>
      </c>
    </row>
    <row r="5465" spans="2:2" x14ac:dyDescent="0.2">
      <c r="B5465" t="str">
        <f t="shared" si="87"/>
        <v/>
      </c>
    </row>
    <row r="5466" spans="2:2" x14ac:dyDescent="0.2">
      <c r="B5466" t="str">
        <f t="shared" si="87"/>
        <v/>
      </c>
    </row>
    <row r="5467" spans="2:2" x14ac:dyDescent="0.2">
      <c r="B5467" t="str">
        <f t="shared" si="87"/>
        <v/>
      </c>
    </row>
    <row r="5468" spans="2:2" x14ac:dyDescent="0.2">
      <c r="B5468" t="str">
        <f t="shared" si="87"/>
        <v/>
      </c>
    </row>
    <row r="5469" spans="2:2" x14ac:dyDescent="0.2">
      <c r="B5469" t="str">
        <f t="shared" si="87"/>
        <v/>
      </c>
    </row>
    <row r="5470" spans="2:2" x14ac:dyDescent="0.2">
      <c r="B5470" t="str">
        <f t="shared" si="87"/>
        <v/>
      </c>
    </row>
    <row r="5471" spans="2:2" x14ac:dyDescent="0.2">
      <c r="B5471" t="str">
        <f t="shared" si="87"/>
        <v/>
      </c>
    </row>
    <row r="5472" spans="2:2" x14ac:dyDescent="0.2">
      <c r="B5472" t="str">
        <f t="shared" si="87"/>
        <v/>
      </c>
    </row>
    <row r="5473" spans="2:2" x14ac:dyDescent="0.2">
      <c r="B5473" t="str">
        <f t="shared" si="87"/>
        <v/>
      </c>
    </row>
    <row r="5474" spans="2:2" x14ac:dyDescent="0.2">
      <c r="B5474" t="str">
        <f t="shared" si="87"/>
        <v/>
      </c>
    </row>
    <row r="5475" spans="2:2" x14ac:dyDescent="0.2">
      <c r="B5475" t="str">
        <f t="shared" si="87"/>
        <v/>
      </c>
    </row>
    <row r="5476" spans="2:2" x14ac:dyDescent="0.2">
      <c r="B5476" t="str">
        <f t="shared" si="87"/>
        <v/>
      </c>
    </row>
    <row r="5477" spans="2:2" x14ac:dyDescent="0.2">
      <c r="B5477" t="str">
        <f t="shared" si="87"/>
        <v/>
      </c>
    </row>
    <row r="5478" spans="2:2" x14ac:dyDescent="0.2">
      <c r="B5478" t="str">
        <f t="shared" si="87"/>
        <v/>
      </c>
    </row>
    <row r="5479" spans="2:2" x14ac:dyDescent="0.2">
      <c r="B5479" t="str">
        <f t="shared" si="87"/>
        <v/>
      </c>
    </row>
    <row r="5480" spans="2:2" x14ac:dyDescent="0.2">
      <c r="B5480" t="str">
        <f t="shared" si="87"/>
        <v/>
      </c>
    </row>
    <row r="5481" spans="2:2" x14ac:dyDescent="0.2">
      <c r="B5481" t="str">
        <f t="shared" si="87"/>
        <v/>
      </c>
    </row>
    <row r="5482" spans="2:2" x14ac:dyDescent="0.2">
      <c r="B5482" t="str">
        <f t="shared" si="87"/>
        <v/>
      </c>
    </row>
    <row r="5483" spans="2:2" x14ac:dyDescent="0.2">
      <c r="B5483" t="str">
        <f t="shared" si="87"/>
        <v/>
      </c>
    </row>
    <row r="5484" spans="2:2" x14ac:dyDescent="0.2">
      <c r="B5484" t="str">
        <f t="shared" si="87"/>
        <v/>
      </c>
    </row>
    <row r="5485" spans="2:2" x14ac:dyDescent="0.2">
      <c r="B5485" t="str">
        <f t="shared" si="87"/>
        <v/>
      </c>
    </row>
    <row r="5486" spans="2:2" x14ac:dyDescent="0.2">
      <c r="B5486" t="str">
        <f t="shared" si="87"/>
        <v/>
      </c>
    </row>
    <row r="5487" spans="2:2" x14ac:dyDescent="0.2">
      <c r="B5487" t="str">
        <f t="shared" si="87"/>
        <v/>
      </c>
    </row>
    <row r="5488" spans="2:2" x14ac:dyDescent="0.2">
      <c r="B5488" t="str">
        <f t="shared" si="87"/>
        <v/>
      </c>
    </row>
    <row r="5489" spans="2:2" x14ac:dyDescent="0.2">
      <c r="B5489" t="str">
        <f t="shared" si="87"/>
        <v/>
      </c>
    </row>
    <row r="5490" spans="2:2" x14ac:dyDescent="0.2">
      <c r="B5490" t="str">
        <f t="shared" si="87"/>
        <v/>
      </c>
    </row>
    <row r="5491" spans="2:2" x14ac:dyDescent="0.2">
      <c r="B5491" t="str">
        <f t="shared" si="87"/>
        <v/>
      </c>
    </row>
    <row r="5492" spans="2:2" x14ac:dyDescent="0.2">
      <c r="B5492" t="str">
        <f t="shared" si="87"/>
        <v/>
      </c>
    </row>
    <row r="5493" spans="2:2" x14ac:dyDescent="0.2">
      <c r="B5493" t="str">
        <f t="shared" si="87"/>
        <v/>
      </c>
    </row>
    <row r="5494" spans="2:2" x14ac:dyDescent="0.2">
      <c r="B5494" t="str">
        <f t="shared" si="87"/>
        <v/>
      </c>
    </row>
    <row r="5495" spans="2:2" x14ac:dyDescent="0.2">
      <c r="B5495" t="str">
        <f t="shared" si="87"/>
        <v/>
      </c>
    </row>
    <row r="5496" spans="2:2" x14ac:dyDescent="0.2">
      <c r="B5496" t="str">
        <f t="shared" si="87"/>
        <v/>
      </c>
    </row>
    <row r="5497" spans="2:2" x14ac:dyDescent="0.2">
      <c r="B5497" t="str">
        <f t="shared" si="87"/>
        <v/>
      </c>
    </row>
    <row r="5498" spans="2:2" x14ac:dyDescent="0.2">
      <c r="B5498" t="str">
        <f t="shared" si="87"/>
        <v/>
      </c>
    </row>
    <row r="5499" spans="2:2" x14ac:dyDescent="0.2">
      <c r="B5499" t="str">
        <f t="shared" si="87"/>
        <v/>
      </c>
    </row>
    <row r="5500" spans="2:2" x14ac:dyDescent="0.2">
      <c r="B5500" t="str">
        <f t="shared" si="87"/>
        <v/>
      </c>
    </row>
    <row r="5501" spans="2:2" x14ac:dyDescent="0.2">
      <c r="B5501" t="str">
        <f t="shared" si="87"/>
        <v/>
      </c>
    </row>
    <row r="5502" spans="2:2" x14ac:dyDescent="0.2">
      <c r="B5502" t="str">
        <f t="shared" si="87"/>
        <v/>
      </c>
    </row>
    <row r="5503" spans="2:2" x14ac:dyDescent="0.2">
      <c r="B5503" t="str">
        <f t="shared" si="87"/>
        <v/>
      </c>
    </row>
    <row r="5504" spans="2:2" x14ac:dyDescent="0.2">
      <c r="B5504" t="str">
        <f t="shared" si="87"/>
        <v/>
      </c>
    </row>
    <row r="5505" spans="2:2" x14ac:dyDescent="0.2">
      <c r="B5505" t="str">
        <f t="shared" si="87"/>
        <v/>
      </c>
    </row>
    <row r="5506" spans="2:2" x14ac:dyDescent="0.2">
      <c r="B5506" t="str">
        <f t="shared" si="87"/>
        <v/>
      </c>
    </row>
    <row r="5507" spans="2:2" x14ac:dyDescent="0.2">
      <c r="B5507" t="str">
        <f t="shared" si="87"/>
        <v/>
      </c>
    </row>
    <row r="5508" spans="2:2" x14ac:dyDescent="0.2">
      <c r="B5508" t="str">
        <f t="shared" si="87"/>
        <v/>
      </c>
    </row>
    <row r="5509" spans="2:2" x14ac:dyDescent="0.2">
      <c r="B5509" t="str">
        <f t="shared" ref="B5509:B5555" si="88">D5509&amp;I5509</f>
        <v/>
      </c>
    </row>
    <row r="5510" spans="2:2" x14ac:dyDescent="0.2">
      <c r="B5510" t="str">
        <f t="shared" si="88"/>
        <v/>
      </c>
    </row>
    <row r="5511" spans="2:2" x14ac:dyDescent="0.2">
      <c r="B5511" t="str">
        <f t="shared" si="88"/>
        <v/>
      </c>
    </row>
    <row r="5512" spans="2:2" x14ac:dyDescent="0.2">
      <c r="B5512" t="str">
        <f t="shared" si="88"/>
        <v/>
      </c>
    </row>
    <row r="5513" spans="2:2" x14ac:dyDescent="0.2">
      <c r="B5513" t="str">
        <f t="shared" si="88"/>
        <v/>
      </c>
    </row>
    <row r="5514" spans="2:2" x14ac:dyDescent="0.2">
      <c r="B5514" t="str">
        <f t="shared" si="88"/>
        <v/>
      </c>
    </row>
    <row r="5515" spans="2:2" x14ac:dyDescent="0.2">
      <c r="B5515" t="str">
        <f t="shared" si="88"/>
        <v/>
      </c>
    </row>
    <row r="5516" spans="2:2" x14ac:dyDescent="0.2">
      <c r="B5516" t="str">
        <f t="shared" si="88"/>
        <v/>
      </c>
    </row>
    <row r="5517" spans="2:2" x14ac:dyDescent="0.2">
      <c r="B5517" t="str">
        <f t="shared" si="88"/>
        <v/>
      </c>
    </row>
    <row r="5518" spans="2:2" x14ac:dyDescent="0.2">
      <c r="B5518" t="str">
        <f t="shared" si="88"/>
        <v/>
      </c>
    </row>
    <row r="5519" spans="2:2" x14ac:dyDescent="0.2">
      <c r="B5519" t="str">
        <f t="shared" si="88"/>
        <v/>
      </c>
    </row>
    <row r="5520" spans="2:2" x14ac:dyDescent="0.2">
      <c r="B5520" t="str">
        <f t="shared" si="88"/>
        <v/>
      </c>
    </row>
    <row r="5521" spans="2:2" x14ac:dyDescent="0.2">
      <c r="B5521" t="str">
        <f t="shared" si="88"/>
        <v/>
      </c>
    </row>
    <row r="5522" spans="2:2" x14ac:dyDescent="0.2">
      <c r="B5522" t="str">
        <f t="shared" si="88"/>
        <v/>
      </c>
    </row>
    <row r="5523" spans="2:2" x14ac:dyDescent="0.2">
      <c r="B5523" t="str">
        <f t="shared" si="88"/>
        <v/>
      </c>
    </row>
    <row r="5524" spans="2:2" x14ac:dyDescent="0.2">
      <c r="B5524" t="str">
        <f t="shared" si="88"/>
        <v/>
      </c>
    </row>
    <row r="5525" spans="2:2" x14ac:dyDescent="0.2">
      <c r="B5525" t="str">
        <f t="shared" si="88"/>
        <v/>
      </c>
    </row>
    <row r="5526" spans="2:2" x14ac:dyDescent="0.2">
      <c r="B5526" t="str">
        <f t="shared" si="88"/>
        <v/>
      </c>
    </row>
    <row r="5527" spans="2:2" x14ac:dyDescent="0.2">
      <c r="B5527" t="str">
        <f t="shared" si="88"/>
        <v/>
      </c>
    </row>
    <row r="5528" spans="2:2" x14ac:dyDescent="0.2">
      <c r="B5528" t="str">
        <f t="shared" si="88"/>
        <v/>
      </c>
    </row>
    <row r="5529" spans="2:2" x14ac:dyDescent="0.2">
      <c r="B5529" t="str">
        <f t="shared" si="88"/>
        <v/>
      </c>
    </row>
    <row r="5530" spans="2:2" x14ac:dyDescent="0.2">
      <c r="B5530" t="str">
        <f t="shared" si="88"/>
        <v/>
      </c>
    </row>
    <row r="5531" spans="2:2" x14ac:dyDescent="0.2">
      <c r="B5531" t="str">
        <f t="shared" si="88"/>
        <v/>
      </c>
    </row>
    <row r="5532" spans="2:2" x14ac:dyDescent="0.2">
      <c r="B5532" t="str">
        <f t="shared" si="88"/>
        <v/>
      </c>
    </row>
    <row r="5533" spans="2:2" x14ac:dyDescent="0.2">
      <c r="B5533" t="str">
        <f t="shared" si="88"/>
        <v/>
      </c>
    </row>
    <row r="5534" spans="2:2" x14ac:dyDescent="0.2">
      <c r="B5534" t="str">
        <f t="shared" si="88"/>
        <v/>
      </c>
    </row>
    <row r="5535" spans="2:2" x14ac:dyDescent="0.2">
      <c r="B5535" t="str">
        <f t="shared" si="88"/>
        <v/>
      </c>
    </row>
    <row r="5536" spans="2:2" x14ac:dyDescent="0.2">
      <c r="B5536" t="str">
        <f t="shared" si="88"/>
        <v/>
      </c>
    </row>
    <row r="5537" spans="2:2" x14ac:dyDescent="0.2">
      <c r="B5537" t="str">
        <f t="shared" si="88"/>
        <v/>
      </c>
    </row>
    <row r="5538" spans="2:2" x14ac:dyDescent="0.2">
      <c r="B5538" t="str">
        <f t="shared" si="88"/>
        <v/>
      </c>
    </row>
    <row r="5539" spans="2:2" x14ac:dyDescent="0.2">
      <c r="B5539" t="str">
        <f t="shared" si="88"/>
        <v/>
      </c>
    </row>
    <row r="5540" spans="2:2" x14ac:dyDescent="0.2">
      <c r="B5540" t="str">
        <f t="shared" si="88"/>
        <v/>
      </c>
    </row>
    <row r="5541" spans="2:2" x14ac:dyDescent="0.2">
      <c r="B5541" t="str">
        <f t="shared" si="88"/>
        <v/>
      </c>
    </row>
    <row r="5542" spans="2:2" x14ac:dyDescent="0.2">
      <c r="B5542" t="str">
        <f t="shared" si="88"/>
        <v/>
      </c>
    </row>
    <row r="5543" spans="2:2" x14ac:dyDescent="0.2">
      <c r="B5543" t="str">
        <f t="shared" si="88"/>
        <v/>
      </c>
    </row>
    <row r="5544" spans="2:2" x14ac:dyDescent="0.2">
      <c r="B5544" t="str">
        <f t="shared" si="88"/>
        <v/>
      </c>
    </row>
    <row r="5545" spans="2:2" x14ac:dyDescent="0.2">
      <c r="B5545" t="str">
        <f t="shared" si="88"/>
        <v/>
      </c>
    </row>
    <row r="5546" spans="2:2" x14ac:dyDescent="0.2">
      <c r="B5546" t="str">
        <f t="shared" si="88"/>
        <v/>
      </c>
    </row>
    <row r="5547" spans="2:2" x14ac:dyDescent="0.2">
      <c r="B5547" t="str">
        <f t="shared" si="88"/>
        <v/>
      </c>
    </row>
    <row r="5548" spans="2:2" x14ac:dyDescent="0.2">
      <c r="B5548" t="str">
        <f t="shared" si="88"/>
        <v/>
      </c>
    </row>
    <row r="5549" spans="2:2" x14ac:dyDescent="0.2">
      <c r="B5549" t="str">
        <f t="shared" si="88"/>
        <v/>
      </c>
    </row>
    <row r="5550" spans="2:2" x14ac:dyDescent="0.2">
      <c r="B5550" t="str">
        <f t="shared" si="88"/>
        <v/>
      </c>
    </row>
    <row r="5551" spans="2:2" x14ac:dyDescent="0.2">
      <c r="B5551" t="str">
        <f t="shared" si="88"/>
        <v/>
      </c>
    </row>
    <row r="5552" spans="2:2" x14ac:dyDescent="0.2">
      <c r="B5552" t="str">
        <f t="shared" si="88"/>
        <v/>
      </c>
    </row>
    <row r="5553" spans="2:2" x14ac:dyDescent="0.2">
      <c r="B5553" t="str">
        <f t="shared" si="88"/>
        <v/>
      </c>
    </row>
    <row r="5554" spans="2:2" x14ac:dyDescent="0.2">
      <c r="B5554" t="str">
        <f t="shared" si="88"/>
        <v/>
      </c>
    </row>
    <row r="5555" spans="2:2" x14ac:dyDescent="0.2">
      <c r="B5555" t="str">
        <f t="shared" si="88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9"/>
  <sheetViews>
    <sheetView workbookViewId="0">
      <selection activeCell="H12" sqref="H12"/>
    </sheetView>
  </sheetViews>
  <sheetFormatPr defaultRowHeight="14.25" x14ac:dyDescent="0.2"/>
  <sheetData>
    <row r="1" spans="1:8" x14ac:dyDescent="0.2">
      <c r="A1" s="14" t="s">
        <v>205</v>
      </c>
      <c r="B1" s="15"/>
      <c r="C1" s="15"/>
      <c r="D1" s="15"/>
      <c r="E1" s="15"/>
      <c r="F1" s="15"/>
    </row>
    <row r="2" spans="1:8" x14ac:dyDescent="0.2">
      <c r="A2" s="16" t="s">
        <v>206</v>
      </c>
      <c r="B2" s="16" t="s">
        <v>207</v>
      </c>
      <c r="C2" s="16" t="s">
        <v>208</v>
      </c>
      <c r="D2" s="16" t="s">
        <v>209</v>
      </c>
      <c r="E2" s="16" t="s">
        <v>210</v>
      </c>
      <c r="F2" s="17" t="s">
        <v>211</v>
      </c>
    </row>
    <row r="3" spans="1:8" x14ac:dyDescent="0.2">
      <c r="A3" s="18"/>
      <c r="B3" s="18"/>
      <c r="C3" s="18"/>
      <c r="D3" s="18"/>
      <c r="E3" s="18"/>
      <c r="F3" s="19" t="s">
        <v>8</v>
      </c>
    </row>
    <row r="4" spans="1:8" x14ac:dyDescent="0.2">
      <c r="A4" s="13" t="s">
        <v>212</v>
      </c>
      <c r="B4" s="13" t="s">
        <v>213</v>
      </c>
      <c r="C4" s="13">
        <v>1</v>
      </c>
      <c r="D4" s="13" t="s">
        <v>214</v>
      </c>
      <c r="E4" s="13" t="s">
        <v>215</v>
      </c>
      <c r="F4" s="13">
        <v>0</v>
      </c>
      <c r="G4" t="str">
        <f>B4&amp;F4</f>
        <v>X0</v>
      </c>
      <c r="H4">
        <f>C4</f>
        <v>1</v>
      </c>
    </row>
    <row r="5" spans="1:8" x14ac:dyDescent="0.2">
      <c r="A5" s="13" t="s">
        <v>212</v>
      </c>
      <c r="B5" s="13" t="s">
        <v>213</v>
      </c>
      <c r="C5" s="13">
        <v>2</v>
      </c>
      <c r="D5" s="13" t="s">
        <v>214</v>
      </c>
      <c r="E5" s="13" t="s">
        <v>215</v>
      </c>
      <c r="F5" s="13">
        <v>4.5</v>
      </c>
      <c r="G5" t="str">
        <f t="shared" ref="G5:G49" si="0">B5&amp;F5</f>
        <v>X4.5</v>
      </c>
      <c r="H5">
        <f t="shared" ref="H5:H49" si="1">C5</f>
        <v>2</v>
      </c>
    </row>
    <row r="6" spans="1:8" x14ac:dyDescent="0.2">
      <c r="A6" s="13" t="s">
        <v>212</v>
      </c>
      <c r="B6" s="13" t="s">
        <v>213</v>
      </c>
      <c r="C6" s="13">
        <v>3</v>
      </c>
      <c r="D6" s="13" t="s">
        <v>214</v>
      </c>
      <c r="E6" s="13" t="s">
        <v>215</v>
      </c>
      <c r="F6" s="13">
        <v>10.3</v>
      </c>
      <c r="G6" t="str">
        <f t="shared" si="0"/>
        <v>X10.3</v>
      </c>
      <c r="H6">
        <f t="shared" si="1"/>
        <v>3</v>
      </c>
    </row>
    <row r="7" spans="1:8" x14ac:dyDescent="0.2">
      <c r="A7" s="13" t="s">
        <v>212</v>
      </c>
      <c r="B7" s="13" t="s">
        <v>213</v>
      </c>
      <c r="C7" s="13">
        <v>4</v>
      </c>
      <c r="D7" s="13" t="s">
        <v>214</v>
      </c>
      <c r="E7" s="13" t="s">
        <v>215</v>
      </c>
      <c r="F7" s="13">
        <v>14.3</v>
      </c>
      <c r="G7" t="str">
        <f t="shared" si="0"/>
        <v>X14.3</v>
      </c>
      <c r="H7">
        <f t="shared" si="1"/>
        <v>4</v>
      </c>
    </row>
    <row r="8" spans="1:8" x14ac:dyDescent="0.2">
      <c r="A8" s="13" t="s">
        <v>212</v>
      </c>
      <c r="B8" s="13" t="s">
        <v>216</v>
      </c>
      <c r="C8" s="13" t="s">
        <v>133</v>
      </c>
      <c r="D8" s="13" t="s">
        <v>214</v>
      </c>
      <c r="E8" s="13" t="s">
        <v>217</v>
      </c>
      <c r="F8" s="13">
        <v>0</v>
      </c>
      <c r="G8" t="str">
        <f t="shared" si="0"/>
        <v>Y0</v>
      </c>
      <c r="H8" t="str">
        <f t="shared" si="1"/>
        <v>A</v>
      </c>
    </row>
    <row r="9" spans="1:8" x14ac:dyDescent="0.2">
      <c r="A9" s="13" t="s">
        <v>212</v>
      </c>
      <c r="B9" s="13" t="s">
        <v>216</v>
      </c>
      <c r="C9" s="13" t="s">
        <v>54</v>
      </c>
      <c r="D9" s="13" t="s">
        <v>214</v>
      </c>
      <c r="E9" s="13" t="s">
        <v>217</v>
      </c>
      <c r="F9" s="13">
        <v>3.85</v>
      </c>
      <c r="G9" t="str">
        <f t="shared" si="0"/>
        <v>Y3.85</v>
      </c>
      <c r="H9" t="str">
        <f t="shared" si="1"/>
        <v>B</v>
      </c>
    </row>
    <row r="10" spans="1:8" x14ac:dyDescent="0.2">
      <c r="A10" s="13" t="s">
        <v>212</v>
      </c>
      <c r="B10" s="13" t="s">
        <v>216</v>
      </c>
      <c r="C10" s="13" t="s">
        <v>218</v>
      </c>
      <c r="D10" s="13" t="s">
        <v>214</v>
      </c>
      <c r="E10" s="13" t="s">
        <v>217</v>
      </c>
      <c r="F10" s="13">
        <v>8.5</v>
      </c>
      <c r="G10" t="str">
        <f t="shared" si="0"/>
        <v>Y8.5</v>
      </c>
      <c r="H10" t="str">
        <f t="shared" si="1"/>
        <v>C</v>
      </c>
    </row>
    <row r="11" spans="1:8" x14ac:dyDescent="0.2">
      <c r="A11" s="13" t="s">
        <v>212</v>
      </c>
      <c r="B11" s="13" t="s">
        <v>216</v>
      </c>
      <c r="C11" s="13" t="s">
        <v>134</v>
      </c>
      <c r="D11" s="13" t="s">
        <v>214</v>
      </c>
      <c r="E11" s="13" t="s">
        <v>217</v>
      </c>
      <c r="F11" s="13">
        <v>10.4</v>
      </c>
      <c r="G11" t="str">
        <f t="shared" si="0"/>
        <v>Y10.4</v>
      </c>
      <c r="H11" t="str">
        <f t="shared" si="1"/>
        <v>D</v>
      </c>
    </row>
    <row r="12" spans="1:8" x14ac:dyDescent="0.2">
      <c r="G12" t="str">
        <f t="shared" si="0"/>
        <v/>
      </c>
      <c r="H12">
        <f t="shared" si="1"/>
        <v>0</v>
      </c>
    </row>
    <row r="13" spans="1:8" x14ac:dyDescent="0.2">
      <c r="G13" t="str">
        <f t="shared" si="0"/>
        <v/>
      </c>
      <c r="H13">
        <f t="shared" si="1"/>
        <v>0</v>
      </c>
    </row>
    <row r="14" spans="1:8" x14ac:dyDescent="0.2">
      <c r="G14" t="str">
        <f t="shared" si="0"/>
        <v/>
      </c>
      <c r="H14">
        <f t="shared" si="1"/>
        <v>0</v>
      </c>
    </row>
    <row r="15" spans="1:8" x14ac:dyDescent="0.2">
      <c r="G15" t="str">
        <f t="shared" si="0"/>
        <v/>
      </c>
      <c r="H15">
        <f t="shared" si="1"/>
        <v>0</v>
      </c>
    </row>
    <row r="16" spans="1:8" x14ac:dyDescent="0.2">
      <c r="G16" t="str">
        <f t="shared" si="0"/>
        <v/>
      </c>
      <c r="H16">
        <f t="shared" si="1"/>
        <v>0</v>
      </c>
    </row>
    <row r="17" spans="7:8" x14ac:dyDescent="0.2">
      <c r="G17" t="str">
        <f t="shared" si="0"/>
        <v/>
      </c>
      <c r="H17">
        <f t="shared" si="1"/>
        <v>0</v>
      </c>
    </row>
    <row r="18" spans="7:8" x14ac:dyDescent="0.2">
      <c r="G18" t="str">
        <f t="shared" si="0"/>
        <v/>
      </c>
      <c r="H18">
        <f t="shared" si="1"/>
        <v>0</v>
      </c>
    </row>
    <row r="19" spans="7:8" x14ac:dyDescent="0.2">
      <c r="G19" t="str">
        <f t="shared" si="0"/>
        <v/>
      </c>
      <c r="H19">
        <f t="shared" si="1"/>
        <v>0</v>
      </c>
    </row>
    <row r="20" spans="7:8" x14ac:dyDescent="0.2">
      <c r="G20" t="str">
        <f t="shared" si="0"/>
        <v/>
      </c>
      <c r="H20">
        <f t="shared" si="1"/>
        <v>0</v>
      </c>
    </row>
    <row r="21" spans="7:8" x14ac:dyDescent="0.2">
      <c r="G21" t="str">
        <f t="shared" si="0"/>
        <v/>
      </c>
      <c r="H21">
        <f t="shared" si="1"/>
        <v>0</v>
      </c>
    </row>
    <row r="22" spans="7:8" x14ac:dyDescent="0.2">
      <c r="G22" t="str">
        <f t="shared" si="0"/>
        <v/>
      </c>
      <c r="H22">
        <f t="shared" si="1"/>
        <v>0</v>
      </c>
    </row>
    <row r="23" spans="7:8" x14ac:dyDescent="0.2">
      <c r="G23" t="str">
        <f t="shared" si="0"/>
        <v/>
      </c>
      <c r="H23">
        <f t="shared" si="1"/>
        <v>0</v>
      </c>
    </row>
    <row r="24" spans="7:8" x14ac:dyDescent="0.2">
      <c r="G24" t="str">
        <f t="shared" si="0"/>
        <v/>
      </c>
      <c r="H24">
        <f t="shared" si="1"/>
        <v>0</v>
      </c>
    </row>
    <row r="25" spans="7:8" x14ac:dyDescent="0.2">
      <c r="G25" t="str">
        <f t="shared" si="0"/>
        <v/>
      </c>
      <c r="H25">
        <f t="shared" si="1"/>
        <v>0</v>
      </c>
    </row>
    <row r="26" spans="7:8" x14ac:dyDescent="0.2">
      <c r="G26" t="str">
        <f t="shared" si="0"/>
        <v/>
      </c>
      <c r="H26">
        <f t="shared" si="1"/>
        <v>0</v>
      </c>
    </row>
    <row r="27" spans="7:8" x14ac:dyDescent="0.2">
      <c r="G27" t="str">
        <f t="shared" si="0"/>
        <v/>
      </c>
      <c r="H27">
        <f t="shared" si="1"/>
        <v>0</v>
      </c>
    </row>
    <row r="28" spans="7:8" x14ac:dyDescent="0.2">
      <c r="G28" t="str">
        <f t="shared" si="0"/>
        <v/>
      </c>
      <c r="H28">
        <f t="shared" si="1"/>
        <v>0</v>
      </c>
    </row>
    <row r="29" spans="7:8" x14ac:dyDescent="0.2">
      <c r="G29" t="str">
        <f t="shared" si="0"/>
        <v/>
      </c>
      <c r="H29">
        <f t="shared" si="1"/>
        <v>0</v>
      </c>
    </row>
    <row r="30" spans="7:8" x14ac:dyDescent="0.2">
      <c r="G30" t="str">
        <f t="shared" si="0"/>
        <v/>
      </c>
      <c r="H30">
        <f t="shared" si="1"/>
        <v>0</v>
      </c>
    </row>
    <row r="31" spans="7:8" x14ac:dyDescent="0.2">
      <c r="G31" t="str">
        <f t="shared" si="0"/>
        <v/>
      </c>
      <c r="H31">
        <f t="shared" si="1"/>
        <v>0</v>
      </c>
    </row>
    <row r="32" spans="7:8" x14ac:dyDescent="0.2">
      <c r="G32" t="str">
        <f t="shared" si="0"/>
        <v/>
      </c>
      <c r="H32">
        <f t="shared" si="1"/>
        <v>0</v>
      </c>
    </row>
    <row r="33" spans="7:8" x14ac:dyDescent="0.2">
      <c r="G33" t="str">
        <f t="shared" si="0"/>
        <v/>
      </c>
      <c r="H33">
        <f t="shared" si="1"/>
        <v>0</v>
      </c>
    </row>
    <row r="34" spans="7:8" x14ac:dyDescent="0.2">
      <c r="G34" t="str">
        <f t="shared" si="0"/>
        <v/>
      </c>
      <c r="H34">
        <f t="shared" si="1"/>
        <v>0</v>
      </c>
    </row>
    <row r="35" spans="7:8" x14ac:dyDescent="0.2">
      <c r="G35" t="str">
        <f t="shared" si="0"/>
        <v/>
      </c>
      <c r="H35">
        <f t="shared" si="1"/>
        <v>0</v>
      </c>
    </row>
    <row r="36" spans="7:8" x14ac:dyDescent="0.2">
      <c r="G36" t="str">
        <f t="shared" si="0"/>
        <v/>
      </c>
      <c r="H36">
        <f t="shared" si="1"/>
        <v>0</v>
      </c>
    </row>
    <row r="37" spans="7:8" x14ac:dyDescent="0.2">
      <c r="G37" t="str">
        <f t="shared" si="0"/>
        <v/>
      </c>
      <c r="H37">
        <f t="shared" si="1"/>
        <v>0</v>
      </c>
    </row>
    <row r="38" spans="7:8" x14ac:dyDescent="0.2">
      <c r="G38" t="str">
        <f t="shared" si="0"/>
        <v/>
      </c>
      <c r="H38">
        <f t="shared" si="1"/>
        <v>0</v>
      </c>
    </row>
    <row r="39" spans="7:8" x14ac:dyDescent="0.2">
      <c r="G39" t="str">
        <f t="shared" si="0"/>
        <v/>
      </c>
      <c r="H39">
        <f t="shared" si="1"/>
        <v>0</v>
      </c>
    </row>
    <row r="40" spans="7:8" x14ac:dyDescent="0.2">
      <c r="G40" t="str">
        <f t="shared" si="0"/>
        <v/>
      </c>
      <c r="H40">
        <f t="shared" si="1"/>
        <v>0</v>
      </c>
    </row>
    <row r="41" spans="7:8" x14ac:dyDescent="0.2">
      <c r="G41" t="str">
        <f t="shared" si="0"/>
        <v/>
      </c>
      <c r="H41">
        <f t="shared" si="1"/>
        <v>0</v>
      </c>
    </row>
    <row r="42" spans="7:8" x14ac:dyDescent="0.2">
      <c r="G42" t="str">
        <f t="shared" si="0"/>
        <v/>
      </c>
      <c r="H42">
        <f t="shared" si="1"/>
        <v>0</v>
      </c>
    </row>
    <row r="43" spans="7:8" x14ac:dyDescent="0.2">
      <c r="G43" t="str">
        <f t="shared" si="0"/>
        <v/>
      </c>
      <c r="H43">
        <f t="shared" si="1"/>
        <v>0</v>
      </c>
    </row>
    <row r="44" spans="7:8" x14ac:dyDescent="0.2">
      <c r="G44" t="str">
        <f t="shared" si="0"/>
        <v/>
      </c>
      <c r="H44">
        <f t="shared" si="1"/>
        <v>0</v>
      </c>
    </row>
    <row r="45" spans="7:8" x14ac:dyDescent="0.2">
      <c r="G45" t="str">
        <f t="shared" si="0"/>
        <v/>
      </c>
      <c r="H45">
        <f t="shared" si="1"/>
        <v>0</v>
      </c>
    </row>
    <row r="46" spans="7:8" x14ac:dyDescent="0.2">
      <c r="G46" t="str">
        <f t="shared" si="0"/>
        <v/>
      </c>
      <c r="H46">
        <f t="shared" si="1"/>
        <v>0</v>
      </c>
    </row>
    <row r="47" spans="7:8" x14ac:dyDescent="0.2">
      <c r="G47" t="str">
        <f t="shared" si="0"/>
        <v/>
      </c>
      <c r="H47">
        <f t="shared" si="1"/>
        <v>0</v>
      </c>
    </row>
    <row r="48" spans="7:8" x14ac:dyDescent="0.2">
      <c r="G48" t="str">
        <f t="shared" si="0"/>
        <v/>
      </c>
      <c r="H48">
        <f t="shared" si="1"/>
        <v>0</v>
      </c>
    </row>
    <row r="49" spans="7:8" x14ac:dyDescent="0.2">
      <c r="G49" t="str">
        <f t="shared" si="0"/>
        <v/>
      </c>
      <c r="H49">
        <f t="shared" si="1"/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E5" sqref="E5"/>
    </sheetView>
  </sheetViews>
  <sheetFormatPr defaultRowHeight="14.25" x14ac:dyDescent="0.2"/>
  <cols>
    <col min="1" max="16384" width="9" style="22"/>
  </cols>
  <sheetData>
    <row r="1" spans="1:7" x14ac:dyDescent="0.2">
      <c r="A1" s="20" t="s">
        <v>219</v>
      </c>
      <c r="B1" s="21"/>
      <c r="C1" s="21"/>
      <c r="D1" s="21"/>
      <c r="E1" s="21"/>
      <c r="F1" s="21"/>
      <c r="G1" s="21"/>
    </row>
    <row r="2" spans="1:7" x14ac:dyDescent="0.2">
      <c r="A2" s="23" t="s">
        <v>136</v>
      </c>
      <c r="B2" s="23" t="s">
        <v>220</v>
      </c>
      <c r="C2" s="23" t="s">
        <v>167</v>
      </c>
      <c r="D2" s="23" t="s">
        <v>213</v>
      </c>
      <c r="E2" s="23" t="s">
        <v>216</v>
      </c>
      <c r="F2" s="23" t="s">
        <v>221</v>
      </c>
      <c r="G2" s="24" t="s">
        <v>222</v>
      </c>
    </row>
    <row r="3" spans="1:7" x14ac:dyDescent="0.2">
      <c r="A3" s="25"/>
      <c r="B3" s="25"/>
      <c r="C3" s="25"/>
      <c r="D3" s="25" t="s">
        <v>8</v>
      </c>
      <c r="E3" s="25" t="s">
        <v>8</v>
      </c>
      <c r="F3" s="25" t="s">
        <v>8</v>
      </c>
      <c r="G3" s="26"/>
    </row>
    <row r="4" spans="1:7" x14ac:dyDescent="0.2">
      <c r="A4" s="27" t="s">
        <v>171</v>
      </c>
      <c r="B4" s="27">
        <v>13</v>
      </c>
      <c r="C4" s="27">
        <v>118</v>
      </c>
      <c r="D4" s="27">
        <v>0</v>
      </c>
      <c r="E4" s="27">
        <v>0</v>
      </c>
      <c r="F4" s="27">
        <v>-1.8</v>
      </c>
      <c r="G4" s="27" t="s">
        <v>223</v>
      </c>
    </row>
    <row r="5" spans="1:7" x14ac:dyDescent="0.2">
      <c r="A5" s="27" t="s">
        <v>171</v>
      </c>
      <c r="B5" s="27">
        <v>18</v>
      </c>
      <c r="C5" s="27">
        <v>119</v>
      </c>
      <c r="D5" s="27">
        <v>4.5</v>
      </c>
      <c r="E5" s="27">
        <v>0</v>
      </c>
      <c r="F5" s="27">
        <v>-1.8</v>
      </c>
      <c r="G5" s="27" t="s">
        <v>223</v>
      </c>
    </row>
    <row r="6" spans="1:7" x14ac:dyDescent="0.2">
      <c r="A6" s="27" t="s">
        <v>171</v>
      </c>
      <c r="B6" s="27">
        <v>56</v>
      </c>
      <c r="C6" s="27">
        <v>111</v>
      </c>
      <c r="D6" s="27">
        <v>0</v>
      </c>
      <c r="E6" s="27">
        <v>3.85</v>
      </c>
      <c r="F6" s="27">
        <v>-1.8</v>
      </c>
      <c r="G6" s="27" t="s">
        <v>223</v>
      </c>
    </row>
    <row r="7" spans="1:7" x14ac:dyDescent="0.2">
      <c r="A7" s="27" t="s">
        <v>171</v>
      </c>
      <c r="B7" s="27">
        <v>61</v>
      </c>
      <c r="C7" s="27">
        <v>116</v>
      </c>
      <c r="D7" s="27">
        <v>4.5</v>
      </c>
      <c r="E7" s="27">
        <v>3.85</v>
      </c>
      <c r="F7" s="27">
        <v>-1.8</v>
      </c>
      <c r="G7" s="27" t="s">
        <v>223</v>
      </c>
    </row>
    <row r="8" spans="1:7" x14ac:dyDescent="0.2">
      <c r="A8" s="27" t="s">
        <v>171</v>
      </c>
      <c r="B8" s="27">
        <v>67</v>
      </c>
      <c r="C8" s="27">
        <v>125</v>
      </c>
      <c r="D8" s="27">
        <v>10.3</v>
      </c>
      <c r="E8" s="27">
        <v>3.85</v>
      </c>
      <c r="F8" s="27">
        <v>-1.8</v>
      </c>
      <c r="G8" s="27" t="s">
        <v>223</v>
      </c>
    </row>
    <row r="9" spans="1:7" x14ac:dyDescent="0.2">
      <c r="A9" s="27" t="s">
        <v>171</v>
      </c>
      <c r="B9" s="27">
        <v>72</v>
      </c>
      <c r="C9" s="27">
        <v>131</v>
      </c>
      <c r="D9" s="27">
        <v>14.3</v>
      </c>
      <c r="E9" s="27">
        <v>3.85</v>
      </c>
      <c r="F9" s="27">
        <v>-1.8</v>
      </c>
      <c r="G9" s="27" t="s">
        <v>223</v>
      </c>
    </row>
    <row r="10" spans="1:7" x14ac:dyDescent="0.2">
      <c r="A10" s="27" t="s">
        <v>171</v>
      </c>
      <c r="B10" s="27">
        <v>119</v>
      </c>
      <c r="C10" s="27">
        <v>262</v>
      </c>
      <c r="D10" s="27">
        <v>0</v>
      </c>
      <c r="E10" s="27">
        <v>8.5</v>
      </c>
      <c r="F10" s="27">
        <v>-1.8</v>
      </c>
      <c r="G10" s="27" t="s">
        <v>223</v>
      </c>
    </row>
    <row r="11" spans="1:7" x14ac:dyDescent="0.2">
      <c r="A11" s="27" t="s">
        <v>171</v>
      </c>
      <c r="B11" s="27">
        <v>124</v>
      </c>
      <c r="C11" s="27">
        <v>133</v>
      </c>
      <c r="D11" s="27">
        <v>4.5</v>
      </c>
      <c r="E11" s="27">
        <v>8.5</v>
      </c>
      <c r="F11" s="27">
        <v>-1.8</v>
      </c>
      <c r="G11" s="27" t="s">
        <v>223</v>
      </c>
    </row>
    <row r="12" spans="1:7" x14ac:dyDescent="0.2">
      <c r="A12" s="27" t="s">
        <v>171</v>
      </c>
      <c r="B12" s="27">
        <v>153</v>
      </c>
      <c r="C12" s="27">
        <v>172</v>
      </c>
      <c r="D12" s="27">
        <v>1.8</v>
      </c>
      <c r="E12" s="27">
        <v>10.4</v>
      </c>
      <c r="F12" s="27">
        <v>-1.8</v>
      </c>
      <c r="G12" s="27" t="s">
        <v>223</v>
      </c>
    </row>
    <row r="13" spans="1:7" x14ac:dyDescent="0.2">
      <c r="A13" s="27" t="s">
        <v>171</v>
      </c>
      <c r="B13" s="27">
        <v>155</v>
      </c>
      <c r="C13" s="27">
        <v>122</v>
      </c>
      <c r="D13" s="27">
        <v>4.5</v>
      </c>
      <c r="E13" s="27">
        <v>10.4</v>
      </c>
      <c r="F13" s="27">
        <v>-1.8</v>
      </c>
      <c r="G13" s="27" t="s">
        <v>223</v>
      </c>
    </row>
    <row r="14" spans="1:7" x14ac:dyDescent="0.2">
      <c r="A14" s="27" t="s">
        <v>171</v>
      </c>
      <c r="B14" s="27">
        <v>160</v>
      </c>
      <c r="C14" s="27">
        <v>123</v>
      </c>
      <c r="D14" s="27">
        <v>10.3</v>
      </c>
      <c r="E14" s="27">
        <v>10.4</v>
      </c>
      <c r="F14" s="27">
        <v>-1.8</v>
      </c>
      <c r="G14" s="27" t="s">
        <v>223</v>
      </c>
    </row>
    <row r="15" spans="1:7" x14ac:dyDescent="0.2">
      <c r="A15" s="27" t="s">
        <v>171</v>
      </c>
      <c r="B15" s="27">
        <v>165</v>
      </c>
      <c r="C15" s="27">
        <v>144</v>
      </c>
      <c r="D15" s="27">
        <v>14.3</v>
      </c>
      <c r="E15" s="27">
        <v>10.4</v>
      </c>
      <c r="F15" s="27">
        <v>-1.8</v>
      </c>
      <c r="G15" s="27" t="s">
        <v>223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M-3</vt:lpstr>
      <vt:lpstr>Joint Reactions</vt:lpstr>
      <vt:lpstr>Grid Lines</vt:lpstr>
      <vt:lpstr>Joint Coordinates</vt:lpstr>
      <vt:lpstr>'M-3'!Print_Area</vt:lpstr>
      <vt:lpstr>'M-3'!Print_Titles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tuannm</dc:creator>
  <cp:lastModifiedBy>Dell</cp:lastModifiedBy>
  <cp:lastPrinted>2022-03-14T08:08:04Z</cp:lastPrinted>
  <dcterms:created xsi:type="dcterms:W3CDTF">2012-07-27T02:15:05Z</dcterms:created>
  <dcterms:modified xsi:type="dcterms:W3CDTF">2022-10-20T07:12:00Z</dcterms:modified>
</cp:coreProperties>
</file>