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53222"/>
  <mc:AlternateContent xmlns:mc="http://schemas.openxmlformats.org/markup-compatibility/2006">
    <mc:Choice Requires="x15">
      <x15ac:absPath xmlns:x15ac="http://schemas.microsoft.com/office/spreadsheetml/2010/11/ac" url="\\192.168.1.253\ts1\#Thu muc ca nhan\03. Vo Trung Hieu\1.USER\ISO_CONINCO\01. VESION 2022 THUYET MINH + BANG TINH\2. Thuyết minh + Bản tính kết cấu\2. Phụ lục bản tính\1. Tải trọng đầu vào\"/>
    </mc:Choice>
  </mc:AlternateContent>
  <bookViews>
    <workbookView xWindow="0" yWindow="0" windowWidth="28800" windowHeight="12330" tabRatio="938" activeTab="2"/>
  </bookViews>
  <sheets>
    <sheet name="Muc luc" sheetId="20" r:id="rId1"/>
    <sheet name="TruDiaChat-N" sheetId="32" r:id="rId2"/>
    <sheet name="NhanDangNenDat" sheetId="31" r:id="rId3"/>
  </sheets>
  <definedNames>
    <definedName name="all">SUBSTITUTE(Sheet_name,"["&amp;Work_book&amp;"]","")</definedName>
    <definedName name="num">GET.WORKBOOK(ROW(INDIRECT("A4")))</definedName>
    <definedName name="Sheet_name">GET.WORKBOOK(ROW(INDIRECT("A1")))</definedName>
    <definedName name="Work_book">GET.WORKBOOK(ROW(INDIRECT("A16")))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9" i="31" l="1"/>
  <c r="B66" i="31" l="1"/>
  <c r="E66" i="31" s="1"/>
  <c r="B67" i="31"/>
  <c r="E67" i="31" s="1"/>
  <c r="B68" i="31"/>
  <c r="D68" i="31" s="1"/>
  <c r="B69" i="31"/>
  <c r="B70" i="31"/>
  <c r="E70" i="31" s="1"/>
  <c r="B71" i="31"/>
  <c r="D72" i="31" s="1"/>
  <c r="B72" i="31"/>
  <c r="E72" i="31" s="1"/>
  <c r="B58" i="31"/>
  <c r="B59" i="31"/>
  <c r="D59" i="31" s="1"/>
  <c r="B60" i="31"/>
  <c r="B61" i="31"/>
  <c r="B62" i="31"/>
  <c r="B63" i="31"/>
  <c r="E63" i="31" s="1"/>
  <c r="B64" i="31"/>
  <c r="E64" i="31" s="1"/>
  <c r="B65" i="31"/>
  <c r="B57" i="31"/>
  <c r="C57" i="31" s="1"/>
  <c r="C58" i="31" s="1"/>
  <c r="C59" i="31" s="1"/>
  <c r="C60" i="31" s="1"/>
  <c r="C61" i="31" s="1"/>
  <c r="C62" i="31" s="1"/>
  <c r="C63" i="31" s="1"/>
  <c r="C64" i="31" s="1"/>
  <c r="C65" i="31" s="1"/>
  <c r="C66" i="31" s="1"/>
  <c r="C67" i="31" s="1"/>
  <c r="C68" i="31" s="1"/>
  <c r="C69" i="31" s="1"/>
  <c r="C70" i="31" s="1"/>
  <c r="C71" i="31" s="1"/>
  <c r="C72" i="31" s="1"/>
  <c r="E62" i="31" l="1"/>
  <c r="E61" i="31"/>
  <c r="E69" i="31"/>
  <c r="E68" i="31"/>
  <c r="E60" i="31"/>
  <c r="D65" i="31"/>
  <c r="E59" i="31"/>
  <c r="D58" i="31"/>
  <c r="D64" i="31"/>
  <c r="E58" i="31"/>
  <c r="D70" i="31"/>
  <c r="E57" i="31"/>
  <c r="E65" i="31"/>
  <c r="D61" i="31"/>
  <c r="E71" i="31"/>
  <c r="D67" i="31"/>
  <c r="D66" i="31"/>
  <c r="D71" i="31"/>
  <c r="D63" i="31"/>
  <c r="D62" i="31"/>
  <c r="D69" i="31"/>
  <c r="D60" i="31"/>
  <c r="D51" i="31" l="1"/>
  <c r="D52" i="31" s="1"/>
  <c r="C14" i="20"/>
  <c r="C17" i="20"/>
  <c r="C21" i="20"/>
  <c r="C22" i="20"/>
  <c r="C18" i="20"/>
  <c r="C12" i="20"/>
  <c r="C16" i="20"/>
  <c r="C13" i="20"/>
  <c r="C10" i="20"/>
  <c r="C19" i="20"/>
  <c r="C9" i="20"/>
  <c r="C20" i="20"/>
  <c r="C6" i="20"/>
  <c r="C8" i="20"/>
  <c r="C11" i="20"/>
  <c r="C7" i="20"/>
  <c r="C15" i="20"/>
</calcChain>
</file>

<file path=xl/sharedStrings.xml><?xml version="1.0" encoding="utf-8"?>
<sst xmlns="http://schemas.openxmlformats.org/spreadsheetml/2006/main" count="55" uniqueCount="51">
  <si>
    <t>Giá trị cần nhập</t>
  </si>
  <si>
    <t>Giá trị kết quả cần quan tâm</t>
  </si>
  <si>
    <t>Giá trị tự chạy</t>
  </si>
  <si>
    <t>MỤC LỤC</t>
  </si>
  <si>
    <t>Ghi chú:</t>
  </si>
  <si>
    <t>Cao độ</t>
  </si>
  <si>
    <t>STT</t>
  </si>
  <si>
    <t>(m)</t>
  </si>
  <si>
    <r>
      <t>NHẬN DẠNG NỀN ĐẤT - THEO GIÁ TRỊ N</t>
    </r>
    <r>
      <rPr>
        <b/>
        <vertAlign val="subscript"/>
        <sz val="18"/>
        <color theme="1"/>
        <rFont val="Times New Roman"/>
        <family val="1"/>
      </rPr>
      <t>SPT</t>
    </r>
  </si>
  <si>
    <t>Mục 3.1.2, TCVN 9386-2012</t>
  </si>
  <si>
    <t>(1) Các loại nền đất A, B, C, D và E được mô tả bằng các mặt cắt địa tầng , các tham số cho trong Bảng 3.1 và được mô tả dưới đây, có thể được sử dụng để kể đến ảnh hưởng của điều kiện nền đất tới tác động động đất. Việc kể đến ảnh hưởng này còn có thể thực hiện bằng cách xem xét thêm ảnh hưởng của địa chất tầng sâu tới tác động động đất.</t>
  </si>
  <si>
    <t>Bảng 3.1 - Các loại nền đất</t>
  </si>
  <si>
    <t>I. Cơ sơ lý thuyết</t>
  </si>
  <si>
    <t>trong đó:</t>
  </si>
  <si>
    <r>
      <t>chiều dày (m) và giá trị N</t>
    </r>
    <r>
      <rPr>
        <vertAlign val="subscript"/>
        <sz val="13"/>
        <color theme="1"/>
        <rFont val="Times New Roman"/>
        <family val="1"/>
      </rPr>
      <t>SPT</t>
    </r>
    <r>
      <rPr>
        <sz val="13"/>
        <color theme="1"/>
        <rFont val="Times New Roman"/>
        <family val="2"/>
        <charset val="163"/>
      </rPr>
      <t xml:space="preserve"> của lớp thứ i trong tổng số n lớp tồn tại trong 30m đất trên bề mặt</t>
    </r>
  </si>
  <si>
    <r>
      <t>h</t>
    </r>
    <r>
      <rPr>
        <b/>
        <vertAlign val="subscript"/>
        <sz val="13"/>
        <color theme="1"/>
        <rFont val="Times New Roman"/>
        <family val="1"/>
      </rPr>
      <t>i</t>
    </r>
    <r>
      <rPr>
        <b/>
        <sz val="13"/>
        <color theme="1"/>
        <rFont val="Times New Roman"/>
        <family val="1"/>
      </rPr>
      <t>, N</t>
    </r>
    <r>
      <rPr>
        <b/>
        <vertAlign val="superscript"/>
        <sz val="13"/>
        <color theme="1"/>
        <rFont val="Times New Roman"/>
        <family val="1"/>
      </rPr>
      <t>i</t>
    </r>
    <r>
      <rPr>
        <b/>
        <vertAlign val="subscript"/>
        <sz val="13"/>
        <color theme="1"/>
        <rFont val="Times New Roman"/>
        <family val="1"/>
      </rPr>
      <t>SPT</t>
    </r>
    <r>
      <rPr>
        <b/>
        <sz val="13"/>
        <color theme="1"/>
        <rFont val="Times New Roman"/>
        <family val="1"/>
      </rPr>
      <t xml:space="preserve"> - </t>
    </r>
  </si>
  <si>
    <r>
      <t>N</t>
    </r>
    <r>
      <rPr>
        <b/>
        <vertAlign val="subscript"/>
        <sz val="13"/>
        <color theme="1"/>
        <rFont val="Times New Roman"/>
        <family val="1"/>
      </rPr>
      <t>SPT</t>
    </r>
    <r>
      <rPr>
        <b/>
        <sz val="13"/>
        <color theme="1"/>
        <rFont val="Times New Roman"/>
        <family val="1"/>
      </rPr>
      <t xml:space="preserve"> = </t>
    </r>
  </si>
  <si>
    <r>
      <t>Σh</t>
    </r>
    <r>
      <rPr>
        <b/>
        <vertAlign val="subscript"/>
        <sz val="13"/>
        <color theme="1"/>
        <rFont val="Times New Roman"/>
        <family val="1"/>
      </rPr>
      <t>i</t>
    </r>
  </si>
  <si>
    <r>
      <t>2- Giá trị N</t>
    </r>
    <r>
      <rPr>
        <b/>
        <vertAlign val="subscript"/>
        <sz val="13"/>
        <color theme="1"/>
        <rFont val="Times New Roman"/>
        <family val="1"/>
      </rPr>
      <t>SPT</t>
    </r>
    <r>
      <rPr>
        <b/>
        <sz val="13"/>
        <color theme="1"/>
        <rFont val="Times New Roman"/>
        <family val="1"/>
      </rPr>
      <t xml:space="preserve"> (N</t>
    </r>
    <r>
      <rPr>
        <b/>
        <vertAlign val="subscript"/>
        <sz val="13"/>
        <color theme="1"/>
        <rFont val="Times New Roman"/>
        <family val="1"/>
      </rPr>
      <t>30</t>
    </r>
    <r>
      <rPr>
        <b/>
        <sz val="13"/>
        <color theme="1"/>
        <rFont val="Times New Roman"/>
        <family val="1"/>
      </rPr>
      <t>)</t>
    </r>
  </si>
  <si>
    <t>Cao độ cốt thiên nhiên:</t>
  </si>
  <si>
    <t>Độ sâu kiểm tra:</t>
  </si>
  <si>
    <t>Chiều dày</t>
  </si>
  <si>
    <r>
      <t>h</t>
    </r>
    <r>
      <rPr>
        <vertAlign val="subscript"/>
        <sz val="13"/>
        <color theme="1"/>
        <rFont val="Times New Roman"/>
        <family val="1"/>
      </rPr>
      <t>i</t>
    </r>
    <r>
      <rPr>
        <sz val="13"/>
        <color theme="1"/>
        <rFont val="Times New Roman"/>
        <family val="2"/>
        <charset val="163"/>
      </rPr>
      <t xml:space="preserve"> </t>
    </r>
    <r>
      <rPr>
        <i/>
        <sz val="13"/>
        <color theme="1"/>
        <rFont val="Times New Roman"/>
        <family val="1"/>
      </rPr>
      <t>(m)</t>
    </r>
  </si>
  <si>
    <r>
      <t>z</t>
    </r>
    <r>
      <rPr>
        <vertAlign val="subscript"/>
        <sz val="13"/>
        <color theme="1"/>
        <rFont val="Times New Roman"/>
        <family val="1"/>
      </rPr>
      <t>i</t>
    </r>
    <r>
      <rPr>
        <sz val="13"/>
        <color theme="1"/>
        <rFont val="Times New Roman"/>
        <family val="2"/>
        <charset val="163"/>
      </rPr>
      <t xml:space="preserve"> </t>
    </r>
    <r>
      <rPr>
        <i/>
        <sz val="13"/>
        <color theme="1"/>
        <rFont val="Times New Roman"/>
        <family val="1"/>
      </rPr>
      <t>(m)</t>
    </r>
  </si>
  <si>
    <t>Chiều sâu</t>
  </si>
  <si>
    <r>
      <t xml:space="preserve">Z </t>
    </r>
    <r>
      <rPr>
        <i/>
        <sz val="13"/>
        <color theme="1"/>
        <rFont val="Times New Roman"/>
        <family val="1"/>
      </rPr>
      <t>(m)</t>
    </r>
  </si>
  <si>
    <r>
      <t>Chỉ số N</t>
    </r>
    <r>
      <rPr>
        <vertAlign val="subscript"/>
        <sz val="13"/>
        <color theme="1"/>
        <rFont val="Times New Roman"/>
        <family val="1"/>
      </rPr>
      <t>SPT</t>
    </r>
  </si>
  <si>
    <r>
      <t>N</t>
    </r>
    <r>
      <rPr>
        <vertAlign val="subscript"/>
        <sz val="13"/>
        <color theme="1"/>
        <rFont val="Times New Roman"/>
        <family val="1"/>
      </rPr>
      <t>30</t>
    </r>
  </si>
  <si>
    <t>Hố khoan</t>
  </si>
  <si>
    <t>HK6</t>
  </si>
  <si>
    <t>HK7</t>
  </si>
  <si>
    <t>HK8</t>
  </si>
  <si>
    <t>HK9</t>
  </si>
  <si>
    <t>HK10</t>
  </si>
  <si>
    <t>HK11</t>
  </si>
  <si>
    <t>HK12</t>
  </si>
  <si>
    <t>HK13</t>
  </si>
  <si>
    <t>Hố khoan:</t>
  </si>
  <si>
    <r>
      <t>Giá trị N</t>
    </r>
    <r>
      <rPr>
        <vertAlign val="subscript"/>
        <sz val="13"/>
        <color theme="1"/>
        <rFont val="Times New Roman"/>
        <family val="1"/>
      </rPr>
      <t>SPT</t>
    </r>
    <r>
      <rPr>
        <sz val="13"/>
        <color theme="1"/>
        <rFont val="Times New Roman"/>
        <family val="2"/>
        <charset val="163"/>
      </rPr>
      <t xml:space="preserve"> trung bình có thể được tính toán theo biểu thức sau:</t>
    </r>
  </si>
  <si>
    <r>
      <t>Giá trị N</t>
    </r>
    <r>
      <rPr>
        <vertAlign val="subscript"/>
        <sz val="13"/>
        <color theme="1"/>
        <rFont val="Times New Roman"/>
        <family val="1"/>
      </rPr>
      <t>SPT</t>
    </r>
    <r>
      <rPr>
        <sz val="13"/>
        <color theme="1"/>
        <rFont val="Times New Roman"/>
        <family val="2"/>
        <charset val="163"/>
      </rPr>
      <t xml:space="preserve"> trung bình, </t>
    </r>
  </si>
  <si>
    <t>Nền đất tính toán:</t>
  </si>
  <si>
    <r>
      <t>z</t>
    </r>
    <r>
      <rPr>
        <vertAlign val="subscript"/>
        <sz val="13"/>
        <color theme="1"/>
        <rFont val="Times New Roman"/>
        <family val="1"/>
      </rPr>
      <t>i</t>
    </r>
  </si>
  <si>
    <r>
      <t>Σ(h</t>
    </r>
    <r>
      <rPr>
        <b/>
        <vertAlign val="subscript"/>
        <sz val="13"/>
        <color theme="1"/>
        <rFont val="Times New Roman"/>
        <family val="1"/>
      </rPr>
      <t>i</t>
    </r>
    <r>
      <rPr>
        <b/>
        <sz val="13"/>
        <color theme="1"/>
        <rFont val="Times New Roman"/>
        <family val="1"/>
      </rPr>
      <t>.N</t>
    </r>
    <r>
      <rPr>
        <b/>
        <vertAlign val="superscript"/>
        <sz val="13"/>
        <color theme="1"/>
        <rFont val="Times New Roman"/>
        <family val="1"/>
      </rPr>
      <t>i</t>
    </r>
    <r>
      <rPr>
        <b/>
        <vertAlign val="subscript"/>
        <sz val="13"/>
        <color theme="1"/>
        <rFont val="Times New Roman"/>
        <family val="1"/>
      </rPr>
      <t>SPT</t>
    </r>
    <r>
      <rPr>
        <b/>
        <sz val="13"/>
        <color theme="1"/>
        <rFont val="Times New Roman"/>
        <family val="1"/>
      </rPr>
      <t>)</t>
    </r>
  </si>
  <si>
    <t>Nhập giá trị NSPT của các trụ hố khoan khảo sát của công trình</t>
  </si>
  <si>
    <t>Thuyết minh tính toán nhận dạng nền đất</t>
  </si>
  <si>
    <r>
      <t>(2) Nền đất cần được phân loại theo giá trị của vận tốc sóng cắt trung bình v</t>
    </r>
    <r>
      <rPr>
        <b/>
        <vertAlign val="subscript"/>
        <sz val="13"/>
        <color theme="1"/>
        <rFont val="Times New Roman"/>
        <family val="1"/>
      </rPr>
      <t>s,30</t>
    </r>
    <r>
      <rPr>
        <b/>
        <sz val="13"/>
        <color theme="1"/>
        <rFont val="Times New Roman"/>
        <family val="1"/>
      </rPr>
      <t xml:space="preserve"> (m/s) nếu có giá trị này. Nếu không, có thể dùng giá trị N</t>
    </r>
    <r>
      <rPr>
        <b/>
        <vertAlign val="subscript"/>
        <sz val="13"/>
        <color theme="1"/>
        <rFont val="Times New Roman"/>
        <family val="1"/>
      </rPr>
      <t>SPT</t>
    </r>
  </si>
  <si>
    <t>BH2-5</t>
  </si>
  <si>
    <t>BH2-6</t>
  </si>
  <si>
    <t>BH2-7</t>
  </si>
  <si>
    <t>BH2-4</t>
  </si>
  <si>
    <t>BH2-2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</si>
</sst>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43" x14ac:knownFonts="1">
    <font>
      <sz val="11"/>
      <color theme="1"/>
      <name val="Times New Roman"/>
      <family val="2"/>
      <charset val="163"/>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charset val="163"/>
    </font>
    <font>
      <sz val="11"/>
      <color rgb="FFFF0000"/>
      <name val="Times New Roman"/>
      <family val="1"/>
      <charset val="163"/>
    </font>
    <font>
      <sz val="11"/>
      <name val="Times New Roman"/>
      <family val="1"/>
      <charset val="163"/>
    </font>
    <font>
      <sz val="11"/>
      <color rgb="FF0000CC"/>
      <name val="Times New Roman"/>
      <family val="1"/>
      <charset val="163"/>
    </font>
    <font>
      <u/>
      <sz val="11"/>
      <color theme="10"/>
      <name val="Times New Roman"/>
      <family val="2"/>
      <charset val="163"/>
    </font>
    <font>
      <b/>
      <sz val="12"/>
      <color theme="1"/>
      <name val="Times New Roman"/>
      <family val="1"/>
    </font>
    <font>
      <b/>
      <i/>
      <sz val="11"/>
      <color theme="1"/>
      <name val="Times New Roman"/>
      <family val="1"/>
    </font>
    <font>
      <b/>
      <sz val="13"/>
      <color rgb="FFFF0000"/>
      <name val="Times New Roman"/>
      <family val="1"/>
    </font>
    <font>
      <b/>
      <sz val="13"/>
      <color theme="1"/>
      <name val="Times New Roman"/>
      <family val="1"/>
    </font>
    <font>
      <i/>
      <sz val="13"/>
      <color theme="1"/>
      <name val="Times New Roman"/>
      <family val="1"/>
    </font>
    <font>
      <vertAlign val="subscript"/>
      <sz val="13"/>
      <color theme="1"/>
      <name val="Times New Roman"/>
      <family val="1"/>
    </font>
    <font>
      <b/>
      <sz val="13"/>
      <color rgb="FF0000CC"/>
      <name val="Times New Roman"/>
      <family val="1"/>
    </font>
    <font>
      <sz val="13"/>
      <color theme="1"/>
      <name val="Times New Roman"/>
      <family val="2"/>
      <charset val="163"/>
    </font>
    <font>
      <b/>
      <vertAlign val="subscript"/>
      <sz val="13"/>
      <color theme="1"/>
      <name val="Times New Roman"/>
      <family val="1"/>
    </font>
    <font>
      <b/>
      <sz val="18"/>
      <color theme="1"/>
      <name val="Times New Roman"/>
      <family val="1"/>
    </font>
    <font>
      <b/>
      <vertAlign val="subscript"/>
      <sz val="18"/>
      <color theme="1"/>
      <name val="Times New Roman"/>
      <family val="1"/>
    </font>
    <font>
      <b/>
      <vertAlign val="superscript"/>
      <sz val="13"/>
      <color theme="1"/>
      <name val="Times New Roman"/>
      <family val="1"/>
    </font>
  </fonts>
  <fills count="3">
    <fill>
      <patternFill patternType="none"/>
    </fill>
    <fill>
      <patternFill patternType="gray125"/>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27">
    <xf numFmtId="0" fontId="0" fillId="0" borderId="0"/>
    <xf numFmtId="0" fontId="30" fillId="0" borderId="0" applyNumberFormat="0" applyFill="0" applyBorder="0" applyAlignment="0" applyProtection="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18" fillId="0" borderId="0"/>
    <xf numFmtId="0" fontId="1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4" fillId="0" borderId="0"/>
    <xf numFmtId="0" fontId="3" fillId="0" borderId="0"/>
    <xf numFmtId="0" fontId="2" fillId="0" borderId="0"/>
    <xf numFmtId="0" fontId="1" fillId="0" borderId="0"/>
  </cellStyleXfs>
  <cellXfs count="30">
    <xf numFmtId="0" fontId="0" fillId="0" borderId="0" xfId="0"/>
    <xf numFmtId="0" fontId="26" fillId="0" borderId="0" xfId="0" applyFont="1"/>
    <xf numFmtId="0" fontId="27" fillId="0" borderId="0" xfId="0" applyFont="1"/>
    <xf numFmtId="0" fontId="29" fillId="0" borderId="0" xfId="0" applyFont="1"/>
    <xf numFmtId="0" fontId="30" fillId="0" borderId="0" xfId="1"/>
    <xf numFmtId="0" fontId="31" fillId="0" borderId="0" xfId="0" applyFont="1"/>
    <xf numFmtId="0" fontId="32" fillId="0" borderId="0" xfId="0" applyFont="1" applyAlignment="1">
      <alignment horizontal="left"/>
    </xf>
    <xf numFmtId="0" fontId="34" fillId="0" borderId="0" xfId="0" applyFont="1"/>
    <xf numFmtId="0" fontId="35" fillId="0" borderId="0" xfId="0" applyFont="1"/>
    <xf numFmtId="164" fontId="37" fillId="0" borderId="0" xfId="0" applyNumberFormat="1" applyFont="1" applyAlignment="1">
      <alignment horizontal="center" vertical="center"/>
    </xf>
    <xf numFmtId="0" fontId="33" fillId="0" borderId="1" xfId="0" applyFont="1" applyBorder="1" applyAlignment="1">
      <alignment horizontal="center" vertical="center"/>
    </xf>
    <xf numFmtId="0" fontId="38" fillId="0" borderId="0" xfId="0" applyFont="1"/>
    <xf numFmtId="0" fontId="34" fillId="0" borderId="0" xfId="0" applyFont="1" applyAlignment="1">
      <alignment horizontal="right"/>
    </xf>
    <xf numFmtId="0" fontId="34" fillId="0" borderId="2" xfId="0" applyFont="1" applyBorder="1" applyAlignment="1">
      <alignment horizontal="center"/>
    </xf>
    <xf numFmtId="0" fontId="34" fillId="0" borderId="0" xfId="0" applyFont="1" applyAlignment="1">
      <alignment horizontal="center" vertical="center"/>
    </xf>
    <xf numFmtId="0" fontId="33" fillId="0" borderId="0" xfId="0" applyFont="1" applyAlignment="1">
      <alignment horizontal="center" vertical="center"/>
    </xf>
    <xf numFmtId="0" fontId="38" fillId="0" borderId="1" xfId="0" applyFont="1" applyBorder="1" applyAlignment="1">
      <alignment horizontal="center" vertical="center"/>
    </xf>
    <xf numFmtId="0" fontId="35" fillId="0" borderId="1" xfId="0" applyFont="1" applyBorder="1" applyAlignment="1">
      <alignment horizontal="center" vertical="center"/>
    </xf>
    <xf numFmtId="164" fontId="38" fillId="0" borderId="1" xfId="0" applyNumberFormat="1" applyFont="1" applyBorder="1" applyAlignment="1">
      <alignment horizontal="center" vertical="center"/>
    </xf>
    <xf numFmtId="0" fontId="37" fillId="0" borderId="1" xfId="0" applyFont="1" applyBorder="1" applyAlignment="1">
      <alignment horizontal="center" vertical="center"/>
    </xf>
    <xf numFmtId="0" fontId="37" fillId="2" borderId="1" xfId="0" applyFont="1" applyFill="1" applyBorder="1" applyAlignment="1">
      <alignment horizontal="center" vertical="center"/>
    </xf>
    <xf numFmtId="164" fontId="33" fillId="0" borderId="0" xfId="0" applyNumberFormat="1" applyFont="1" applyAlignment="1">
      <alignment horizontal="center" vertical="center"/>
    </xf>
    <xf numFmtId="1" fontId="37" fillId="2" borderId="1" xfId="0" applyNumberFormat="1" applyFont="1" applyFill="1" applyBorder="1" applyAlignment="1">
      <alignment horizontal="center" vertical="center"/>
    </xf>
    <xf numFmtId="0" fontId="28" fillId="0" borderId="0" xfId="0" applyFont="1" applyFill="1"/>
    <xf numFmtId="0" fontId="38" fillId="0" borderId="1" xfId="0" applyFont="1" applyBorder="1" applyAlignment="1">
      <alignment horizontal="center" vertical="center"/>
    </xf>
    <xf numFmtId="0" fontId="38" fillId="0" borderId="0" xfId="0" applyFont="1" applyAlignment="1">
      <alignment horizontal="left" vertical="center" wrapText="1"/>
    </xf>
    <xf numFmtId="0" fontId="40" fillId="2" borderId="1" xfId="0" applyFont="1" applyFill="1" applyBorder="1" applyAlignment="1">
      <alignment horizontal="center" vertical="center"/>
    </xf>
    <xf numFmtId="0" fontId="35" fillId="0" borderId="1" xfId="0" applyFont="1" applyBorder="1" applyAlignment="1">
      <alignment horizontal="center" vertical="center"/>
    </xf>
    <xf numFmtId="0" fontId="34" fillId="0" borderId="0" xfId="0" applyFont="1" applyAlignment="1">
      <alignment horizontal="left" vertical="center" wrapText="1"/>
    </xf>
    <xf numFmtId="0" fontId="34" fillId="0" borderId="0" xfId="0" applyFont="1" applyAlignment="1">
      <alignment horizontal="right" vertical="center"/>
    </xf>
  </cellXfs>
  <cellStyles count="27">
    <cellStyle name="Hyperlink" xfId="1" builtinId="8"/>
    <cellStyle name="Normal" xfId="0" builtinId="0"/>
    <cellStyle name="Normal 10" xfId="10"/>
    <cellStyle name="Normal 11" xfId="11"/>
    <cellStyle name="Normal 12" xfId="12"/>
    <cellStyle name="Normal 13" xfId="13"/>
    <cellStyle name="Normal 14" xfId="14"/>
    <cellStyle name="Normal 15" xfId="15"/>
    <cellStyle name="Normal 16" xfId="16"/>
    <cellStyle name="Normal 17" xfId="17"/>
    <cellStyle name="Normal 18" xfId="18"/>
    <cellStyle name="Normal 19" xfId="19"/>
    <cellStyle name="Normal 2" xfId="2"/>
    <cellStyle name="Normal 20" xfId="20"/>
    <cellStyle name="Normal 21" xfId="21"/>
    <cellStyle name="Normal 22" xfId="22"/>
    <cellStyle name="Normal 23" xfId="23"/>
    <cellStyle name="Normal 24" xfId="24"/>
    <cellStyle name="Normal 25" xfId="25"/>
    <cellStyle name="Normal 26" xfId="26"/>
    <cellStyle name="Normal 3" xfId="3"/>
    <cellStyle name="Normal 4" xfId="4"/>
    <cellStyle name="Normal 5" xfId="5"/>
    <cellStyle name="Normal 6" xfId="6"/>
    <cellStyle name="Normal 7" xfId="7"/>
    <cellStyle name="Normal 8" xfId="8"/>
    <cellStyle name="Normal 9" xfId="9"/>
  </cellStyles>
  <dxfs count="0"/>
  <tableStyles count="0" defaultTableStyle="TableStyleMedium2" defaultPivotStyle="PivotStyleLight16"/>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vi-VN"/>
              <a:t>Giá</a:t>
            </a:r>
            <a:r>
              <a:rPr lang="vi-VN" baseline="0"/>
              <a:t> trị SPT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857647715295436"/>
          <c:y val="7.7331668164303452E-2"/>
          <c:w val="0.65386915264354495"/>
          <c:h val="0.89187989635950304"/>
        </c:manualLayout>
      </c:layout>
      <c:scatterChart>
        <c:scatterStyle val="smoothMarker"/>
        <c:varyColors val="0"/>
        <c:ser>
          <c:idx val="1"/>
          <c:order val="0"/>
          <c:tx>
            <c:v>SPT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NhanDangNenDat!$E$57:$E$72</c:f>
              <c:numCache>
                <c:formatCode>General</c:formatCode>
                <c:ptCount val="16"/>
                <c:pt idx="0">
                  <c:v>0</c:v>
                </c:pt>
                <c:pt idx="1">
                  <c:v>13</c:v>
                </c:pt>
                <c:pt idx="2">
                  <c:v>13</c:v>
                </c:pt>
                <c:pt idx="3">
                  <c:v>15</c:v>
                </c:pt>
                <c:pt idx="4">
                  <c:v>5</c:v>
                </c:pt>
                <c:pt idx="5">
                  <c:v>5</c:v>
                </c:pt>
                <c:pt idx="6">
                  <c:v>17</c:v>
                </c:pt>
                <c:pt idx="7">
                  <c:v>11</c:v>
                </c:pt>
                <c:pt idx="8">
                  <c:v>11</c:v>
                </c:pt>
                <c:pt idx="9">
                  <c:v>15</c:v>
                </c:pt>
                <c:pt idx="10">
                  <c:v>15</c:v>
                </c:pt>
                <c:pt idx="11">
                  <c:v>14</c:v>
                </c:pt>
                <c:pt idx="12">
                  <c:v>24</c:v>
                </c:pt>
                <c:pt idx="13">
                  <c:v>41</c:v>
                </c:pt>
                <c:pt idx="14">
                  <c:v>35</c:v>
                </c:pt>
                <c:pt idx="15">
                  <c:v>29</c:v>
                </c:pt>
              </c:numCache>
            </c:numRef>
          </c:xVal>
          <c:yVal>
            <c:numRef>
              <c:f>NhanDangNenDat!$C$57:$C$72</c:f>
              <c:numCache>
                <c:formatCode>0.000</c:formatCode>
                <c:ptCount val="16"/>
                <c:pt idx="0">
                  <c:v>-0.75</c:v>
                </c:pt>
                <c:pt idx="1">
                  <c:v>-2.75</c:v>
                </c:pt>
                <c:pt idx="2">
                  <c:v>-4.75</c:v>
                </c:pt>
                <c:pt idx="3">
                  <c:v>-6.75</c:v>
                </c:pt>
                <c:pt idx="4">
                  <c:v>-8.75</c:v>
                </c:pt>
                <c:pt idx="5">
                  <c:v>-10.75</c:v>
                </c:pt>
                <c:pt idx="6">
                  <c:v>-12.75</c:v>
                </c:pt>
                <c:pt idx="7">
                  <c:v>-14.75</c:v>
                </c:pt>
                <c:pt idx="8">
                  <c:v>-16.75</c:v>
                </c:pt>
                <c:pt idx="9">
                  <c:v>-18.75</c:v>
                </c:pt>
                <c:pt idx="10">
                  <c:v>-20.75</c:v>
                </c:pt>
                <c:pt idx="11">
                  <c:v>-22.75</c:v>
                </c:pt>
                <c:pt idx="12">
                  <c:v>-24.75</c:v>
                </c:pt>
                <c:pt idx="13">
                  <c:v>-26.75</c:v>
                </c:pt>
                <c:pt idx="14">
                  <c:v>-28.75</c:v>
                </c:pt>
                <c:pt idx="15">
                  <c:v>-30.75</c:v>
                </c:pt>
              </c:numCache>
            </c:numRef>
          </c:yVal>
          <c:smooth val="1"/>
          <c:extLst>
            <c:ext xmlns:c16="http://schemas.microsoft.com/office/drawing/2014/chart" uri="{C3380CC4-5D6E-409C-BE32-E72D297353CC}">
              <c16:uniqueId val="{00000000-22BC-4160-AC76-E0497592D5A4}"/>
            </c:ext>
          </c:extLst>
        </c:ser>
        <c:dLbls>
          <c:showLegendKey val="0"/>
          <c:showVal val="0"/>
          <c:showCatName val="0"/>
          <c:showSerName val="0"/>
          <c:showPercent val="0"/>
          <c:showBubbleSize val="0"/>
        </c:dLbls>
        <c:axId val="684746016"/>
        <c:axId val="684744840"/>
      </c:scatterChart>
      <c:valAx>
        <c:axId val="6847460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744840"/>
        <c:crosses val="autoZero"/>
        <c:crossBetween val="midCat"/>
      </c:valAx>
      <c:valAx>
        <c:axId val="68474484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746016"/>
        <c:crosses val="autoZero"/>
        <c:crossBetween val="midCat"/>
      </c:valAx>
      <c:spPr>
        <a:solidFill>
          <a:schemeClr val="accent6">
            <a:lumMod val="60000"/>
            <a:lumOff val="40000"/>
            <a:alpha val="51000"/>
          </a:schemeClr>
        </a:solidFill>
        <a:ln>
          <a:noFill/>
        </a:ln>
        <a:effectLst/>
      </c:spPr>
    </c:plotArea>
    <c:legend>
      <c:legendPos val="b"/>
      <c:layout>
        <c:manualLayout>
          <c:xMode val="edge"/>
          <c:yMode val="edge"/>
          <c:x val="0.80439250211833757"/>
          <c:y val="0.38504362630346889"/>
          <c:w val="0.19560740526163325"/>
          <c:h val="0.196662083906178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11</xdr:row>
      <xdr:rowOff>19050</xdr:rowOff>
    </xdr:from>
    <xdr:to>
      <xdr:col>6</xdr:col>
      <xdr:colOff>828675</xdr:colOff>
      <xdr:row>32</xdr:row>
      <xdr:rowOff>169255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857250" y="2076450"/>
          <a:ext cx="5057775" cy="4950805"/>
        </a:xfrm>
        <a:prstGeom prst="rect">
          <a:avLst/>
        </a:prstGeom>
      </xdr:spPr>
    </xdr:pic>
    <xdr:clientData/>
  </xdr:twoCellAnchor>
  <xdr:twoCellAnchor>
    <xdr:from>
      <xdr:col>2</xdr:col>
      <xdr:colOff>349250</xdr:colOff>
      <xdr:row>38</xdr:row>
      <xdr:rowOff>127000</xdr:rowOff>
    </xdr:from>
    <xdr:to>
      <xdr:col>2</xdr:col>
      <xdr:colOff>535214</xdr:colOff>
      <xdr:row>38</xdr:row>
      <xdr:rowOff>127000</xdr:rowOff>
    </xdr:to>
    <xdr:cxnSp macro="">
      <xdr:nvCxnSpPr>
        <xdr:cNvPr id="6" name="Straight Connector 5"/>
        <xdr:cNvCxnSpPr/>
      </xdr:nvCxnSpPr>
      <xdr:spPr>
        <a:xfrm>
          <a:off x="2045607" y="8291286"/>
          <a:ext cx="185964" cy="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66675</xdr:colOff>
      <xdr:row>50</xdr:row>
      <xdr:rowOff>57150</xdr:rowOff>
    </xdr:from>
    <xdr:to>
      <xdr:col>7</xdr:col>
      <xdr:colOff>790575</xdr:colOff>
      <xdr:row>71</xdr:row>
      <xdr:rowOff>180975</xdr:rowOff>
    </xdr:to>
    <xdr:graphicFrame macro="">
      <xdr:nvGraphicFramePr>
        <xdr:cNvPr id="7" name="Chart 6">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I22"/>
  <sheetViews>
    <sheetView workbookViewId="0">
      <selection activeCell="I21" sqref="I21"/>
    </sheetView>
  </sheetViews>
  <sheetFormatPr defaultRowHeight="15" x14ac:dyDescent="0.25"/>
  <cols>
    <col min="3" max="3" width="17" customWidth="1"/>
  </cols>
  <sheetData>
    <row r="1" spans="2:9" ht="15.75" x14ac:dyDescent="0.25">
      <c r="H1" s="5" t="s">
        <v>4</v>
      </c>
      <c r="I1" s="2" t="s">
        <v>0</v>
      </c>
    </row>
    <row r="2" spans="2:9" x14ac:dyDescent="0.25">
      <c r="I2" s="3" t="s">
        <v>1</v>
      </c>
    </row>
    <row r="3" spans="2:9" x14ac:dyDescent="0.25">
      <c r="I3" s="1" t="s">
        <v>2</v>
      </c>
    </row>
    <row r="4" spans="2:9" x14ac:dyDescent="0.25">
      <c r="I4" s="23"/>
    </row>
    <row r="5" spans="2:9" x14ac:dyDescent="0.25">
      <c r="B5" s="6" t="s">
        <v>3</v>
      </c>
      <c r="C5" s="1"/>
    </row>
    <row r="6" spans="2:9" x14ac:dyDescent="0.25">
      <c r="B6" s="1"/>
      <c r="C6" s="4" t="str">
        <f ca="1">HYPERLINK("["&amp;Work_book&amp;"]'"&amp;IF(ROW(2:2)&gt;num,"",INDEX(all,1,ROW(2:2)))&amp;"'!A1",IF(ROW(2:2)&gt;num,"",INDEX(all,1,ROW(2:2))))</f>
        <v>TruDiaChat-N</v>
      </c>
      <c r="D6" t="s">
        <v>43</v>
      </c>
    </row>
    <row r="7" spans="2:9" x14ac:dyDescent="0.25">
      <c r="B7" s="1"/>
      <c r="C7" s="4" t="str">
        <f ca="1">HYPERLINK("["&amp;Work_book&amp;"]'"&amp;IF(ROW(3:3)&gt;num,"",INDEX(all,1,ROW(3:3)))&amp;"'!A1",IF(ROW(3:3)&gt;num,"",INDEX(all,1,ROW(3:3))))</f>
        <v>NhanDangNenDat</v>
      </c>
      <c r="D7" t="s">
        <v>44</v>
      </c>
    </row>
    <row r="8" spans="2:9" x14ac:dyDescent="0.25">
      <c r="B8" s="1"/>
      <c r="C8" s="4" t="str">
        <f ca="1">HYPERLINK("["&amp;Work_book&amp;"]'"&amp;IF(ROW(4:4)&gt;num,"",INDEX(all,1,ROW(4:4)))&amp;"'!A1",IF(ROW(4:4)&gt;num,"",INDEX(all,1,ROW(4:4))))</f>
        <v/>
      </c>
    </row>
    <row r="9" spans="2:9" x14ac:dyDescent="0.25">
      <c r="B9" s="1"/>
      <c r="C9" s="4" t="str">
        <f ca="1">HYPERLINK("["&amp;Work_book&amp;"]'"&amp;IF(ROW(5:5)&gt;num,"",INDEX(all,1,ROW(5:5)))&amp;"'!A1",IF(ROW(5:5)&gt;num,"",INDEX(all,1,ROW(5:5))))</f>
        <v/>
      </c>
    </row>
    <row r="10" spans="2:9" x14ac:dyDescent="0.25">
      <c r="B10" s="1"/>
      <c r="C10" s="4" t="str">
        <f ca="1">HYPERLINK("["&amp;Work_book&amp;"]'"&amp;IF(ROW(6:6)&gt;num,"",INDEX(all,1,ROW(6:6)))&amp;"'!A1",IF(ROW(6:6)&gt;num,"",INDEX(all,1,ROW(6:6))))</f>
        <v/>
      </c>
    </row>
    <row r="11" spans="2:9" x14ac:dyDescent="0.25">
      <c r="B11" s="1"/>
      <c r="C11" s="4" t="str">
        <f ca="1">HYPERLINK("["&amp;Work_book&amp;"]'"&amp;IF(ROW(7:7)&gt;num,"",INDEX(all,1,ROW(7:7)))&amp;"'!A1",IF(ROW(7:7)&gt;num,"",INDEX(all,1,ROW(7:7))))</f>
        <v/>
      </c>
    </row>
    <row r="12" spans="2:9" x14ac:dyDescent="0.25">
      <c r="B12" s="1"/>
      <c r="C12" s="4" t="str">
        <f ca="1">HYPERLINK("["&amp;Work_book&amp;"]'"&amp;IF(ROW(8:8)&gt;num,"",INDEX(all,1,ROW(8:8)))&amp;"'!A1",IF(ROW(8:8)&gt;num,"",INDEX(all,1,ROW(8:8))))</f>
        <v/>
      </c>
    </row>
    <row r="13" spans="2:9" x14ac:dyDescent="0.25">
      <c r="B13" s="1"/>
      <c r="C13" s="4" t="str">
        <f ca="1">HYPERLINK("["&amp;Work_book&amp;"]'"&amp;IF(ROW(9:9)&gt;num,"",INDEX(all,1,ROW(9:9)))&amp;"'!A1",IF(ROW(9:9)&gt;num,"",INDEX(all,1,ROW(9:9))))</f>
        <v/>
      </c>
    </row>
    <row r="14" spans="2:9" x14ac:dyDescent="0.25">
      <c r="B14" s="1"/>
      <c r="C14" s="4" t="str">
        <f ca="1">HYPERLINK("["&amp;Work_book&amp;"]'"&amp;IF(ROW(10:10)&gt;num,"",INDEX(all,1,ROW(10:10)))&amp;"'!A1",IF(ROW(10:10)&gt;num,"",INDEX(all,1,ROW(10:10))))</f>
        <v/>
      </c>
    </row>
    <row r="15" spans="2:9" x14ac:dyDescent="0.25">
      <c r="B15" s="1"/>
      <c r="C15" s="4" t="str">
        <f ca="1">HYPERLINK("["&amp;Work_book&amp;"]'"&amp;IF(ROW(11:11)&gt;num,"",INDEX(all,1,ROW(11:11)))&amp;"'!A1",IF(ROW(11:11)&gt;num,"",INDEX(all,1,ROW(11:11))))</f>
        <v/>
      </c>
    </row>
    <row r="16" spans="2:9" x14ac:dyDescent="0.25">
      <c r="B16" s="1"/>
      <c r="C16" s="4" t="str">
        <f ca="1">HYPERLINK("["&amp;Work_book&amp;"]'"&amp;IF(ROW(12:12)&gt;num,"",INDEX(all,1,ROW(12:12)))&amp;"'!A1",IF(ROW(12:12)&gt;num,"",INDEX(all,1,ROW(12:12))))</f>
        <v/>
      </c>
    </row>
    <row r="17" spans="2:3" x14ac:dyDescent="0.25">
      <c r="B17" s="1"/>
      <c r="C17" s="4" t="str">
        <f ca="1">HYPERLINK("["&amp;Work_book&amp;"]'"&amp;IF(ROW(13:13)&gt;num,"",INDEX(all,1,ROW(13:13)))&amp;"'!A1",IF(ROW(13:13)&gt;num,"",INDEX(all,1,ROW(13:13))))</f>
        <v/>
      </c>
    </row>
    <row r="18" spans="2:3" x14ac:dyDescent="0.25">
      <c r="C18" s="4" t="str">
        <f ca="1">HYPERLINK("["&amp;Work_book&amp;"]'"&amp;IF(ROW(14:14)&gt;num,"",INDEX(all,1,ROW(14:14)))&amp;"'!A1",IF(ROW(14:14)&gt;num,"",INDEX(all,1,ROW(14:14))))</f>
        <v/>
      </c>
    </row>
    <row r="19" spans="2:3" x14ac:dyDescent="0.25">
      <c r="C19" s="4" t="str">
        <f ca="1">HYPERLINK("["&amp;Work_book&amp;"]'"&amp;IF(ROW(15:15)&gt;num,"",INDEX(all,1,ROW(15:15)))&amp;"'!A1",IF(ROW(15:15)&gt;num,"",INDEX(all,1,ROW(15:15))))</f>
        <v/>
      </c>
    </row>
    <row r="20" spans="2:3" x14ac:dyDescent="0.25">
      <c r="C20" s="4" t="str">
        <f ca="1">HYPERLINK("["&amp;Work_book&amp;"]'"&amp;IF(ROW(16:16)&gt;num,"",INDEX(all,1,ROW(16:16)))&amp;"'!A1",IF(ROW(16:16)&gt;num,"",INDEX(all,1,ROW(16:16))))</f>
        <v/>
      </c>
    </row>
    <row r="21" spans="2:3" x14ac:dyDescent="0.25">
      <c r="C21" s="4" t="str">
        <f ca="1">HYPERLINK("["&amp;Work_book&amp;"]'"&amp;IF(ROW(17:17)&gt;num,"",INDEX(all,1,ROW(17:17)))&amp;"'!A1",IF(ROW(17:17)&gt;num,"",INDEX(all,1,ROW(17:17))))</f>
        <v/>
      </c>
    </row>
    <row r="22" spans="2:3" x14ac:dyDescent="0.25">
      <c r="C22" s="4" t="str">
        <f ca="1">HYPERLINK("["&amp;Work_book&amp;"]'"&amp;IF(ROW(18:18)&gt;num,"",INDEX(all,1,ROW(18:18)))&amp;"'!A1",IF(ROW(18:18)&gt;num,"",INDEX(all,1,ROW(18:18))))</f>
        <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O35"/>
  <sheetViews>
    <sheetView workbookViewId="0">
      <selection activeCell="H19" sqref="H19"/>
    </sheetView>
  </sheetViews>
  <sheetFormatPr defaultColWidth="12.7109375" defaultRowHeight="18" customHeight="1" x14ac:dyDescent="0.25"/>
  <cols>
    <col min="1" max="16384" width="12.7109375" style="11"/>
  </cols>
  <sheetData>
    <row r="2" spans="2:15" ht="18" customHeight="1" x14ac:dyDescent="0.25">
      <c r="B2" s="16" t="s">
        <v>24</v>
      </c>
      <c r="C2" s="24" t="s">
        <v>28</v>
      </c>
      <c r="D2" s="24"/>
      <c r="E2" s="24"/>
      <c r="F2" s="24"/>
      <c r="G2" s="24"/>
      <c r="H2" s="24"/>
      <c r="I2" s="24"/>
      <c r="J2" s="24"/>
      <c r="K2" s="24"/>
      <c r="L2" s="24"/>
      <c r="M2" s="24"/>
      <c r="N2" s="24"/>
      <c r="O2" s="24"/>
    </row>
    <row r="3" spans="2:15" ht="18" customHeight="1" x14ac:dyDescent="0.25">
      <c r="B3" s="16" t="s">
        <v>41</v>
      </c>
      <c r="C3" s="24"/>
      <c r="D3" s="24"/>
      <c r="E3" s="24"/>
      <c r="F3" s="24"/>
      <c r="G3" s="24"/>
      <c r="H3" s="24"/>
      <c r="I3" s="24"/>
      <c r="J3" s="24"/>
      <c r="K3" s="24"/>
      <c r="L3" s="24"/>
      <c r="M3" s="24"/>
      <c r="N3" s="24"/>
      <c r="O3" s="24"/>
    </row>
    <row r="4" spans="2:15" ht="18" customHeight="1" x14ac:dyDescent="0.25">
      <c r="B4" s="17" t="s">
        <v>7</v>
      </c>
      <c r="C4" s="10" t="s">
        <v>46</v>
      </c>
      <c r="D4" s="10" t="s">
        <v>47</v>
      </c>
      <c r="E4" s="10" t="s">
        <v>48</v>
      </c>
      <c r="F4" s="10" t="s">
        <v>49</v>
      </c>
      <c r="G4" s="10" t="s">
        <v>50</v>
      </c>
      <c r="H4" s="10" t="s">
        <v>29</v>
      </c>
      <c r="I4" s="10" t="s">
        <v>30</v>
      </c>
      <c r="J4" s="10" t="s">
        <v>31</v>
      </c>
      <c r="K4" s="10" t="s">
        <v>32</v>
      </c>
      <c r="L4" s="10" t="s">
        <v>33</v>
      </c>
      <c r="M4" s="10" t="s">
        <v>34</v>
      </c>
      <c r="N4" s="10" t="s">
        <v>35</v>
      </c>
      <c r="O4" s="10" t="s">
        <v>36</v>
      </c>
    </row>
    <row r="5" spans="2:15" ht="18" customHeight="1" x14ac:dyDescent="0.25">
      <c r="B5" s="16">
        <v>0</v>
      </c>
      <c r="C5" s="16">
        <v>0</v>
      </c>
      <c r="D5" s="16">
        <v>0</v>
      </c>
      <c r="E5" s="16">
        <v>0</v>
      </c>
      <c r="F5" s="16">
        <v>0</v>
      </c>
      <c r="G5" s="16">
        <v>0</v>
      </c>
      <c r="H5" s="16"/>
      <c r="I5" s="16"/>
      <c r="J5" s="16"/>
      <c r="K5" s="16"/>
      <c r="L5" s="16"/>
      <c r="M5" s="16"/>
      <c r="N5" s="16"/>
      <c r="O5" s="16"/>
    </row>
    <row r="6" spans="2:15" ht="18" customHeight="1" x14ac:dyDescent="0.25">
      <c r="B6" s="16">
        <v>2</v>
      </c>
      <c r="C6" s="16">
        <v>14</v>
      </c>
      <c r="D6" s="16">
        <v>11</v>
      </c>
      <c r="E6" s="16">
        <v>11</v>
      </c>
      <c r="F6" s="16">
        <v>11</v>
      </c>
      <c r="G6" s="16">
        <v>13</v>
      </c>
      <c r="H6" s="16"/>
      <c r="I6" s="16"/>
      <c r="J6" s="16"/>
      <c r="K6" s="16"/>
      <c r="L6" s="16"/>
      <c r="M6" s="16"/>
      <c r="N6" s="16"/>
      <c r="O6" s="16"/>
    </row>
    <row r="7" spans="2:15" ht="18" customHeight="1" x14ac:dyDescent="0.25">
      <c r="B7" s="16">
        <v>4</v>
      </c>
      <c r="C7" s="16">
        <v>14</v>
      </c>
      <c r="D7" s="16">
        <v>11</v>
      </c>
      <c r="E7" s="16">
        <v>11</v>
      </c>
      <c r="F7" s="16">
        <v>11</v>
      </c>
      <c r="G7" s="16">
        <v>13</v>
      </c>
      <c r="H7" s="16"/>
      <c r="I7" s="16"/>
      <c r="J7" s="16"/>
      <c r="K7" s="16"/>
      <c r="L7" s="16"/>
      <c r="M7" s="16"/>
      <c r="N7" s="16"/>
      <c r="O7" s="16"/>
    </row>
    <row r="8" spans="2:15" ht="18" customHeight="1" x14ac:dyDescent="0.25">
      <c r="B8" s="16">
        <v>6</v>
      </c>
      <c r="C8" s="16">
        <v>14</v>
      </c>
      <c r="D8" s="16">
        <v>15</v>
      </c>
      <c r="E8" s="16">
        <v>15</v>
      </c>
      <c r="F8" s="16">
        <v>14</v>
      </c>
      <c r="G8" s="16">
        <v>15</v>
      </c>
      <c r="H8" s="16"/>
      <c r="I8" s="16"/>
      <c r="J8" s="16"/>
      <c r="K8" s="16"/>
      <c r="L8" s="16"/>
      <c r="M8" s="16"/>
      <c r="N8" s="16"/>
      <c r="O8" s="16"/>
    </row>
    <row r="9" spans="2:15" ht="18" customHeight="1" x14ac:dyDescent="0.25">
      <c r="B9" s="16">
        <v>8</v>
      </c>
      <c r="C9" s="16">
        <v>4</v>
      </c>
      <c r="D9" s="16">
        <v>5</v>
      </c>
      <c r="E9" s="16">
        <v>5</v>
      </c>
      <c r="F9" s="16">
        <v>5</v>
      </c>
      <c r="G9" s="16">
        <v>5</v>
      </c>
      <c r="H9" s="16"/>
      <c r="I9" s="16"/>
      <c r="J9" s="16"/>
      <c r="K9" s="16"/>
      <c r="L9" s="16"/>
      <c r="M9" s="16"/>
      <c r="N9" s="16"/>
      <c r="O9" s="16"/>
    </row>
    <row r="10" spans="2:15" ht="18" customHeight="1" x14ac:dyDescent="0.25">
      <c r="B10" s="16">
        <v>10</v>
      </c>
      <c r="C10" s="16">
        <v>4</v>
      </c>
      <c r="D10" s="16">
        <v>5</v>
      </c>
      <c r="E10" s="16">
        <v>5</v>
      </c>
      <c r="F10" s="16">
        <v>5</v>
      </c>
      <c r="G10" s="16">
        <v>5</v>
      </c>
      <c r="H10" s="16"/>
      <c r="I10" s="16"/>
      <c r="J10" s="16"/>
      <c r="K10" s="16"/>
      <c r="L10" s="16"/>
      <c r="M10" s="16"/>
      <c r="N10" s="16"/>
      <c r="O10" s="16"/>
    </row>
    <row r="11" spans="2:15" ht="18" customHeight="1" x14ac:dyDescent="0.25">
      <c r="B11" s="16">
        <v>12</v>
      </c>
      <c r="C11" s="16">
        <v>15</v>
      </c>
      <c r="D11" s="16">
        <v>18</v>
      </c>
      <c r="E11" s="16">
        <v>17</v>
      </c>
      <c r="F11" s="16">
        <v>17</v>
      </c>
      <c r="G11" s="16">
        <v>17</v>
      </c>
      <c r="H11" s="16"/>
      <c r="I11" s="16"/>
      <c r="J11" s="16"/>
      <c r="K11" s="16"/>
      <c r="L11" s="16"/>
      <c r="M11" s="16"/>
      <c r="N11" s="16"/>
      <c r="O11" s="16"/>
    </row>
    <row r="12" spans="2:15" ht="18" customHeight="1" x14ac:dyDescent="0.25">
      <c r="B12" s="16">
        <v>14</v>
      </c>
      <c r="C12" s="16">
        <v>15</v>
      </c>
      <c r="D12" s="16">
        <v>14</v>
      </c>
      <c r="E12" s="16">
        <v>17</v>
      </c>
      <c r="F12" s="16">
        <v>17</v>
      </c>
      <c r="G12" s="16">
        <v>11</v>
      </c>
      <c r="H12" s="16"/>
      <c r="I12" s="16"/>
      <c r="J12" s="16"/>
      <c r="K12" s="16"/>
      <c r="L12" s="16"/>
      <c r="M12" s="16"/>
      <c r="N12" s="16"/>
      <c r="O12" s="16"/>
    </row>
    <row r="13" spans="2:15" ht="18" customHeight="1" x14ac:dyDescent="0.25">
      <c r="B13" s="16">
        <v>16</v>
      </c>
      <c r="C13" s="16">
        <v>15</v>
      </c>
      <c r="D13" s="16">
        <v>14</v>
      </c>
      <c r="E13" s="16">
        <v>13</v>
      </c>
      <c r="F13" s="16">
        <v>11</v>
      </c>
      <c r="G13" s="16">
        <v>11</v>
      </c>
      <c r="H13" s="16"/>
      <c r="I13" s="16"/>
      <c r="J13" s="16"/>
      <c r="K13" s="16"/>
      <c r="L13" s="16"/>
      <c r="M13" s="16"/>
      <c r="N13" s="16"/>
      <c r="O13" s="16"/>
    </row>
    <row r="14" spans="2:15" ht="18" customHeight="1" x14ac:dyDescent="0.25">
      <c r="B14" s="16">
        <v>18</v>
      </c>
      <c r="C14" s="16">
        <v>15</v>
      </c>
      <c r="D14" s="16">
        <v>14</v>
      </c>
      <c r="E14" s="16">
        <v>14</v>
      </c>
      <c r="F14" s="16">
        <v>15</v>
      </c>
      <c r="G14" s="16">
        <v>15</v>
      </c>
      <c r="H14" s="16"/>
      <c r="I14" s="16"/>
      <c r="J14" s="16"/>
      <c r="K14" s="16"/>
      <c r="L14" s="16"/>
      <c r="M14" s="16"/>
      <c r="N14" s="16"/>
      <c r="O14" s="16"/>
    </row>
    <row r="15" spans="2:15" ht="18" customHeight="1" x14ac:dyDescent="0.25">
      <c r="B15" s="16">
        <v>20</v>
      </c>
      <c r="C15" s="16">
        <v>15</v>
      </c>
      <c r="D15" s="16">
        <v>14</v>
      </c>
      <c r="E15" s="16">
        <v>15</v>
      </c>
      <c r="F15" s="16">
        <v>14</v>
      </c>
      <c r="G15" s="16">
        <v>15</v>
      </c>
      <c r="H15" s="16"/>
      <c r="I15" s="16"/>
      <c r="J15" s="16"/>
      <c r="K15" s="16"/>
      <c r="L15" s="16"/>
      <c r="M15" s="16"/>
      <c r="N15" s="16"/>
      <c r="O15" s="16"/>
    </row>
    <row r="16" spans="2:15" ht="18" customHeight="1" x14ac:dyDescent="0.25">
      <c r="B16" s="16">
        <v>22</v>
      </c>
      <c r="C16" s="16">
        <v>14</v>
      </c>
      <c r="D16" s="16">
        <v>14</v>
      </c>
      <c r="E16" s="16">
        <v>16</v>
      </c>
      <c r="F16" s="16">
        <v>14</v>
      </c>
      <c r="G16" s="16">
        <v>14</v>
      </c>
      <c r="H16" s="16"/>
      <c r="I16" s="16"/>
      <c r="J16" s="16"/>
      <c r="K16" s="16"/>
      <c r="L16" s="16"/>
      <c r="M16" s="16"/>
      <c r="N16" s="16"/>
      <c r="O16" s="16"/>
    </row>
    <row r="17" spans="2:15" ht="18" customHeight="1" x14ac:dyDescent="0.25">
      <c r="B17" s="16">
        <v>24</v>
      </c>
      <c r="C17" s="16">
        <v>24</v>
      </c>
      <c r="D17" s="16">
        <v>25</v>
      </c>
      <c r="E17" s="16">
        <v>25</v>
      </c>
      <c r="F17" s="16">
        <v>25</v>
      </c>
      <c r="G17" s="16">
        <v>24</v>
      </c>
      <c r="H17" s="16"/>
      <c r="I17" s="16"/>
      <c r="J17" s="16"/>
      <c r="K17" s="16"/>
      <c r="L17" s="16"/>
      <c r="M17" s="16"/>
      <c r="N17" s="16"/>
      <c r="O17" s="16"/>
    </row>
    <row r="18" spans="2:15" ht="18" customHeight="1" x14ac:dyDescent="0.25">
      <c r="B18" s="16">
        <v>26</v>
      </c>
      <c r="C18" s="16">
        <v>32</v>
      </c>
      <c r="D18" s="16">
        <v>40</v>
      </c>
      <c r="E18" s="16">
        <v>32</v>
      </c>
      <c r="F18" s="16">
        <v>25</v>
      </c>
      <c r="G18" s="16">
        <v>41</v>
      </c>
      <c r="H18" s="16"/>
      <c r="I18" s="16"/>
      <c r="J18" s="16"/>
      <c r="K18" s="16"/>
      <c r="L18" s="16"/>
      <c r="M18" s="16"/>
      <c r="N18" s="16"/>
      <c r="O18" s="16"/>
    </row>
    <row r="19" spans="2:15" ht="18" customHeight="1" x14ac:dyDescent="0.25">
      <c r="B19" s="16">
        <v>28</v>
      </c>
      <c r="C19" s="16">
        <v>29</v>
      </c>
      <c r="D19" s="16">
        <v>26</v>
      </c>
      <c r="E19" s="16">
        <v>47</v>
      </c>
      <c r="F19" s="16">
        <v>35</v>
      </c>
      <c r="G19" s="16">
        <v>35</v>
      </c>
      <c r="H19" s="16"/>
      <c r="I19" s="16"/>
      <c r="J19" s="16"/>
      <c r="K19" s="16"/>
      <c r="L19" s="16"/>
      <c r="M19" s="16"/>
      <c r="N19" s="16"/>
      <c r="O19" s="16"/>
    </row>
    <row r="20" spans="2:15" ht="18" customHeight="1" x14ac:dyDescent="0.25">
      <c r="B20" s="16">
        <v>30</v>
      </c>
      <c r="C20" s="16">
        <v>35</v>
      </c>
      <c r="D20" s="16">
        <v>26</v>
      </c>
      <c r="E20" s="16">
        <v>34</v>
      </c>
      <c r="F20" s="16">
        <v>26</v>
      </c>
      <c r="G20" s="16">
        <v>29</v>
      </c>
      <c r="H20" s="16"/>
      <c r="I20" s="16"/>
      <c r="J20" s="16"/>
      <c r="K20" s="16"/>
      <c r="L20" s="16"/>
      <c r="M20" s="16"/>
      <c r="N20" s="16"/>
      <c r="O20" s="16"/>
    </row>
    <row r="21" spans="2:15" ht="18" hidden="1" customHeight="1" x14ac:dyDescent="0.25">
      <c r="B21" s="16">
        <v>32</v>
      </c>
      <c r="C21" s="16">
        <v>20</v>
      </c>
      <c r="D21" s="16">
        <v>36</v>
      </c>
      <c r="E21" s="16">
        <v>32</v>
      </c>
      <c r="F21" s="16">
        <v>41</v>
      </c>
      <c r="G21" s="16">
        <v>61</v>
      </c>
      <c r="H21" s="16">
        <v>24</v>
      </c>
      <c r="I21" s="16">
        <v>41</v>
      </c>
      <c r="J21" s="16">
        <v>33</v>
      </c>
      <c r="K21" s="16">
        <v>32</v>
      </c>
      <c r="L21" s="16">
        <v>27</v>
      </c>
      <c r="M21" s="16">
        <v>14</v>
      </c>
      <c r="N21" s="16">
        <v>40</v>
      </c>
      <c r="O21" s="16">
        <v>16</v>
      </c>
    </row>
    <row r="22" spans="2:15" ht="18" hidden="1" customHeight="1" x14ac:dyDescent="0.25">
      <c r="B22" s="16">
        <v>34</v>
      </c>
      <c r="C22" s="16">
        <v>37</v>
      </c>
      <c r="D22" s="16">
        <v>43</v>
      </c>
      <c r="E22" s="16">
        <v>38</v>
      </c>
      <c r="F22" s="16">
        <v>38</v>
      </c>
      <c r="G22" s="16">
        <v>55</v>
      </c>
      <c r="H22" s="16">
        <v>36</v>
      </c>
      <c r="I22" s="16">
        <v>39</v>
      </c>
      <c r="J22" s="16">
        <v>34</v>
      </c>
      <c r="K22" s="16">
        <v>32</v>
      </c>
      <c r="L22" s="16">
        <v>28</v>
      </c>
      <c r="M22" s="16">
        <v>35</v>
      </c>
      <c r="N22" s="16">
        <v>51</v>
      </c>
      <c r="O22" s="16">
        <v>15</v>
      </c>
    </row>
    <row r="23" spans="2:15" ht="18" hidden="1" customHeight="1" x14ac:dyDescent="0.25">
      <c r="B23" s="16">
        <v>36</v>
      </c>
      <c r="C23" s="16">
        <v>58</v>
      </c>
      <c r="D23" s="16">
        <v>39</v>
      </c>
      <c r="E23" s="16">
        <v>42</v>
      </c>
      <c r="F23" s="16">
        <v>44</v>
      </c>
      <c r="G23" s="16">
        <v>56</v>
      </c>
      <c r="H23" s="16">
        <v>34</v>
      </c>
      <c r="I23" s="16">
        <v>45</v>
      </c>
      <c r="J23" s="16">
        <v>36</v>
      </c>
      <c r="K23" s="16">
        <v>34</v>
      </c>
      <c r="L23" s="16">
        <v>37</v>
      </c>
      <c r="M23" s="16">
        <v>36</v>
      </c>
      <c r="N23" s="16">
        <v>54</v>
      </c>
      <c r="O23" s="16">
        <v>19</v>
      </c>
    </row>
    <row r="24" spans="2:15" ht="18" hidden="1" customHeight="1" x14ac:dyDescent="0.25">
      <c r="B24" s="16">
        <v>38</v>
      </c>
      <c r="C24" s="16">
        <v>100</v>
      </c>
      <c r="D24" s="16">
        <v>43</v>
      </c>
      <c r="E24" s="16">
        <v>100</v>
      </c>
      <c r="F24" s="16">
        <v>100</v>
      </c>
      <c r="G24" s="16">
        <v>42</v>
      </c>
      <c r="H24" s="16">
        <v>100</v>
      </c>
      <c r="I24" s="16">
        <v>100</v>
      </c>
      <c r="J24" s="16">
        <v>100</v>
      </c>
      <c r="K24" s="16">
        <v>33</v>
      </c>
      <c r="L24" s="16">
        <v>37</v>
      </c>
      <c r="M24" s="16">
        <v>100</v>
      </c>
      <c r="N24" s="16">
        <v>100</v>
      </c>
      <c r="O24" s="16">
        <v>12</v>
      </c>
    </row>
    <row r="25" spans="2:15" ht="18" hidden="1" customHeight="1" x14ac:dyDescent="0.25">
      <c r="B25" s="16">
        <v>40</v>
      </c>
      <c r="C25" s="16">
        <v>100</v>
      </c>
      <c r="D25" s="16">
        <v>100</v>
      </c>
      <c r="E25" s="16">
        <v>100</v>
      </c>
      <c r="F25" s="16">
        <v>100</v>
      </c>
      <c r="G25" s="16">
        <v>47</v>
      </c>
      <c r="H25" s="16">
        <v>100</v>
      </c>
      <c r="I25" s="16">
        <v>100</v>
      </c>
      <c r="J25" s="16">
        <v>100</v>
      </c>
      <c r="K25" s="16">
        <v>32</v>
      </c>
      <c r="L25" s="16">
        <v>100</v>
      </c>
      <c r="M25" s="16">
        <v>100</v>
      </c>
      <c r="N25" s="16">
        <v>100</v>
      </c>
      <c r="O25" s="16">
        <v>20</v>
      </c>
    </row>
    <row r="26" spans="2:15" ht="18" hidden="1" customHeight="1" x14ac:dyDescent="0.25">
      <c r="B26" s="16">
        <v>42</v>
      </c>
      <c r="C26" s="16">
        <v>100</v>
      </c>
      <c r="D26" s="16">
        <v>100</v>
      </c>
      <c r="E26" s="16">
        <v>100</v>
      </c>
      <c r="F26" s="16">
        <v>100</v>
      </c>
      <c r="G26" s="16">
        <v>100</v>
      </c>
      <c r="H26" s="16">
        <v>100</v>
      </c>
      <c r="I26" s="16">
        <v>100</v>
      </c>
      <c r="J26" s="16">
        <v>100</v>
      </c>
      <c r="K26" s="16">
        <v>23</v>
      </c>
      <c r="L26" s="16">
        <v>100</v>
      </c>
      <c r="M26" s="16">
        <v>100</v>
      </c>
      <c r="N26" s="16">
        <v>100</v>
      </c>
      <c r="O26" s="16">
        <v>22</v>
      </c>
    </row>
    <row r="27" spans="2:15" ht="18" hidden="1" customHeight="1" x14ac:dyDescent="0.25">
      <c r="B27" s="16">
        <v>44</v>
      </c>
      <c r="C27" s="16">
        <v>100</v>
      </c>
      <c r="D27" s="16">
        <v>100</v>
      </c>
      <c r="E27" s="16">
        <v>100</v>
      </c>
      <c r="F27" s="16">
        <v>100</v>
      </c>
      <c r="G27" s="16">
        <v>100</v>
      </c>
      <c r="H27" s="16">
        <v>100</v>
      </c>
      <c r="I27" s="16">
        <v>100</v>
      </c>
      <c r="J27" s="16">
        <v>100</v>
      </c>
      <c r="K27" s="16">
        <v>100</v>
      </c>
      <c r="L27" s="16">
        <v>100</v>
      </c>
      <c r="M27" s="16">
        <v>100</v>
      </c>
      <c r="N27" s="16">
        <v>100</v>
      </c>
      <c r="O27" s="16">
        <v>24</v>
      </c>
    </row>
    <row r="28" spans="2:15" ht="18" hidden="1" customHeight="1" x14ac:dyDescent="0.25">
      <c r="B28" s="16">
        <v>46</v>
      </c>
      <c r="C28" s="16">
        <v>100</v>
      </c>
      <c r="D28" s="16">
        <v>100</v>
      </c>
      <c r="E28" s="16">
        <v>100</v>
      </c>
      <c r="F28" s="16">
        <v>100</v>
      </c>
      <c r="G28" s="16">
        <v>100</v>
      </c>
      <c r="H28" s="16">
        <v>100</v>
      </c>
      <c r="I28" s="16">
        <v>100</v>
      </c>
      <c r="J28" s="16">
        <v>100</v>
      </c>
      <c r="K28" s="16">
        <v>100</v>
      </c>
      <c r="L28" s="16">
        <v>100</v>
      </c>
      <c r="M28" s="16">
        <v>100</v>
      </c>
      <c r="N28" s="16">
        <v>100</v>
      </c>
      <c r="O28" s="16">
        <v>100</v>
      </c>
    </row>
    <row r="29" spans="2:15" ht="18" hidden="1" customHeight="1" x14ac:dyDescent="0.25">
      <c r="B29" s="16">
        <v>48</v>
      </c>
      <c r="C29" s="16">
        <v>100</v>
      </c>
      <c r="D29" s="16">
        <v>100</v>
      </c>
      <c r="E29" s="16">
        <v>100</v>
      </c>
      <c r="F29" s="16">
        <v>100</v>
      </c>
      <c r="G29" s="16">
        <v>100</v>
      </c>
      <c r="H29" s="16">
        <v>100</v>
      </c>
      <c r="I29" s="16">
        <v>100</v>
      </c>
      <c r="J29" s="16">
        <v>100</v>
      </c>
      <c r="K29" s="16">
        <v>100</v>
      </c>
      <c r="L29" s="16">
        <v>100</v>
      </c>
      <c r="M29" s="16">
        <v>100</v>
      </c>
      <c r="N29" s="16">
        <v>100</v>
      </c>
      <c r="O29" s="16">
        <v>100</v>
      </c>
    </row>
    <row r="30" spans="2:15" ht="18" hidden="1" customHeight="1" x14ac:dyDescent="0.25">
      <c r="B30" s="16">
        <v>50</v>
      </c>
      <c r="C30" s="16">
        <v>100</v>
      </c>
      <c r="D30" s="16">
        <v>100</v>
      </c>
      <c r="E30" s="16">
        <v>100</v>
      </c>
      <c r="F30" s="16">
        <v>100</v>
      </c>
      <c r="G30" s="16">
        <v>100</v>
      </c>
      <c r="H30" s="16">
        <v>100</v>
      </c>
      <c r="I30" s="16">
        <v>100</v>
      </c>
      <c r="J30" s="16">
        <v>100</v>
      </c>
      <c r="K30" s="16">
        <v>100</v>
      </c>
      <c r="L30" s="16">
        <v>100</v>
      </c>
      <c r="M30" s="16">
        <v>100</v>
      </c>
      <c r="N30" s="16">
        <v>100</v>
      </c>
      <c r="O30" s="16">
        <v>100</v>
      </c>
    </row>
    <row r="31" spans="2:15" ht="18" hidden="1" customHeight="1" x14ac:dyDescent="0.25">
      <c r="B31" s="16">
        <v>52</v>
      </c>
      <c r="C31" s="16">
        <v>100</v>
      </c>
      <c r="D31" s="16">
        <v>100</v>
      </c>
      <c r="E31" s="16">
        <v>100</v>
      </c>
      <c r="F31" s="16">
        <v>100</v>
      </c>
      <c r="G31" s="16">
        <v>100</v>
      </c>
      <c r="H31" s="16">
        <v>100</v>
      </c>
      <c r="I31" s="16">
        <v>100</v>
      </c>
      <c r="J31" s="16">
        <v>100</v>
      </c>
      <c r="K31" s="16">
        <v>100</v>
      </c>
      <c r="L31" s="16">
        <v>100</v>
      </c>
      <c r="M31" s="16">
        <v>100</v>
      </c>
      <c r="N31" s="16">
        <v>100</v>
      </c>
      <c r="O31" s="16">
        <v>100</v>
      </c>
    </row>
    <row r="32" spans="2:15" ht="18" hidden="1" customHeight="1" x14ac:dyDescent="0.25">
      <c r="B32" s="16">
        <v>54</v>
      </c>
      <c r="C32" s="16">
        <v>100</v>
      </c>
      <c r="D32" s="16">
        <v>100</v>
      </c>
      <c r="E32" s="16">
        <v>100</v>
      </c>
      <c r="F32" s="16">
        <v>100</v>
      </c>
      <c r="G32" s="16">
        <v>100</v>
      </c>
      <c r="H32" s="16">
        <v>100</v>
      </c>
      <c r="I32" s="16">
        <v>100</v>
      </c>
      <c r="J32" s="16">
        <v>100</v>
      </c>
      <c r="K32" s="16">
        <v>100</v>
      </c>
      <c r="L32" s="16">
        <v>100</v>
      </c>
      <c r="M32" s="16">
        <v>100</v>
      </c>
      <c r="N32" s="16">
        <v>100</v>
      </c>
      <c r="O32" s="16">
        <v>100</v>
      </c>
    </row>
    <row r="33" spans="2:15" ht="18" hidden="1" customHeight="1" x14ac:dyDescent="0.25">
      <c r="B33" s="16">
        <v>56</v>
      </c>
      <c r="C33" s="16">
        <v>100</v>
      </c>
      <c r="D33" s="16">
        <v>100</v>
      </c>
      <c r="E33" s="16">
        <v>100</v>
      </c>
      <c r="F33" s="16">
        <v>100</v>
      </c>
      <c r="G33" s="16">
        <v>100</v>
      </c>
      <c r="H33" s="16">
        <v>100</v>
      </c>
      <c r="I33" s="16">
        <v>100</v>
      </c>
      <c r="J33" s="16">
        <v>100</v>
      </c>
      <c r="K33" s="16">
        <v>100</v>
      </c>
      <c r="L33" s="16">
        <v>100</v>
      </c>
      <c r="M33" s="16">
        <v>100</v>
      </c>
      <c r="N33" s="16">
        <v>100</v>
      </c>
      <c r="O33" s="16">
        <v>100</v>
      </c>
    </row>
    <row r="34" spans="2:15" ht="18" hidden="1" customHeight="1" x14ac:dyDescent="0.25">
      <c r="B34" s="16">
        <v>58</v>
      </c>
      <c r="C34" s="16">
        <v>100</v>
      </c>
      <c r="D34" s="16">
        <v>100</v>
      </c>
      <c r="E34" s="16">
        <v>100</v>
      </c>
      <c r="F34" s="16">
        <v>100</v>
      </c>
      <c r="G34" s="16">
        <v>100</v>
      </c>
      <c r="H34" s="16">
        <v>100</v>
      </c>
      <c r="I34" s="16">
        <v>100</v>
      </c>
      <c r="J34" s="16">
        <v>100</v>
      </c>
      <c r="K34" s="16">
        <v>100</v>
      </c>
      <c r="L34" s="16">
        <v>100</v>
      </c>
      <c r="M34" s="16">
        <v>100</v>
      </c>
      <c r="N34" s="16">
        <v>100</v>
      </c>
      <c r="O34" s="16">
        <v>100</v>
      </c>
    </row>
    <row r="35" spans="2:15" ht="18" hidden="1" customHeight="1" x14ac:dyDescent="0.25">
      <c r="B35" s="16">
        <v>60</v>
      </c>
      <c r="C35" s="16">
        <v>100</v>
      </c>
      <c r="D35" s="16">
        <v>100</v>
      </c>
      <c r="E35" s="16">
        <v>100</v>
      </c>
      <c r="F35" s="16">
        <v>100</v>
      </c>
      <c r="G35" s="16">
        <v>100</v>
      </c>
      <c r="H35" s="16">
        <v>100</v>
      </c>
      <c r="I35" s="16">
        <v>100</v>
      </c>
      <c r="J35" s="16">
        <v>100</v>
      </c>
      <c r="K35" s="16">
        <v>100</v>
      </c>
      <c r="L35" s="16">
        <v>100</v>
      </c>
      <c r="M35" s="16">
        <v>100</v>
      </c>
      <c r="N35" s="16">
        <v>100</v>
      </c>
      <c r="O35" s="16">
        <v>100</v>
      </c>
    </row>
  </sheetData>
  <mergeCells count="1">
    <mergeCell ref="C2:O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72"/>
  <sheetViews>
    <sheetView tabSelected="1" view="pageBreakPreview" topLeftCell="A28" zoomScaleNormal="100" zoomScaleSheetLayoutView="100" workbookViewId="0">
      <selection activeCell="M37" sqref="M37"/>
    </sheetView>
  </sheetViews>
  <sheetFormatPr defaultColWidth="12.7109375" defaultRowHeight="18" customHeight="1" x14ac:dyDescent="0.25"/>
  <cols>
    <col min="1" max="16384" width="12.7109375" style="11"/>
  </cols>
  <sheetData>
    <row r="1" spans="1:8" ht="18" customHeight="1" x14ac:dyDescent="0.25">
      <c r="A1" s="26" t="s">
        <v>8</v>
      </c>
      <c r="B1" s="26"/>
      <c r="C1" s="26"/>
      <c r="D1" s="26"/>
      <c r="E1" s="26"/>
      <c r="F1" s="26"/>
      <c r="G1" s="26"/>
      <c r="H1" s="26"/>
    </row>
    <row r="2" spans="1:8" ht="18" customHeight="1" x14ac:dyDescent="0.25">
      <c r="A2" s="26"/>
      <c r="B2" s="26"/>
      <c r="C2" s="26"/>
      <c r="D2" s="26"/>
      <c r="E2" s="26"/>
      <c r="F2" s="26"/>
      <c r="G2" s="26"/>
      <c r="H2" s="26"/>
    </row>
    <row r="3" spans="1:8" ht="18" customHeight="1" x14ac:dyDescent="0.25">
      <c r="A3" s="27" t="s">
        <v>9</v>
      </c>
      <c r="B3" s="27"/>
      <c r="C3" s="27"/>
      <c r="D3" s="27"/>
      <c r="E3" s="27"/>
      <c r="F3" s="27"/>
      <c r="G3" s="27"/>
      <c r="H3" s="27"/>
    </row>
    <row r="5" spans="1:8" ht="18" customHeight="1" x14ac:dyDescent="0.25">
      <c r="A5" s="7" t="s">
        <v>12</v>
      </c>
    </row>
    <row r="7" spans="1:8" ht="18" customHeight="1" x14ac:dyDescent="0.25">
      <c r="A7" s="28" t="s">
        <v>10</v>
      </c>
      <c r="B7" s="28"/>
      <c r="C7" s="28"/>
      <c r="D7" s="28"/>
      <c r="E7" s="28"/>
      <c r="F7" s="28"/>
      <c r="G7" s="28"/>
      <c r="H7" s="28"/>
    </row>
    <row r="8" spans="1:8" ht="18" customHeight="1" x14ac:dyDescent="0.25">
      <c r="A8" s="28"/>
      <c r="B8" s="28"/>
      <c r="C8" s="28"/>
      <c r="D8" s="28"/>
      <c r="E8" s="28"/>
      <c r="F8" s="28"/>
      <c r="G8" s="28"/>
      <c r="H8" s="28"/>
    </row>
    <row r="9" spans="1:8" ht="18" customHeight="1" x14ac:dyDescent="0.25">
      <c r="A9" s="28"/>
      <c r="B9" s="28"/>
      <c r="C9" s="28"/>
      <c r="D9" s="28"/>
      <c r="E9" s="28"/>
      <c r="F9" s="28"/>
      <c r="G9" s="28"/>
      <c r="H9" s="28"/>
    </row>
    <row r="10" spans="1:8" ht="18" customHeight="1" x14ac:dyDescent="0.25">
      <c r="A10" s="28"/>
      <c r="B10" s="28"/>
      <c r="C10" s="28"/>
      <c r="D10" s="28"/>
      <c r="E10" s="28"/>
      <c r="F10" s="28"/>
      <c r="G10" s="28"/>
      <c r="H10" s="28"/>
    </row>
    <row r="11" spans="1:8" ht="18" customHeight="1" x14ac:dyDescent="0.25">
      <c r="D11" s="11" t="s">
        <v>11</v>
      </c>
    </row>
    <row r="34" spans="1:8" ht="18" customHeight="1" x14ac:dyDescent="0.25">
      <c r="A34" s="28" t="s">
        <v>45</v>
      </c>
      <c r="B34" s="28"/>
      <c r="C34" s="28"/>
      <c r="D34" s="28"/>
      <c r="E34" s="28"/>
      <c r="F34" s="28"/>
      <c r="G34" s="28"/>
    </row>
    <row r="35" spans="1:8" ht="18" customHeight="1" x14ac:dyDescent="0.25">
      <c r="A35" s="28"/>
      <c r="B35" s="28"/>
      <c r="C35" s="28"/>
      <c r="D35" s="28"/>
      <c r="E35" s="28"/>
      <c r="F35" s="28"/>
      <c r="G35" s="28"/>
    </row>
    <row r="37" spans="1:8" ht="18" customHeight="1" x14ac:dyDescent="0.35">
      <c r="A37" s="11" t="s">
        <v>38</v>
      </c>
    </row>
    <row r="39" spans="1:8" ht="18" customHeight="1" thickBot="1" x14ac:dyDescent="0.35">
      <c r="C39" s="29" t="s">
        <v>16</v>
      </c>
      <c r="D39" s="13" t="s">
        <v>42</v>
      </c>
    </row>
    <row r="40" spans="1:8" ht="18" customHeight="1" x14ac:dyDescent="0.25">
      <c r="C40" s="29"/>
      <c r="D40" s="14" t="s">
        <v>17</v>
      </c>
    </row>
    <row r="41" spans="1:8" ht="18" customHeight="1" x14ac:dyDescent="0.25">
      <c r="A41" s="11" t="s">
        <v>13</v>
      </c>
    </row>
    <row r="42" spans="1:8" ht="18" customHeight="1" x14ac:dyDescent="0.3">
      <c r="A42" s="12" t="s">
        <v>15</v>
      </c>
      <c r="B42" s="25" t="s">
        <v>14</v>
      </c>
      <c r="C42" s="25"/>
      <c r="D42" s="25"/>
      <c r="E42" s="25"/>
      <c r="F42" s="25"/>
      <c r="G42" s="25"/>
      <c r="H42" s="25"/>
    </row>
    <row r="43" spans="1:8" ht="18" customHeight="1" x14ac:dyDescent="0.25">
      <c r="B43" s="25"/>
      <c r="C43" s="25"/>
      <c r="D43" s="25"/>
      <c r="E43" s="25"/>
      <c r="F43" s="25"/>
      <c r="G43" s="25"/>
      <c r="H43" s="25"/>
    </row>
    <row r="45" spans="1:8" ht="18" customHeight="1" x14ac:dyDescent="0.3">
      <c r="A45" s="7" t="s">
        <v>18</v>
      </c>
    </row>
    <row r="47" spans="1:8" ht="18" customHeight="1" x14ac:dyDescent="0.25">
      <c r="A47" s="11" t="s">
        <v>37</v>
      </c>
      <c r="D47" s="15" t="s">
        <v>50</v>
      </c>
    </row>
    <row r="48" spans="1:8" ht="18" customHeight="1" x14ac:dyDescent="0.25">
      <c r="A48" s="11" t="s">
        <v>19</v>
      </c>
      <c r="D48" s="21">
        <v>-0.75</v>
      </c>
      <c r="E48" s="8" t="s">
        <v>7</v>
      </c>
    </row>
    <row r="49" spans="1:5" ht="18" customHeight="1" x14ac:dyDescent="0.25">
      <c r="A49" s="11" t="s">
        <v>20</v>
      </c>
      <c r="D49" s="9">
        <f>D48-30</f>
        <v>-30.75</v>
      </c>
      <c r="E49" s="8" t="s">
        <v>7</v>
      </c>
    </row>
    <row r="51" spans="1:5" ht="18" customHeight="1" x14ac:dyDescent="0.35">
      <c r="A51" s="11" t="s">
        <v>39</v>
      </c>
      <c r="D51" s="22">
        <f>SUMPRODUCT(D57:D72,E57:E72)/SUM(D57:D72)</f>
        <v>17.533333333333335</v>
      </c>
    </row>
    <row r="52" spans="1:5" ht="18" customHeight="1" x14ac:dyDescent="0.25">
      <c r="A52" s="11" t="s">
        <v>40</v>
      </c>
      <c r="D52" s="20" t="str">
        <f>IF(D51&lt;15,"D",IF(AND(D51&gt;=15,D51&lt;=50),"C","B"))</f>
        <v>C</v>
      </c>
    </row>
    <row r="54" spans="1:5" ht="18" customHeight="1" x14ac:dyDescent="0.25">
      <c r="A54" s="24" t="s">
        <v>6</v>
      </c>
      <c r="B54" s="24" t="s">
        <v>24</v>
      </c>
      <c r="C54" s="24" t="s">
        <v>5</v>
      </c>
      <c r="D54" s="24" t="s">
        <v>21</v>
      </c>
      <c r="E54" s="24" t="s">
        <v>26</v>
      </c>
    </row>
    <row r="55" spans="1:5" ht="18" customHeight="1" x14ac:dyDescent="0.25">
      <c r="A55" s="24"/>
      <c r="B55" s="24"/>
      <c r="C55" s="24"/>
      <c r="D55" s="24"/>
      <c r="E55" s="24"/>
    </row>
    <row r="56" spans="1:5" ht="18" customHeight="1" x14ac:dyDescent="0.25">
      <c r="A56" s="24"/>
      <c r="B56" s="16" t="s">
        <v>23</v>
      </c>
      <c r="C56" s="16" t="s">
        <v>25</v>
      </c>
      <c r="D56" s="16" t="s">
        <v>22</v>
      </c>
      <c r="E56" s="16" t="s">
        <v>27</v>
      </c>
    </row>
    <row r="57" spans="1:5" ht="18" customHeight="1" x14ac:dyDescent="0.25">
      <c r="A57" s="16">
        <v>1</v>
      </c>
      <c r="B57" s="16">
        <f>'TruDiaChat-N'!B5</f>
        <v>0</v>
      </c>
      <c r="C57" s="18">
        <f>B57+D48</f>
        <v>-0.75</v>
      </c>
      <c r="D57" s="19">
        <v>0</v>
      </c>
      <c r="E57" s="19">
        <f>IF($D$47='TruDiaChat-N'!$C$4,VLOOKUP(B57,'TruDiaChat-N'!$B$5:$O$35,2,0),IF($D$47='TruDiaChat-N'!$D$4,VLOOKUP(B57,'TruDiaChat-N'!$B$5:$O$35,3,0),IF($D$47='TruDiaChat-N'!$E$4,VLOOKUP(B57,'TruDiaChat-N'!$B$5:$O$35,4,0),IF($D$47='TruDiaChat-N'!$F$4,VLOOKUP(B57,'TruDiaChat-N'!$B$5:$O$35,5,0),IF($D$47='TruDiaChat-N'!$G$4,VLOOKUP(B57,'TruDiaChat-N'!$B$5:$O$35,6,0),IF($D$47='TruDiaChat-N'!$H$4,VLOOKUP(B57,'TruDiaChat-N'!$B$5:$O$35,7,0),IF($D$47='TruDiaChat-N'!$I$4,VLOOKUP(B57,'TruDiaChat-N'!$B$5:$O$35,8,0),IF($D$47='TruDiaChat-N'!$J$4,VLOOKUP(B57,'TruDiaChat-N'!$B$5:$O$35,9,0),IF($D$47='TruDiaChat-N'!$K$4,VLOOKUP(B57,'TruDiaChat-N'!$B$5:$O$35,10,0),IF($D$47='TruDiaChat-N'!$L$4,VLOOKUP(B57,'TruDiaChat-N'!$B$5:$O$35,11,0),IF($D$47='TruDiaChat-N'!$M$4,VLOOKUP(B57,'TruDiaChat-N'!$B$5:$O$35,12,0),IF($D$47='TruDiaChat-N'!$N$4,VLOOKUP(B57,'TruDiaChat-N'!$B$5:$O$35,13,0),IF($D$47='TruDiaChat-N'!$O$4,VLOOKUP(B57,'TruDiaChat-N'!$B$5:$O$35,14,0),"")))))))))))))</f>
        <v>0</v>
      </c>
    </row>
    <row r="58" spans="1:5" ht="18" customHeight="1" x14ac:dyDescent="0.25">
      <c r="A58" s="16">
        <v>2</v>
      </c>
      <c r="B58" s="16">
        <f>'TruDiaChat-N'!B6</f>
        <v>2</v>
      </c>
      <c r="C58" s="18">
        <f>C57-$B$58</f>
        <v>-2.75</v>
      </c>
      <c r="D58" s="19">
        <f>B58-B57</f>
        <v>2</v>
      </c>
      <c r="E58" s="19">
        <f>IF($D$47='TruDiaChat-N'!$C$4,VLOOKUP(B58,'TruDiaChat-N'!$B$5:$O$35,2,0),IF($D$47='TruDiaChat-N'!$D$4,VLOOKUP(B58,'TruDiaChat-N'!$B$5:$O$35,3,0),IF($D$47='TruDiaChat-N'!$E$4,VLOOKUP(B58,'TruDiaChat-N'!$B$5:$O$35,4,0),IF($D$47='TruDiaChat-N'!$F$4,VLOOKUP(B58,'TruDiaChat-N'!$B$5:$O$35,5,0),IF($D$47='TruDiaChat-N'!$G$4,VLOOKUP(B58,'TruDiaChat-N'!$B$5:$O$35,6,0),IF($D$47='TruDiaChat-N'!$H$4,VLOOKUP(B58,'TruDiaChat-N'!$B$5:$O$35,7,0),IF($D$47='TruDiaChat-N'!$I$4,VLOOKUP(B58,'TruDiaChat-N'!$B$5:$O$35,8,0),IF($D$47='TruDiaChat-N'!$J$4,VLOOKUP(B58,'TruDiaChat-N'!$B$5:$O$35,9,0),IF($D$47='TruDiaChat-N'!$K$4,VLOOKUP(B58,'TruDiaChat-N'!$B$5:$O$35,10,0),IF($D$47='TruDiaChat-N'!$L$4,VLOOKUP(B58,'TruDiaChat-N'!$B$5:$O$35,11,0),IF($D$47='TruDiaChat-N'!$M$4,VLOOKUP(B58,'TruDiaChat-N'!$B$5:$O$35,12,0),IF($D$47='TruDiaChat-N'!$N$4,VLOOKUP(B58,'TruDiaChat-N'!$B$5:$O$35,13,0),IF($D$47='TruDiaChat-N'!$O$4,VLOOKUP(B58,'TruDiaChat-N'!$B$5:$O$35,14,0),"")))))))))))))</f>
        <v>13</v>
      </c>
    </row>
    <row r="59" spans="1:5" ht="18" customHeight="1" x14ac:dyDescent="0.25">
      <c r="A59" s="16">
        <v>3</v>
      </c>
      <c r="B59" s="16">
        <f>'TruDiaChat-N'!B7</f>
        <v>4</v>
      </c>
      <c r="C59" s="18">
        <f t="shared" ref="C59:C72" si="0">C58-$B$58</f>
        <v>-4.75</v>
      </c>
      <c r="D59" s="19">
        <f t="shared" ref="D59:D72" si="1">B59-B58</f>
        <v>2</v>
      </c>
      <c r="E59" s="19">
        <f>IF($D$47='TruDiaChat-N'!$C$4,VLOOKUP(B59,'TruDiaChat-N'!$B$5:$O$35,2,0),IF($D$47='TruDiaChat-N'!$D$4,VLOOKUP(B59,'TruDiaChat-N'!$B$5:$O$35,3,0),IF($D$47='TruDiaChat-N'!$E$4,VLOOKUP(B59,'TruDiaChat-N'!$B$5:$O$35,4,0),IF($D$47='TruDiaChat-N'!$F$4,VLOOKUP(B59,'TruDiaChat-N'!$B$5:$O$35,5,0),IF($D$47='TruDiaChat-N'!$G$4,VLOOKUP(B59,'TruDiaChat-N'!$B$5:$O$35,6,0),IF($D$47='TruDiaChat-N'!$H$4,VLOOKUP(B59,'TruDiaChat-N'!$B$5:$O$35,7,0),IF($D$47='TruDiaChat-N'!$I$4,VLOOKUP(B59,'TruDiaChat-N'!$B$5:$O$35,8,0),IF($D$47='TruDiaChat-N'!$J$4,VLOOKUP(B59,'TruDiaChat-N'!$B$5:$O$35,9,0),IF($D$47='TruDiaChat-N'!$K$4,VLOOKUP(B59,'TruDiaChat-N'!$B$5:$O$35,10,0),IF($D$47='TruDiaChat-N'!$L$4,VLOOKUP(B59,'TruDiaChat-N'!$B$5:$O$35,11,0),IF($D$47='TruDiaChat-N'!$M$4,VLOOKUP(B59,'TruDiaChat-N'!$B$5:$O$35,12,0),IF($D$47='TruDiaChat-N'!$N$4,VLOOKUP(B59,'TruDiaChat-N'!$B$5:$O$35,13,0),IF($D$47='TruDiaChat-N'!$O$4,VLOOKUP(B59,'TruDiaChat-N'!$B$5:$O$35,14,0),"")))))))))))))</f>
        <v>13</v>
      </c>
    </row>
    <row r="60" spans="1:5" ht="18" customHeight="1" x14ac:dyDescent="0.25">
      <c r="A60" s="16">
        <v>4</v>
      </c>
      <c r="B60" s="16">
        <f>'TruDiaChat-N'!B8</f>
        <v>6</v>
      </c>
      <c r="C60" s="18">
        <f t="shared" si="0"/>
        <v>-6.75</v>
      </c>
      <c r="D60" s="19">
        <f t="shared" si="1"/>
        <v>2</v>
      </c>
      <c r="E60" s="19">
        <f>IF($D$47='TruDiaChat-N'!$C$4,VLOOKUP(B60,'TruDiaChat-N'!$B$5:$O$35,2,0),IF($D$47='TruDiaChat-N'!$D$4,VLOOKUP(B60,'TruDiaChat-N'!$B$5:$O$35,3,0),IF($D$47='TruDiaChat-N'!$E$4,VLOOKUP(B60,'TruDiaChat-N'!$B$5:$O$35,4,0),IF($D$47='TruDiaChat-N'!$F$4,VLOOKUP(B60,'TruDiaChat-N'!$B$5:$O$35,5,0),IF($D$47='TruDiaChat-N'!$G$4,VLOOKUP(B60,'TruDiaChat-N'!$B$5:$O$35,6,0),IF($D$47='TruDiaChat-N'!$H$4,VLOOKUP(B60,'TruDiaChat-N'!$B$5:$O$35,7,0),IF($D$47='TruDiaChat-N'!$I$4,VLOOKUP(B60,'TruDiaChat-N'!$B$5:$O$35,8,0),IF($D$47='TruDiaChat-N'!$J$4,VLOOKUP(B60,'TruDiaChat-N'!$B$5:$O$35,9,0),IF($D$47='TruDiaChat-N'!$K$4,VLOOKUP(B60,'TruDiaChat-N'!$B$5:$O$35,10,0),IF($D$47='TruDiaChat-N'!$L$4,VLOOKUP(B60,'TruDiaChat-N'!$B$5:$O$35,11,0),IF($D$47='TruDiaChat-N'!$M$4,VLOOKUP(B60,'TruDiaChat-N'!$B$5:$O$35,12,0),IF($D$47='TruDiaChat-N'!$N$4,VLOOKUP(B60,'TruDiaChat-N'!$B$5:$O$35,13,0),IF($D$47='TruDiaChat-N'!$O$4,VLOOKUP(B60,'TruDiaChat-N'!$B$5:$O$35,14,0),"")))))))))))))</f>
        <v>15</v>
      </c>
    </row>
    <row r="61" spans="1:5" ht="18" customHeight="1" x14ac:dyDescent="0.25">
      <c r="A61" s="16">
        <v>5</v>
      </c>
      <c r="B61" s="16">
        <f>'TruDiaChat-N'!B9</f>
        <v>8</v>
      </c>
      <c r="C61" s="18">
        <f t="shared" si="0"/>
        <v>-8.75</v>
      </c>
      <c r="D61" s="19">
        <f t="shared" si="1"/>
        <v>2</v>
      </c>
      <c r="E61" s="19">
        <f>IF($D$47='TruDiaChat-N'!$C$4,VLOOKUP(B61,'TruDiaChat-N'!$B$5:$O$35,2,0),IF($D$47='TruDiaChat-N'!$D$4,VLOOKUP(B61,'TruDiaChat-N'!$B$5:$O$35,3,0),IF($D$47='TruDiaChat-N'!$E$4,VLOOKUP(B61,'TruDiaChat-N'!$B$5:$O$35,4,0),IF($D$47='TruDiaChat-N'!$F$4,VLOOKUP(B61,'TruDiaChat-N'!$B$5:$O$35,5,0),IF($D$47='TruDiaChat-N'!$G$4,VLOOKUP(B61,'TruDiaChat-N'!$B$5:$O$35,6,0),IF($D$47='TruDiaChat-N'!$H$4,VLOOKUP(B61,'TruDiaChat-N'!$B$5:$O$35,7,0),IF($D$47='TruDiaChat-N'!$I$4,VLOOKUP(B61,'TruDiaChat-N'!$B$5:$O$35,8,0),IF($D$47='TruDiaChat-N'!$J$4,VLOOKUP(B61,'TruDiaChat-N'!$B$5:$O$35,9,0),IF($D$47='TruDiaChat-N'!$K$4,VLOOKUP(B61,'TruDiaChat-N'!$B$5:$O$35,10,0),IF($D$47='TruDiaChat-N'!$L$4,VLOOKUP(B61,'TruDiaChat-N'!$B$5:$O$35,11,0),IF($D$47='TruDiaChat-N'!$M$4,VLOOKUP(B61,'TruDiaChat-N'!$B$5:$O$35,12,0),IF($D$47='TruDiaChat-N'!$N$4,VLOOKUP(B61,'TruDiaChat-N'!$B$5:$O$35,13,0),IF($D$47='TruDiaChat-N'!$O$4,VLOOKUP(B61,'TruDiaChat-N'!$B$5:$O$35,14,0),"")))))))))))))</f>
        <v>5</v>
      </c>
    </row>
    <row r="62" spans="1:5" ht="18" customHeight="1" x14ac:dyDescent="0.25">
      <c r="A62" s="16">
        <v>6</v>
      </c>
      <c r="B62" s="16">
        <f>'TruDiaChat-N'!B10</f>
        <v>10</v>
      </c>
      <c r="C62" s="18">
        <f t="shared" si="0"/>
        <v>-10.75</v>
      </c>
      <c r="D62" s="19">
        <f t="shared" si="1"/>
        <v>2</v>
      </c>
      <c r="E62" s="19">
        <f>IF($D$47='TruDiaChat-N'!$C$4,VLOOKUP(B62,'TruDiaChat-N'!$B$5:$O$35,2,0),IF($D$47='TruDiaChat-N'!$D$4,VLOOKUP(B62,'TruDiaChat-N'!$B$5:$O$35,3,0),IF($D$47='TruDiaChat-N'!$E$4,VLOOKUP(B62,'TruDiaChat-N'!$B$5:$O$35,4,0),IF($D$47='TruDiaChat-N'!$F$4,VLOOKUP(B62,'TruDiaChat-N'!$B$5:$O$35,5,0),IF($D$47='TruDiaChat-N'!$G$4,VLOOKUP(B62,'TruDiaChat-N'!$B$5:$O$35,6,0),IF($D$47='TruDiaChat-N'!$H$4,VLOOKUP(B62,'TruDiaChat-N'!$B$5:$O$35,7,0),IF($D$47='TruDiaChat-N'!$I$4,VLOOKUP(B62,'TruDiaChat-N'!$B$5:$O$35,8,0),IF($D$47='TruDiaChat-N'!$J$4,VLOOKUP(B62,'TruDiaChat-N'!$B$5:$O$35,9,0),IF($D$47='TruDiaChat-N'!$K$4,VLOOKUP(B62,'TruDiaChat-N'!$B$5:$O$35,10,0),IF($D$47='TruDiaChat-N'!$L$4,VLOOKUP(B62,'TruDiaChat-N'!$B$5:$O$35,11,0),IF($D$47='TruDiaChat-N'!$M$4,VLOOKUP(B62,'TruDiaChat-N'!$B$5:$O$35,12,0),IF($D$47='TruDiaChat-N'!$N$4,VLOOKUP(B62,'TruDiaChat-N'!$B$5:$O$35,13,0),IF($D$47='TruDiaChat-N'!$O$4,VLOOKUP(B62,'TruDiaChat-N'!$B$5:$O$35,14,0),"")))))))))))))</f>
        <v>5</v>
      </c>
    </row>
    <row r="63" spans="1:5" ht="18" customHeight="1" x14ac:dyDescent="0.25">
      <c r="A63" s="16">
        <v>7</v>
      </c>
      <c r="B63" s="16">
        <f>'TruDiaChat-N'!B11</f>
        <v>12</v>
      </c>
      <c r="C63" s="18">
        <f t="shared" si="0"/>
        <v>-12.75</v>
      </c>
      <c r="D63" s="19">
        <f t="shared" si="1"/>
        <v>2</v>
      </c>
      <c r="E63" s="19">
        <f>IF($D$47='TruDiaChat-N'!$C$4,VLOOKUP(B63,'TruDiaChat-N'!$B$5:$O$35,2,0),IF($D$47='TruDiaChat-N'!$D$4,VLOOKUP(B63,'TruDiaChat-N'!$B$5:$O$35,3,0),IF($D$47='TruDiaChat-N'!$E$4,VLOOKUP(B63,'TruDiaChat-N'!$B$5:$O$35,4,0),IF($D$47='TruDiaChat-N'!$F$4,VLOOKUP(B63,'TruDiaChat-N'!$B$5:$O$35,5,0),IF($D$47='TruDiaChat-N'!$G$4,VLOOKUP(B63,'TruDiaChat-N'!$B$5:$O$35,6,0),IF($D$47='TruDiaChat-N'!$H$4,VLOOKUP(B63,'TruDiaChat-N'!$B$5:$O$35,7,0),IF($D$47='TruDiaChat-N'!$I$4,VLOOKUP(B63,'TruDiaChat-N'!$B$5:$O$35,8,0),IF($D$47='TruDiaChat-N'!$J$4,VLOOKUP(B63,'TruDiaChat-N'!$B$5:$O$35,9,0),IF($D$47='TruDiaChat-N'!$K$4,VLOOKUP(B63,'TruDiaChat-N'!$B$5:$O$35,10,0),IF($D$47='TruDiaChat-N'!$L$4,VLOOKUP(B63,'TruDiaChat-N'!$B$5:$O$35,11,0),IF($D$47='TruDiaChat-N'!$M$4,VLOOKUP(B63,'TruDiaChat-N'!$B$5:$O$35,12,0),IF($D$47='TruDiaChat-N'!$N$4,VLOOKUP(B63,'TruDiaChat-N'!$B$5:$O$35,13,0),IF($D$47='TruDiaChat-N'!$O$4,VLOOKUP(B63,'TruDiaChat-N'!$B$5:$O$35,14,0),"")))))))))))))</f>
        <v>17</v>
      </c>
    </row>
    <row r="64" spans="1:5" ht="18" customHeight="1" x14ac:dyDescent="0.25">
      <c r="A64" s="16">
        <v>8</v>
      </c>
      <c r="B64" s="16">
        <f>'TruDiaChat-N'!B12</f>
        <v>14</v>
      </c>
      <c r="C64" s="18">
        <f t="shared" si="0"/>
        <v>-14.75</v>
      </c>
      <c r="D64" s="19">
        <f t="shared" si="1"/>
        <v>2</v>
      </c>
      <c r="E64" s="19">
        <f>IF($D$47='TruDiaChat-N'!$C$4,VLOOKUP(B64,'TruDiaChat-N'!$B$5:$O$35,2,0),IF($D$47='TruDiaChat-N'!$D$4,VLOOKUP(B64,'TruDiaChat-N'!$B$5:$O$35,3,0),IF($D$47='TruDiaChat-N'!$E$4,VLOOKUP(B64,'TruDiaChat-N'!$B$5:$O$35,4,0),IF($D$47='TruDiaChat-N'!$F$4,VLOOKUP(B64,'TruDiaChat-N'!$B$5:$O$35,5,0),IF($D$47='TruDiaChat-N'!$G$4,VLOOKUP(B64,'TruDiaChat-N'!$B$5:$O$35,6,0),IF($D$47='TruDiaChat-N'!$H$4,VLOOKUP(B64,'TruDiaChat-N'!$B$5:$O$35,7,0),IF($D$47='TruDiaChat-N'!$I$4,VLOOKUP(B64,'TruDiaChat-N'!$B$5:$O$35,8,0),IF($D$47='TruDiaChat-N'!$J$4,VLOOKUP(B64,'TruDiaChat-N'!$B$5:$O$35,9,0),IF($D$47='TruDiaChat-N'!$K$4,VLOOKUP(B64,'TruDiaChat-N'!$B$5:$O$35,10,0),IF($D$47='TruDiaChat-N'!$L$4,VLOOKUP(B64,'TruDiaChat-N'!$B$5:$O$35,11,0),IF($D$47='TruDiaChat-N'!$M$4,VLOOKUP(B64,'TruDiaChat-N'!$B$5:$O$35,12,0),IF($D$47='TruDiaChat-N'!$N$4,VLOOKUP(B64,'TruDiaChat-N'!$B$5:$O$35,13,0),IF($D$47='TruDiaChat-N'!$O$4,VLOOKUP(B64,'TruDiaChat-N'!$B$5:$O$35,14,0),"")))))))))))))</f>
        <v>11</v>
      </c>
    </row>
    <row r="65" spans="1:5" ht="18" customHeight="1" x14ac:dyDescent="0.25">
      <c r="A65" s="16">
        <v>9</v>
      </c>
      <c r="B65" s="16">
        <f>'TruDiaChat-N'!B13</f>
        <v>16</v>
      </c>
      <c r="C65" s="18">
        <f t="shared" si="0"/>
        <v>-16.75</v>
      </c>
      <c r="D65" s="19">
        <f t="shared" si="1"/>
        <v>2</v>
      </c>
      <c r="E65" s="19">
        <f>IF($D$47='TruDiaChat-N'!$C$4,VLOOKUP(B65,'TruDiaChat-N'!$B$5:$O$35,2,0),IF($D$47='TruDiaChat-N'!$D$4,VLOOKUP(B65,'TruDiaChat-N'!$B$5:$O$35,3,0),IF($D$47='TruDiaChat-N'!$E$4,VLOOKUP(B65,'TruDiaChat-N'!$B$5:$O$35,4,0),IF($D$47='TruDiaChat-N'!$F$4,VLOOKUP(B65,'TruDiaChat-N'!$B$5:$O$35,5,0),IF($D$47='TruDiaChat-N'!$G$4,VLOOKUP(B65,'TruDiaChat-N'!$B$5:$O$35,6,0),IF($D$47='TruDiaChat-N'!$H$4,VLOOKUP(B65,'TruDiaChat-N'!$B$5:$O$35,7,0),IF($D$47='TruDiaChat-N'!$I$4,VLOOKUP(B65,'TruDiaChat-N'!$B$5:$O$35,8,0),IF($D$47='TruDiaChat-N'!$J$4,VLOOKUP(B65,'TruDiaChat-N'!$B$5:$O$35,9,0),IF($D$47='TruDiaChat-N'!$K$4,VLOOKUP(B65,'TruDiaChat-N'!$B$5:$O$35,10,0),IF($D$47='TruDiaChat-N'!$L$4,VLOOKUP(B65,'TruDiaChat-N'!$B$5:$O$35,11,0),IF($D$47='TruDiaChat-N'!$M$4,VLOOKUP(B65,'TruDiaChat-N'!$B$5:$O$35,12,0),IF($D$47='TruDiaChat-N'!$N$4,VLOOKUP(B65,'TruDiaChat-N'!$B$5:$O$35,13,0),IF($D$47='TruDiaChat-N'!$O$4,VLOOKUP(B65,'TruDiaChat-N'!$B$5:$O$35,14,0),"")))))))))))))</f>
        <v>11</v>
      </c>
    </row>
    <row r="66" spans="1:5" ht="18" customHeight="1" x14ac:dyDescent="0.25">
      <c r="A66" s="16">
        <v>10</v>
      </c>
      <c r="B66" s="16">
        <f>'TruDiaChat-N'!B14</f>
        <v>18</v>
      </c>
      <c r="C66" s="18">
        <f t="shared" si="0"/>
        <v>-18.75</v>
      </c>
      <c r="D66" s="19">
        <f t="shared" si="1"/>
        <v>2</v>
      </c>
      <c r="E66" s="19">
        <f>IF($D$47='TruDiaChat-N'!$C$4,VLOOKUP(B66,'TruDiaChat-N'!$B$5:$O$35,2,0),IF($D$47='TruDiaChat-N'!$D$4,VLOOKUP(B66,'TruDiaChat-N'!$B$5:$O$35,3,0),IF($D$47='TruDiaChat-N'!$E$4,VLOOKUP(B66,'TruDiaChat-N'!$B$5:$O$35,4,0),IF($D$47='TruDiaChat-N'!$F$4,VLOOKUP(B66,'TruDiaChat-N'!$B$5:$O$35,5,0),IF($D$47='TruDiaChat-N'!$G$4,VLOOKUP(B66,'TruDiaChat-N'!$B$5:$O$35,6,0),IF($D$47='TruDiaChat-N'!$H$4,VLOOKUP(B66,'TruDiaChat-N'!$B$5:$O$35,7,0),IF($D$47='TruDiaChat-N'!$I$4,VLOOKUP(B66,'TruDiaChat-N'!$B$5:$O$35,8,0),IF($D$47='TruDiaChat-N'!$J$4,VLOOKUP(B66,'TruDiaChat-N'!$B$5:$O$35,9,0),IF($D$47='TruDiaChat-N'!$K$4,VLOOKUP(B66,'TruDiaChat-N'!$B$5:$O$35,10,0),IF($D$47='TruDiaChat-N'!$L$4,VLOOKUP(B66,'TruDiaChat-N'!$B$5:$O$35,11,0),IF($D$47='TruDiaChat-N'!$M$4,VLOOKUP(B66,'TruDiaChat-N'!$B$5:$O$35,12,0),IF($D$47='TruDiaChat-N'!$N$4,VLOOKUP(B66,'TruDiaChat-N'!$B$5:$O$35,13,0),IF($D$47='TruDiaChat-N'!$O$4,VLOOKUP(B66,'TruDiaChat-N'!$B$5:$O$35,14,0),"")))))))))))))</f>
        <v>15</v>
      </c>
    </row>
    <row r="67" spans="1:5" ht="18" customHeight="1" x14ac:dyDescent="0.25">
      <c r="A67" s="16">
        <v>11</v>
      </c>
      <c r="B67" s="16">
        <f>'TruDiaChat-N'!B15</f>
        <v>20</v>
      </c>
      <c r="C67" s="18">
        <f t="shared" si="0"/>
        <v>-20.75</v>
      </c>
      <c r="D67" s="19">
        <f t="shared" si="1"/>
        <v>2</v>
      </c>
      <c r="E67" s="19">
        <f>IF($D$47='TruDiaChat-N'!$C$4,VLOOKUP(B67,'TruDiaChat-N'!$B$5:$O$35,2,0),IF($D$47='TruDiaChat-N'!$D$4,VLOOKUP(B67,'TruDiaChat-N'!$B$5:$O$35,3,0),IF($D$47='TruDiaChat-N'!$E$4,VLOOKUP(B67,'TruDiaChat-N'!$B$5:$O$35,4,0),IF($D$47='TruDiaChat-N'!$F$4,VLOOKUP(B67,'TruDiaChat-N'!$B$5:$O$35,5,0),IF($D$47='TruDiaChat-N'!$G$4,VLOOKUP(B67,'TruDiaChat-N'!$B$5:$O$35,6,0),IF($D$47='TruDiaChat-N'!$H$4,VLOOKUP(B67,'TruDiaChat-N'!$B$5:$O$35,7,0),IF($D$47='TruDiaChat-N'!$I$4,VLOOKUP(B67,'TruDiaChat-N'!$B$5:$O$35,8,0),IF($D$47='TruDiaChat-N'!$J$4,VLOOKUP(B67,'TruDiaChat-N'!$B$5:$O$35,9,0),IF($D$47='TruDiaChat-N'!$K$4,VLOOKUP(B67,'TruDiaChat-N'!$B$5:$O$35,10,0),IF($D$47='TruDiaChat-N'!$L$4,VLOOKUP(B67,'TruDiaChat-N'!$B$5:$O$35,11,0),IF($D$47='TruDiaChat-N'!$M$4,VLOOKUP(B67,'TruDiaChat-N'!$B$5:$O$35,12,0),IF($D$47='TruDiaChat-N'!$N$4,VLOOKUP(B67,'TruDiaChat-N'!$B$5:$O$35,13,0),IF($D$47='TruDiaChat-N'!$O$4,VLOOKUP(B67,'TruDiaChat-N'!$B$5:$O$35,14,0),"")))))))))))))</f>
        <v>15</v>
      </c>
    </row>
    <row r="68" spans="1:5" ht="18" customHeight="1" x14ac:dyDescent="0.25">
      <c r="A68" s="16">
        <v>12</v>
      </c>
      <c r="B68" s="16">
        <f>'TruDiaChat-N'!B16</f>
        <v>22</v>
      </c>
      <c r="C68" s="18">
        <f t="shared" si="0"/>
        <v>-22.75</v>
      </c>
      <c r="D68" s="19">
        <f t="shared" si="1"/>
        <v>2</v>
      </c>
      <c r="E68" s="19">
        <f>IF($D$47='TruDiaChat-N'!$C$4,VLOOKUP(B68,'TruDiaChat-N'!$B$5:$O$35,2,0),IF($D$47='TruDiaChat-N'!$D$4,VLOOKUP(B68,'TruDiaChat-N'!$B$5:$O$35,3,0),IF($D$47='TruDiaChat-N'!$E$4,VLOOKUP(B68,'TruDiaChat-N'!$B$5:$O$35,4,0),IF($D$47='TruDiaChat-N'!$F$4,VLOOKUP(B68,'TruDiaChat-N'!$B$5:$O$35,5,0),IF($D$47='TruDiaChat-N'!$G$4,VLOOKUP(B68,'TruDiaChat-N'!$B$5:$O$35,6,0),IF($D$47='TruDiaChat-N'!$H$4,VLOOKUP(B68,'TruDiaChat-N'!$B$5:$O$35,7,0),IF($D$47='TruDiaChat-N'!$I$4,VLOOKUP(B68,'TruDiaChat-N'!$B$5:$O$35,8,0),IF($D$47='TruDiaChat-N'!$J$4,VLOOKUP(B68,'TruDiaChat-N'!$B$5:$O$35,9,0),IF($D$47='TruDiaChat-N'!$K$4,VLOOKUP(B68,'TruDiaChat-N'!$B$5:$O$35,10,0),IF($D$47='TruDiaChat-N'!$L$4,VLOOKUP(B68,'TruDiaChat-N'!$B$5:$O$35,11,0),IF($D$47='TruDiaChat-N'!$M$4,VLOOKUP(B68,'TruDiaChat-N'!$B$5:$O$35,12,0),IF($D$47='TruDiaChat-N'!$N$4,VLOOKUP(B68,'TruDiaChat-N'!$B$5:$O$35,13,0),IF($D$47='TruDiaChat-N'!$O$4,VLOOKUP(B68,'TruDiaChat-N'!$B$5:$O$35,14,0),"")))))))))))))</f>
        <v>14</v>
      </c>
    </row>
    <row r="69" spans="1:5" ht="18" customHeight="1" x14ac:dyDescent="0.25">
      <c r="A69" s="16">
        <v>13</v>
      </c>
      <c r="B69" s="16">
        <f>'TruDiaChat-N'!B17</f>
        <v>24</v>
      </c>
      <c r="C69" s="18">
        <f t="shared" si="0"/>
        <v>-24.75</v>
      </c>
      <c r="D69" s="19">
        <f t="shared" si="1"/>
        <v>2</v>
      </c>
      <c r="E69" s="19">
        <f>IF($D$47='TruDiaChat-N'!$C$4,VLOOKUP(B69,'TruDiaChat-N'!$B$5:$O$35,2,0),IF($D$47='TruDiaChat-N'!$D$4,VLOOKUP(B69,'TruDiaChat-N'!$B$5:$O$35,3,0),IF($D$47='TruDiaChat-N'!$E$4,VLOOKUP(B69,'TruDiaChat-N'!$B$5:$O$35,4,0),IF($D$47='TruDiaChat-N'!$F$4,VLOOKUP(B69,'TruDiaChat-N'!$B$5:$O$35,5,0),IF($D$47='TruDiaChat-N'!$G$4,VLOOKUP(B69,'TruDiaChat-N'!$B$5:$O$35,6,0),IF($D$47='TruDiaChat-N'!$H$4,VLOOKUP(B69,'TruDiaChat-N'!$B$5:$O$35,7,0),IF($D$47='TruDiaChat-N'!$I$4,VLOOKUP(B69,'TruDiaChat-N'!$B$5:$O$35,8,0),IF($D$47='TruDiaChat-N'!$J$4,VLOOKUP(B69,'TruDiaChat-N'!$B$5:$O$35,9,0),IF($D$47='TruDiaChat-N'!$K$4,VLOOKUP(B69,'TruDiaChat-N'!$B$5:$O$35,10,0),IF($D$47='TruDiaChat-N'!$L$4,VLOOKUP(B69,'TruDiaChat-N'!$B$5:$O$35,11,0),IF($D$47='TruDiaChat-N'!$M$4,VLOOKUP(B69,'TruDiaChat-N'!$B$5:$O$35,12,0),IF($D$47='TruDiaChat-N'!$N$4,VLOOKUP(B69,'TruDiaChat-N'!$B$5:$O$35,13,0),IF($D$47='TruDiaChat-N'!$O$4,VLOOKUP(B69,'TruDiaChat-N'!$B$5:$O$35,14,0),"")))))))))))))</f>
        <v>24</v>
      </c>
    </row>
    <row r="70" spans="1:5" ht="18" customHeight="1" x14ac:dyDescent="0.25">
      <c r="A70" s="16">
        <v>14</v>
      </c>
      <c r="B70" s="16">
        <f>'TruDiaChat-N'!B18</f>
        <v>26</v>
      </c>
      <c r="C70" s="18">
        <f t="shared" si="0"/>
        <v>-26.75</v>
      </c>
      <c r="D70" s="19">
        <f t="shared" si="1"/>
        <v>2</v>
      </c>
      <c r="E70" s="19">
        <f>IF($D$47='TruDiaChat-N'!$C$4,VLOOKUP(B70,'TruDiaChat-N'!$B$5:$O$35,2,0),IF($D$47='TruDiaChat-N'!$D$4,VLOOKUP(B70,'TruDiaChat-N'!$B$5:$O$35,3,0),IF($D$47='TruDiaChat-N'!$E$4,VLOOKUP(B70,'TruDiaChat-N'!$B$5:$O$35,4,0),IF($D$47='TruDiaChat-N'!$F$4,VLOOKUP(B70,'TruDiaChat-N'!$B$5:$O$35,5,0),IF($D$47='TruDiaChat-N'!$G$4,VLOOKUP(B70,'TruDiaChat-N'!$B$5:$O$35,6,0),IF($D$47='TruDiaChat-N'!$H$4,VLOOKUP(B70,'TruDiaChat-N'!$B$5:$O$35,7,0),IF($D$47='TruDiaChat-N'!$I$4,VLOOKUP(B70,'TruDiaChat-N'!$B$5:$O$35,8,0),IF($D$47='TruDiaChat-N'!$J$4,VLOOKUP(B70,'TruDiaChat-N'!$B$5:$O$35,9,0),IF($D$47='TruDiaChat-N'!$K$4,VLOOKUP(B70,'TruDiaChat-N'!$B$5:$O$35,10,0),IF($D$47='TruDiaChat-N'!$L$4,VLOOKUP(B70,'TruDiaChat-N'!$B$5:$O$35,11,0),IF($D$47='TruDiaChat-N'!$M$4,VLOOKUP(B70,'TruDiaChat-N'!$B$5:$O$35,12,0),IF($D$47='TruDiaChat-N'!$N$4,VLOOKUP(B70,'TruDiaChat-N'!$B$5:$O$35,13,0),IF($D$47='TruDiaChat-N'!$O$4,VLOOKUP(B70,'TruDiaChat-N'!$B$5:$O$35,14,0),"")))))))))))))</f>
        <v>41</v>
      </c>
    </row>
    <row r="71" spans="1:5" ht="18" customHeight="1" x14ac:dyDescent="0.25">
      <c r="A71" s="16">
        <v>15</v>
      </c>
      <c r="B71" s="16">
        <f>'TruDiaChat-N'!B19</f>
        <v>28</v>
      </c>
      <c r="C71" s="18">
        <f t="shared" si="0"/>
        <v>-28.75</v>
      </c>
      <c r="D71" s="19">
        <f t="shared" si="1"/>
        <v>2</v>
      </c>
      <c r="E71" s="19">
        <f>IF($D$47='TruDiaChat-N'!$C$4,VLOOKUP(B71,'TruDiaChat-N'!$B$5:$O$35,2,0),IF($D$47='TruDiaChat-N'!$D$4,VLOOKUP(B71,'TruDiaChat-N'!$B$5:$O$35,3,0),IF($D$47='TruDiaChat-N'!$E$4,VLOOKUP(B71,'TruDiaChat-N'!$B$5:$O$35,4,0),IF($D$47='TruDiaChat-N'!$F$4,VLOOKUP(B71,'TruDiaChat-N'!$B$5:$O$35,5,0),IF($D$47='TruDiaChat-N'!$G$4,VLOOKUP(B71,'TruDiaChat-N'!$B$5:$O$35,6,0),IF($D$47='TruDiaChat-N'!$H$4,VLOOKUP(B71,'TruDiaChat-N'!$B$5:$O$35,7,0),IF($D$47='TruDiaChat-N'!$I$4,VLOOKUP(B71,'TruDiaChat-N'!$B$5:$O$35,8,0),IF($D$47='TruDiaChat-N'!$J$4,VLOOKUP(B71,'TruDiaChat-N'!$B$5:$O$35,9,0),IF($D$47='TruDiaChat-N'!$K$4,VLOOKUP(B71,'TruDiaChat-N'!$B$5:$O$35,10,0),IF($D$47='TruDiaChat-N'!$L$4,VLOOKUP(B71,'TruDiaChat-N'!$B$5:$O$35,11,0),IF($D$47='TruDiaChat-N'!$M$4,VLOOKUP(B71,'TruDiaChat-N'!$B$5:$O$35,12,0),IF($D$47='TruDiaChat-N'!$N$4,VLOOKUP(B71,'TruDiaChat-N'!$B$5:$O$35,13,0),IF($D$47='TruDiaChat-N'!$O$4,VLOOKUP(B71,'TruDiaChat-N'!$B$5:$O$35,14,0),"")))))))))))))</f>
        <v>35</v>
      </c>
    </row>
    <row r="72" spans="1:5" ht="18" customHeight="1" x14ac:dyDescent="0.25">
      <c r="A72" s="16">
        <v>16</v>
      </c>
      <c r="B72" s="16">
        <f>'TruDiaChat-N'!B20</f>
        <v>30</v>
      </c>
      <c r="C72" s="18">
        <f t="shared" si="0"/>
        <v>-30.75</v>
      </c>
      <c r="D72" s="19">
        <f t="shared" si="1"/>
        <v>2</v>
      </c>
      <c r="E72" s="19">
        <f>IF($D$47='TruDiaChat-N'!$C$4,VLOOKUP(B72,'TruDiaChat-N'!$B$5:$O$35,2,0),IF($D$47='TruDiaChat-N'!$D$4,VLOOKUP(B72,'TruDiaChat-N'!$B$5:$O$35,3,0),IF($D$47='TruDiaChat-N'!$E$4,VLOOKUP(B72,'TruDiaChat-N'!$B$5:$O$35,4,0),IF($D$47='TruDiaChat-N'!$F$4,VLOOKUP(B72,'TruDiaChat-N'!$B$5:$O$35,5,0),IF($D$47='TruDiaChat-N'!$G$4,VLOOKUP(B72,'TruDiaChat-N'!$B$5:$O$35,6,0),IF($D$47='TruDiaChat-N'!$H$4,VLOOKUP(B72,'TruDiaChat-N'!$B$5:$O$35,7,0),IF($D$47='TruDiaChat-N'!$I$4,VLOOKUP(B72,'TruDiaChat-N'!$B$5:$O$35,8,0),IF($D$47='TruDiaChat-N'!$J$4,VLOOKUP(B72,'TruDiaChat-N'!$B$5:$O$35,9,0),IF($D$47='TruDiaChat-N'!$K$4,VLOOKUP(B72,'TruDiaChat-N'!$B$5:$O$35,10,0),IF($D$47='TruDiaChat-N'!$L$4,VLOOKUP(B72,'TruDiaChat-N'!$B$5:$O$35,11,0),IF($D$47='TruDiaChat-N'!$M$4,VLOOKUP(B72,'TruDiaChat-N'!$B$5:$O$35,12,0),IF($D$47='TruDiaChat-N'!$N$4,VLOOKUP(B72,'TruDiaChat-N'!$B$5:$O$35,13,0),IF($D$47='TruDiaChat-N'!$O$4,VLOOKUP(B72,'TruDiaChat-N'!$B$5:$O$35,14,0),"")))))))))))))</f>
        <v>29</v>
      </c>
    </row>
  </sheetData>
  <mergeCells count="11">
    <mergeCell ref="B42:H43"/>
    <mergeCell ref="A1:H2"/>
    <mergeCell ref="A3:H3"/>
    <mergeCell ref="A7:H10"/>
    <mergeCell ref="A34:G35"/>
    <mergeCell ref="C39:C40"/>
    <mergeCell ref="A54:A56"/>
    <mergeCell ref="B54:B55"/>
    <mergeCell ref="C54:C55"/>
    <mergeCell ref="D54:D55"/>
    <mergeCell ref="E54:E55"/>
  </mergeCells>
  <printOptions horizontalCentered="1"/>
  <pageMargins left="0.7" right="0.25" top="0.5" bottom="0.5" header="0.3" footer="0.3"/>
  <pageSetup paperSize="9" scale="90" orientation="portrait" r:id="rId1"/>
  <rowBreaks count="1" manualBreakCount="1">
    <brk id="44" max="16383"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'TruDiaChat-N'!$C$4:$O$4</xm:f>
          </x14:formula1>
          <xm:sqref>D47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Muc luc</vt:lpstr>
      <vt:lpstr>TruDiaChat-N</vt:lpstr>
      <vt:lpstr>NhanDangNenDat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APC</dc:creator>
  <cp:lastModifiedBy>Dell</cp:lastModifiedBy>
  <cp:lastPrinted>2018-09-04T03:33:57Z</cp:lastPrinted>
  <dcterms:created xsi:type="dcterms:W3CDTF">2016-07-22T02:53:07Z</dcterms:created>
  <dcterms:modified xsi:type="dcterms:W3CDTF">2022-03-18T08:34:00Z</dcterms:modified>
</cp:coreProperties>
</file>